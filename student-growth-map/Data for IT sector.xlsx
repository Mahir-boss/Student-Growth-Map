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Skills" sheetId="2" r:id="rId6"/>
    <sheet state="visible" name="Role-Skill Mapping (Edges)" sheetId="3" r:id="rId7"/>
    <sheet state="visible" name="Skill Prerequisites (Skill-to-S" sheetId="4" r:id="rId8"/>
  </sheets>
  <definedNames/>
  <calcPr/>
</workbook>
</file>

<file path=xl/sharedStrings.xml><?xml version="1.0" encoding="utf-8"?>
<sst xmlns="http://schemas.openxmlformats.org/spreadsheetml/2006/main" count="1625" uniqueCount="1034">
  <si>
    <t>Skill ID</t>
  </si>
  <si>
    <t>Role ID</t>
  </si>
  <si>
    <t>Role Title</t>
  </si>
  <si>
    <t>Name</t>
  </si>
  <si>
    <t>Category</t>
  </si>
  <si>
    <t>Skill Tier</t>
  </si>
  <si>
    <t>Skill Name</t>
  </si>
  <si>
    <t>Learning Resource URL</t>
  </si>
  <si>
    <t>Title</t>
  </si>
  <si>
    <t>Domain</t>
  </si>
  <si>
    <t>S001</t>
  </si>
  <si>
    <t>Seniority Level</t>
  </si>
  <si>
    <t>Core Focus</t>
  </si>
  <si>
    <t>Computer Architecture &amp; Organization</t>
  </si>
  <si>
    <t>Required Skill IDs</t>
  </si>
  <si>
    <t>CS Core</t>
  </si>
  <si>
    <t>Foundation</t>
  </si>
  <si>
    <t>https://en.wikipedia.org/wiki/Computer_architecture</t>
  </si>
  <si>
    <t>R01</t>
  </si>
  <si>
    <t>Frontend Developer</t>
  </si>
  <si>
    <t>Software Engineering</t>
  </si>
  <si>
    <t>Mid-Level</t>
  </si>
  <si>
    <t>Client-side UI/UX</t>
  </si>
  <si>
    <t>S006,S010,S012,S013,S014,S016,S017,S018,S023,S025,S026,S028,S029,S031,S032,S033,S034,S035,S036,S037,S038,S039,S045,S046,S047,S048,S049,S050,S051,S053,S059,S061,S062,S086,S246,S247</t>
  </si>
  <si>
    <t>R02</t>
  </si>
  <si>
    <t>Backend Developer</t>
  </si>
  <si>
    <t>Server-side logic &amp; APIs</t>
  </si>
  <si>
    <t>S002,S003,S006,S007,S008,S010,S012,S013,S015,S016,S017,S018,S019,S020,S022,S023,S024,S025,S026,S028,S029,S066,S067,S068,S070,S072,S073,S086,S089,S091,S092,S093,S097,S099,S101,S102,S103,S106,S107,S108,S109,S110,S114,S115,S118,S119,S120,S171,S180,S200,S219,S246,S247</t>
  </si>
  <si>
    <t>R03</t>
  </si>
  <si>
    <t>Full Stack Developer</t>
  </si>
  <si>
    <t>End-to-end web applications</t>
  </si>
  <si>
    <t>S006,S010,S012,S013,S016,S017,S018,S019,S023,S024,S026,S028,S029,S031,S032,S033,S034,S035,S036,S037,S038,S039,S043,S045,S046,S047,S050,S051,S059,S068,S070,S072,S073,S086,S087,S089,S091,S092,S093,S099,S102,S103,S106,S107,S109,S118,S119,S120,S171,S174,S180,S200,S246,S247</t>
  </si>
  <si>
    <t>R04</t>
  </si>
  <si>
    <t>Data Scientist</t>
  </si>
  <si>
    <t>Data &amp; AI</t>
  </si>
  <si>
    <t>Statistical modeling &amp; ML</t>
  </si>
  <si>
    <t>S006,S010,S012,S017,S018,S019,S025,S026,S028,S068,S106,S107,S108,S109,S131,S136,S137,S138,S139,S140,S141,S142,S143,S144,S147,S148,S149,S150,S151,S152,S153,S154,S155,S157,S167,S246,S247</t>
  </si>
  <si>
    <t>R05</t>
  </si>
  <si>
    <t>Data Engineer</t>
  </si>
  <si>
    <t>Data pipelines &amp; ETL</t>
  </si>
  <si>
    <t>S002,S005,S006,S008,S010,S012,S013,S017,S018,S019,S020,S026,S028,S066,S068,S084,S086,S098,S106,S107,S108,S109,S110,S114,S116,S119,S121,S122,S126,S127,S128,S129,S130,S131,S132,S133,S134,S135,S140,S171,S174,S178,S180,S246,S247</t>
  </si>
  <si>
    <t>R06</t>
  </si>
  <si>
    <t>Data Analyst</t>
  </si>
  <si>
    <t>Data visualization &amp; reporting</t>
  </si>
  <si>
    <t>S006,S017,S025,S026,S028,S068,S106,S107,S108,S109,S110,S130,S131,S134,S135,S136,S137,S139,S140,S141,S142,S143,S144,S145,S146,S246,S247,S249</t>
  </si>
  <si>
    <t>R07</t>
  </si>
  <si>
    <t>Machine Learning Engineer</t>
  </si>
  <si>
    <t>ML models in production</t>
  </si>
  <si>
    <t>S002,S003,S006,S007,S008,S009,S010,S011,S012,S013,S017,S018,S019,S020,S026,S028,S068,S070,S083,S086,S088,S102,S107,S109,S120,S125,S127,S128,S136,S137,S138,S139,S140,S147,S148,S149,S150,S151,S154,S155,S156,S158,S165,S166,S171,S172,S174,S180,S246,S247</t>
  </si>
  <si>
    <t>R08</t>
  </si>
  <si>
    <t>Cloud Architect</t>
  </si>
  <si>
    <t>Cloud Computing</t>
  </si>
  <si>
    <t>Senior</t>
  </si>
  <si>
    <t>Cloud infrastructure design</t>
  </si>
  <si>
    <t>S002</t>
  </si>
  <si>
    <t>S001,S002,S003,S004,S005,S017,S018,S019,S020,S022,S023,S024,S026,S028,S068,S077,S086,S094,S095,S096,S098,S109,S116,S117,S120,S122,S131,S171,S172,S173,S174,S175,S176,S177,S178,S179,S180,S182,S183,S184,S185,S186,S188,S189,S191,S193,S194,S197,S210,S211,S212,S215,S243,S244,S245,S246,S247,S250</t>
  </si>
  <si>
    <t>Operating Systems Concepts</t>
  </si>
  <si>
    <t>R09</t>
  </si>
  <si>
    <t>Cloud Engineer</t>
  </si>
  <si>
    <t>https://pages.cs.wisc.edu/~remzi/OSTEP/</t>
  </si>
  <si>
    <t>Cloud deployment &amp; management</t>
  </si>
  <si>
    <t>S002,S005,S017,S018,S019,S020,S021,S022,S023,S024,S026,S028,S068,S086,S107,S109,S117,S122,S171,S172,S173,S174,S175,S176,S177,S178,S179,S180,S181,S183,S184,S185,S188,S189,S191,S193,S194,S197,S210,S212,S215,S246,S247</t>
  </si>
  <si>
    <t>R10</t>
  </si>
  <si>
    <t>DevOps Engineer</t>
  </si>
  <si>
    <t>DevOps &amp; SRE</t>
  </si>
  <si>
    <t>CI/CD &amp; automation</t>
  </si>
  <si>
    <t>S002,S003,S004,S005,S017,S018,S019,S020,S022,S023,S024,S025,S026,S028,S029,S068,S077,S086,S094,S095,S171,S172,S173,S174,S175,S176,S178,S179,S180,S181,S182,S183,S184,S185,S186,S188,S191,S193,S194,S197,S213,S214,S215,S246,S247</t>
  </si>
  <si>
    <t>R11</t>
  </si>
  <si>
    <t>Site Reliability Engineer (SRE)</t>
  </si>
  <si>
    <t>System reliability &amp; scaling</t>
  </si>
  <si>
    <t>S002,S003,S004,S005,S006,S010,S012,S017,S018,S019,S020,S022,S023,S024,S026,S028,S029,S068,S077,S086,S094,S095,S099,S100,S104,S109,S114,S116,S117,S120,S171,S172,S173,S174,S178,S179,S180,S182,S183,S184,S185,S186,S187,S188,S191,S194,S243,S244,S246,S247</t>
  </si>
  <si>
    <t>R12</t>
  </si>
  <si>
    <t>Cybersecurity Analyst</t>
  </si>
  <si>
    <t>Security</t>
  </si>
  <si>
    <t>Threat monitoring &amp; response</t>
  </si>
  <si>
    <t>S002,S005,S017,S019,S020,S021,S022,S023,S024,S025,S026,S028,S068,S191,S192,S194,S196,S197,S198,S199,S200,S203,S204,S205,S206,S207,S209,S210,S217,S218,S242,S246,S247</t>
  </si>
  <si>
    <t>R13</t>
  </si>
  <si>
    <t>Penetration Tester</t>
  </si>
  <si>
    <t>Ethical hacking &amp; vulnerability assessment</t>
  </si>
  <si>
    <t>S002,S004,S017,S019,S020,S021,S022,S023,S024,S025,S026,S028,S031,S034,S068,S082,S086,S091,S092,S107,S191,S192,S194,S196,S197,S199,S200,S201,S202,S203,S208,S209,S213,S216,S219,S220,S246,S247</t>
  </si>
  <si>
    <t>R14</t>
  </si>
  <si>
    <t>Security Engineer</t>
  </si>
  <si>
    <t>Security architecture &amp; implementation</t>
  </si>
  <si>
    <t>S002,S003,S004,S013,S017,S018,S019,S020,S022,S023,S024,S026,S028,S068,S077,S086,S091,S092,S093,S171,S172,S174,S178,S180,S191,S194,S196,S197,S198,S199,S200,S201,S203,S204,S206,S209,S210,S211,S212,S213,S214,S215,S216,S217,S219,S246,S247</t>
  </si>
  <si>
    <t>R15</t>
  </si>
  <si>
    <t>Database Administrator (DBA)</t>
  </si>
  <si>
    <t>Database maintenance &amp; optimization</t>
  </si>
  <si>
    <t>S002,S004,S005,S007,S008,S017,S019,S020,S021,S022,S026,S028,S068,S106,S107,S108,S109,S110,S111,S112,S113,S114,S115,S116,S117,S119,S120,S121,S122,S124,S131,S135,S171,S174,S184,S188,S191,S196,S246,S247</t>
  </si>
  <si>
    <t>R16</t>
  </si>
  <si>
    <t>UI/UX Designer</t>
  </si>
  <si>
    <t>Design</t>
  </si>
  <si>
    <t>User interface &amp; experience design</t>
  </si>
  <si>
    <t>S017,S028,S031,S032,S033,S034,S047,S049,S053,S057,S061,S062,S063,S064,S065,S137,S144,S246,S247,S248,S249</t>
  </si>
  <si>
    <t>R17</t>
  </si>
  <si>
    <t>Product Manager</t>
  </si>
  <si>
    <t>S003</t>
  </si>
  <si>
    <t>Management</t>
  </si>
  <si>
    <t>Process &amp; Thread Management</t>
  </si>
  <si>
    <t>Product strategy &amp; roadmap</t>
  </si>
  <si>
    <t>Intermediate</t>
  </si>
  <si>
    <t>S017,S023,S026,S028,S031,S061,S062,S063,S064,S086,S107,S136,S137,S141,S144,S145,S146,S246,S247,S248,S249,S250</t>
  </si>
  <si>
    <t>R18</t>
  </si>
  <si>
    <t>Scrum Master</t>
  </si>
  <si>
    <t>Agile team facilitation</t>
  </si>
  <si>
    <t>S017,S018,S028,S063,S144,S146,S180,S242,S246,S247,S248,S249,S250</t>
  </si>
  <si>
    <t>S004</t>
  </si>
  <si>
    <t>Memory Management &amp; Paging</t>
  </si>
  <si>
    <t>R19</t>
  </si>
  <si>
    <t>Quality Assurance (QA) Tester</t>
  </si>
  <si>
    <t>QA &amp; Testing</t>
  </si>
  <si>
    <t>Manual &amp; automated testing</t>
  </si>
  <si>
    <t>S006,S013,S017,S018,S019,S023,S025,S026,S028,S029,S031,S032,S034,S036,S059,S060,S068,S086,S102,S103,S104,S107,S180,S200,S246,S247</t>
  </si>
  <si>
    <t>R20</t>
  </si>
  <si>
    <t>Automation Engineer</t>
  </si>
  <si>
    <t>S005</t>
  </si>
  <si>
    <t>File Systems &amp; Storage I/O</t>
  </si>
  <si>
    <t>Test automation frameworks</t>
  </si>
  <si>
    <t>S006,S010,S012,S013,S015,S016,S017,S018,S019,S020,S023,S025,S026,S028,S029,S031,S032,S034,S035,S036,S038,S059,S060,S066,S068,S086,S102,S103,S104,S107,S171,S180,S181,S214,S246,S247</t>
  </si>
  <si>
    <t>R21</t>
  </si>
  <si>
    <t>Mobile App Developer (iOS)</t>
  </si>
  <si>
    <t>Mobile Development</t>
  </si>
  <si>
    <t>iOS application development</t>
  </si>
  <si>
    <t>S006,S010,S012,S013,S014,S015,S016,S017,S018,S023,S026,S028,S029,S061,S062,S086,S087,S089,S091,S092,S113,S122,S180,S221,S222,S225,S226,S227,S246,S247</t>
  </si>
  <si>
    <t>S006</t>
  </si>
  <si>
    <t>Basic Data Structures (Arrays, Lists, Stacks, Queues)</t>
  </si>
  <si>
    <t>R22</t>
  </si>
  <si>
    <t>Mobile App Developer (Android)</t>
  </si>
  <si>
    <t>https://www.geeksforgeeks.org/data-structures/</t>
  </si>
  <si>
    <t>Android application development</t>
  </si>
  <si>
    <t>S006,S010,S012,S013,S014,S015,S016,S017,S018,S023,S026,S028,S029,S061,S062,S066,S086,S087,S089,S091,S092,S113,S122,S180,S223,S224,S225,S226,S227,S246,S247</t>
  </si>
  <si>
    <t>R23</t>
  </si>
  <si>
    <t>Systems Administrator</t>
  </si>
  <si>
    <t>IT Infrastructure</t>
  </si>
  <si>
    <t>System &amp; network maintenance</t>
  </si>
  <si>
    <t>S001,S002,S003,S004,S005,S017,S019,S020,S021,S022,S023,S024,S025,S026,S028,S029,S107,S110,S117,S171,S174,S175,S179,S183,S184,S185,S188,S191,S192,S193,S194,S196,S197,S199,S203,S206,S210,S242,S246,S247</t>
  </si>
  <si>
    <t>R24</t>
  </si>
  <si>
    <t>Network Engineer</t>
  </si>
  <si>
    <t>Network design &amp; management</t>
  </si>
  <si>
    <t>S001,S002,S017,S019,S020,S022,S023,S024,S026,S028,S029,S068,S174,S179,S183,S184,S188,S191,S193,S194,S195,S196,S197,S198,S199,S209,S211,S242,S246,S247</t>
  </si>
  <si>
    <t>R25</t>
  </si>
  <si>
    <t>IT Support Specialist</t>
  </si>
  <si>
    <t>Entry-Level</t>
  </si>
  <si>
    <t>Technical support &amp; troubleshooting</t>
  </si>
  <si>
    <t>S001,S002,S005,S017,S019,S020,S021,S022,S023,S024,S028,S029,S107,S146,S191,S192,S193,S194,S196,S197,S199,S206,S210,S242,S246,S247</t>
  </si>
  <si>
    <t>R26</t>
  </si>
  <si>
    <t>Business Analyst</t>
  </si>
  <si>
    <t>Business requirements &amp; process modeling</t>
  </si>
  <si>
    <t>S017,S026,S028,S062,S063,S064,S086,S106,S107,S108,S131,S134,S135,S136,S137,S140,S141,S144,S145,S146,S240,S241,S246,S247,S248,S249</t>
  </si>
  <si>
    <t>R27</t>
  </si>
  <si>
    <t>AI Researcher</t>
  </si>
  <si>
    <t>Advanced AI algorithms &amp; research</t>
  </si>
  <si>
    <t>S006,S007,S008,S009,S010,S011,S012,S013,S014,S017,S018,S019,S020,S026,S028,S030,S068,S082,S083,S100,S125,S128,S136,S137,S138,S139,S140,S141,S143,S147,S148,S149,S150,S151,S152,S153,S154,S155,S156,S157,S158,S159,S160,S161,S162,S163,S164,S165,S166,S167,S168,S169,S170,S171,S246,S247,S250</t>
  </si>
  <si>
    <t>R28</t>
  </si>
  <si>
    <t>Blockchain Developer</t>
  </si>
  <si>
    <t>Web3 &amp; Blockchain</t>
  </si>
  <si>
    <t>Smart contracts &amp; decentralized apps</t>
  </si>
  <si>
    <t>S006,S007,S008,S009,S010,S012,S013,S016,S017,S018,S019,S022,S023,S026,S028,S030,S031,S032,S034,S035,S038,S039,S043,S068,S072,S077,S078,S086,S088,S089,S102,S171,S200,S209,S219,S237,S238,S239,S244,S246,S247</t>
  </si>
  <si>
    <t>R29</t>
  </si>
  <si>
    <t>Game Developer</t>
  </si>
  <si>
    <t>Game Development</t>
  </si>
  <si>
    <t>Game logic &amp; mechanics</t>
  </si>
  <si>
    <t>S001,S002,S003,S004,S006,S007,S008,S009,S010,S011,S012,S013,S015,S016,S017,S018,S026,S028,S029,S030,S058,S075,S082,S083,S089,S100,S138,S227,S228,S229,S230,S231,S246,S247</t>
  </si>
  <si>
    <t>R30</t>
  </si>
  <si>
    <t>S007</t>
  </si>
  <si>
    <t>Embedded Systems Engineer</t>
  </si>
  <si>
    <t>Trees &amp; Binary Search Trees</t>
  </si>
  <si>
    <t>Hardware &amp; IoT</t>
  </si>
  <si>
    <t>Firmware &amp; embedded software</t>
  </si>
  <si>
    <t>https://www.geeksforgeeks.org/binary-tree-data-structure/</t>
  </si>
  <si>
    <t>S001,S002,S003,S004,S005,S006,S008,S010,S012,S013,S017,S018,S019,S020,S022,S026,S028,S029,S030,S068,S078,S082,S083,S100,S191,S194,S209,S220,S232,S233,S234,S235,S236,S246,S247</t>
  </si>
  <si>
    <t>R31</t>
  </si>
  <si>
    <t>ERP Consultant</t>
  </si>
  <si>
    <t>Enterprise Systems</t>
  </si>
  <si>
    <t>ERP implementation &amp; customization</t>
  </si>
  <si>
    <t>S013,S017,S023,S026,S028,S066,S086,S106,S107,S108,S111,S112,S115,S126,S131,S134,S135,S144,S145,S146,S210,S217,S240,S241,S242,S245,S246,S247,S248,S249</t>
  </si>
  <si>
    <t>R32</t>
  </si>
  <si>
    <t>CRM Developer</t>
  </si>
  <si>
    <t>CRM platform development</t>
  </si>
  <si>
    <t>S006,S013,S016,S017,S018,S023,S026,S028,S029,S031,S032,S033,S034,S035,S036,S038,S039,S066,S075,S086,S090,S091,S092,S093,S102,S103,S106,S107,S108,S126,S180,S210,S240,S241,S246,S247,S249</t>
  </si>
  <si>
    <t>S008</t>
  </si>
  <si>
    <t>Heaps, Priority Queues &amp; Hashing</t>
  </si>
  <si>
    <t>R33</t>
  </si>
  <si>
    <t>Tech Lead</t>
  </si>
  <si>
    <t>https://www.geeksforgeeks.org/hashing-data-structure/</t>
  </si>
  <si>
    <t>Technical team leadership</t>
  </si>
  <si>
    <t>S002,S003,S006,S007,S008,S009,S010,S012,S013,S014,S015,S016,S017,S018,S019,S022,S023,S024,S026,S028,S029,S031,S032,S034,S038,S039,S043,S052,S059,S060,S066,S067,S068,S070,S072,S086,S087,S091,S092,S094,S095,S096,S098,S099,S100,S102,S106,S107,S109,S114,S115,S116,S120,S171,S172,S174,S178,S180,S184,S185,S186,S200,S219,S243,S244,S246,S247,S248,S249,S250</t>
  </si>
  <si>
    <t>R34</t>
  </si>
  <si>
    <t>Software Architect</t>
  </si>
  <si>
    <t>System architecture &amp; design</t>
  </si>
  <si>
    <t>S001,S002,S003,S004,S006,S007,S008,S009,S010,S011,S012,S013,S014,S015,S016,S017,S018,S019,S022,S023,S024,S026,S028,S029,S034,S038,S039,S056,S066,S067,S068,S072,S075,S077,S086,S087,S088,S089,S091,S092,S093,S094,S095,S096,S097,S098,S099,S100,S105,S106,S107,S109,S114,S115,S116,S119,S120,S121,S171,S172,S174,S178,S180,S183,S184,S185,S186,S188,S200,S211,S216,S219,S243,S244,S245,S246,S247,S250</t>
  </si>
  <si>
    <t>R35</t>
  </si>
  <si>
    <t>Solutions Architect</t>
  </si>
  <si>
    <t>Enterprise solution design</t>
  </si>
  <si>
    <t>S001,S002,S006,S013,S015,S016,S017,S018,S019,S022,S023,S024,S026,S028,S066,S068,S086,S087,S088,S091,S092,S093,S094,S095,S096,S098,S099,S106,S107,S109,S116,S117,S120,S122,S126,S131,S132,S171,S172,S174,S175,S176,S177,S178,S180,S183,S184,S185,S186,S188,S189,S194,S196,S197,S210,S211,S212,S217,S240,S241,S243,S244,S245,S246,S247,S248,S249,S250</t>
  </si>
  <si>
    <t>R36</t>
  </si>
  <si>
    <t>IT Project Manager</t>
  </si>
  <si>
    <t>Project planning &amp; execution</t>
  </si>
  <si>
    <t>S017,S018,S023,S028,S062,S063,S064,S086,S107,S136,S144,S145,S146,S180,S189,S217,S218,S240,S241,S242,S246,S247,S248,S249,S250</t>
  </si>
  <si>
    <t>S009</t>
  </si>
  <si>
    <t>Graphs &amp; Graph Traversal (BFS/DFS)</t>
  </si>
  <si>
    <t>R37</t>
  </si>
  <si>
    <t>Release Manager</t>
  </si>
  <si>
    <t>https://www.geeksforgeeks.org/graph-data-structure-and-algorithms/</t>
  </si>
  <si>
    <t>Software release lifecycle</t>
  </si>
  <si>
    <t>S017,S018,S019,S020,S023,S026,S028,S029,S050,S051,S059,S060,S086,S102,S103,S104,S117,S171,S172,S173,S174,S178,S179,S180,S181,S182,S184,S185,S186,S188,S214,S242,S246,S247,S249,S250</t>
  </si>
  <si>
    <t>R38</t>
  </si>
  <si>
    <t>Technical Writer</t>
  </si>
  <si>
    <t>Documentation</t>
  </si>
  <si>
    <t>Technical documentation &amp; guides</t>
  </si>
  <si>
    <t>S013,S017,S018,S019,S023,S025,S026,S027,S028,S031,S032,S034,S061,S062,S064,S065,S068,S086,S087,S103,S107,S180,S246,S247,S248,S249</t>
  </si>
  <si>
    <t>R39</t>
  </si>
  <si>
    <t>Computer Vision Engineer</t>
  </si>
  <si>
    <t>Image processing &amp; computer vision</t>
  </si>
  <si>
    <t>S002,S003,S006,S007,S009,S010,S011,S012,S013,S017,S018,S019,S020,S026,S028,S030,S068,S070,S082,S083,S086,S100,S136,S137,S138,S139,S140,S143,S147,S148,S150,S151,S154,S155,S156,S158,S161,S162,S163,S165,S166,S171,S174,S230,S231,S246,S247</t>
  </si>
  <si>
    <t>R40</t>
  </si>
  <si>
    <t>Natural Language Processing (NLP) Engineer</t>
  </si>
  <si>
    <t>NLP models &amp; text processing</t>
  </si>
  <si>
    <t>S006,S007,S008,S009,S010,S011,S012,S013,S017,S018,S019,S025,S026,S027,S028,S068,S070,S086,S105,S107,S125,S128,S136,S137,S138,S139,S140,S141,S143,S147,S148,S149,S150,S151,S153,S154,S155,S156,S157,S158,S159,S160,S165,S166,S167,S168,S171,S174,S246,S247</t>
  </si>
  <si>
    <t>R41</t>
  </si>
  <si>
    <t>Junior Frontend Developer</t>
  </si>
  <si>
    <t>Junior</t>
  </si>
  <si>
    <t>Basic UI implementation</t>
  </si>
  <si>
    <t>S010</t>
  </si>
  <si>
    <t>Sorting &amp; Searching Algorithms</t>
  </si>
  <si>
    <t>S006,S010,S012,S013,S017,S018,S023,S025,S026,S028,S029,S031,S032,S033,S034,S035,S036,S037,S038,S039,S047,S049,S050,S051,S061,S062,S086,S246,S247</t>
  </si>
  <si>
    <t>R42</t>
  </si>
  <si>
    <t>https://www.geeksforgeeks.org/sorting-algorithms/</t>
  </si>
  <si>
    <t>Senior Frontend Developer</t>
  </si>
  <si>
    <t>Complex UI architecture</t>
  </si>
  <si>
    <t>S006,S007,S008,S009,S010,S012,S013,S014,S015,S016,S017,S018,S019,S023,S024,S025,S026,S028,S029,S031,S032,S033,S034,S035,S036,S037,S038,S039,S040,S041,S042,S043,S044,S045,S046,S047,S048,S049,S050,S051,S052,S053,S054,S055,S056,S057,S058,S059,S060,S061,S062,S063,S064,S065,S072,S086,S087,S089,S091,S092,S171,S180,S200,S219,S243,S246,S247,S250</t>
  </si>
  <si>
    <t>R43</t>
  </si>
  <si>
    <t>Junior Backend Developer</t>
  </si>
  <si>
    <t>Basic API development</t>
  </si>
  <si>
    <t>S002,S006,S007,S008,S010,S012,S013,S016,S017,S018,S019,S022,S023,S025,S026,S028,S029,S066,S067,S068,S070,S072,S073,S086,S091,S102,S103,S106,S107,S109,S110,S118,S171,S200,S246,S247</t>
  </si>
  <si>
    <t>R44</t>
  </si>
  <si>
    <t>Senior Backend Developer</t>
  </si>
  <si>
    <t>Scalable backend systems</t>
  </si>
  <si>
    <t>S001,S002,S003,S004,S005,S006,S007,S008,S009,S010,S011,S012,S013,S014,S015,S016,S017,S018,S019,S020,S022,S023,S024,S025,S026,S028,S029,S066,S067,S068,S069,S070,S072,S073,S074,S077,S078,S086,S087,S088,S089,S090,S091,S092,S093,S094,S095,S096,S097,S098,S099,S100,S101,S102,S103,S104,S105,S106,S107,S108,S109,S110,S114,S115,S116,S117,S118,S119,S120,S121,S122,S171,S172,S174,S178,S180,S183,S184,S185,S186,S188,S200,S209,S215,S219,S243,S244,S245,S246,S247,S250</t>
  </si>
  <si>
    <t>R45</t>
  </si>
  <si>
    <t>DevSecOps Engineer</t>
  </si>
  <si>
    <t>Security integration in CI/CD</t>
  </si>
  <si>
    <t>S002,S003,S005,S017,S018,S019,S020,S022,S023,S024,S026,S028,S068,S077,S086,S091,S092,S093,S171,S172,S173,S174,S175,S176,S178,S179,S180,S181,S182,S183,S184,S185,S191,S194,S196,S197,S198,S200,S201,S203,S204,S209,S210,S211,S212,S213,S214,S215,S216,S217,S219,S246,S247</t>
  </si>
  <si>
    <t>R46</t>
  </si>
  <si>
    <t>S011</t>
  </si>
  <si>
    <t>Data Governance Specialist</t>
  </si>
  <si>
    <t>Dynamic Programming &amp; Greedy Algorithms</t>
  </si>
  <si>
    <t>Advanced</t>
  </si>
  <si>
    <t>Data quality &amp; compliance</t>
  </si>
  <si>
    <t>https://www.geeksforgeeks.org/dynamic-programming/</t>
  </si>
  <si>
    <t>S017,S026,S028,S068,S106,S107,S108,S109,S111,S112,S117,S126,S130,S131,S132,S134,S135,S140,S141,S144,S145,S146,S167,S196,S210,S217,S218,S240,S246,S247,S249</t>
  </si>
  <si>
    <t>R47</t>
  </si>
  <si>
    <t>Cloud Security Architect</t>
  </si>
  <si>
    <t>Cloud security posture</t>
  </si>
  <si>
    <t>S002,S003,S005,S017,S018,S019,S020,S022,S023,S024,S026,S028,S068,S077,S086,S091,S092,S093,S094,S095,S171,S172,S173,S174,S175,S176,S177,S178,S179,S180,S182,S183,S184,S185,S188,S191,S193,S194,S196,S197,S198,S199,S200,S203,S204,S205,S207,S209,S210,S211,S212,S213,S214,S215,S216,S217,S218,S219,S243,S245,S246,S247,S250</t>
  </si>
  <si>
    <t>R48</t>
  </si>
  <si>
    <t>MLOps Engineer</t>
  </si>
  <si>
    <t>ML model deployment lifecycle</t>
  </si>
  <si>
    <t>S002,S003,S005,S006,S012,S013,S017,S018,S019,S020,S022,S023,S026,S028,S068,S070,S077,S086,S088,S095,S098,S107,S109,S120,S125,S126,S127,S128,S131,S132,S139,S140,S148,S151,S154,S155,S156,S158,S159,S160,S165,S166,S171,S172,S173,S174,S175,S176,S178,S180,S181,S182,S184,S185,S246,S247</t>
  </si>
  <si>
    <t>S012</t>
  </si>
  <si>
    <t>R49</t>
  </si>
  <si>
    <t>Time &amp; Space Complexity (Big-O Analysis)</t>
  </si>
  <si>
    <t>Site Reliability Architect</t>
  </si>
  <si>
    <t>https://www.bigocheatsheet.com/</t>
  </si>
  <si>
    <t>Enterprise reliability strategy</t>
  </si>
  <si>
    <t>S001,S002,S003,S004,S005,S006,S008,S010,S012,S013,S015,S017,S018,S019,S020,S022,S023,S024,S026,S028,S029,S068,S077,S078,S086,S088,S094,S095,S096,S098,S099,S100,S104,S109,S114,S115,S116,S117,S120,S121,S171,S172,S173,S174,S175,S176,S178,S179,S180,S182,S183,S184,S185,S186,S187,S188,S189,S190,S191,S194,S195,S211,S212,S213,S243,S244,S245,S246,S247,S250</t>
  </si>
  <si>
    <t>R50</t>
  </si>
  <si>
    <t>QA Automation Lead</t>
  </si>
  <si>
    <t>Lead</t>
  </si>
  <si>
    <t>Test automation strategy</t>
  </si>
  <si>
    <t>S006,S010,S012,S013,S015,S016,S017,S018,S019,S020,S023,S025,S026,S028,S029,S031,S032,S034,S035,S036,S038,S039,S052,S053,S059,S060,S066,S067,S068,S072,S075,S086,S087,S102,S103,S104,S107,S109,S171,S172,S180,S181,S184,S200,S214,S227,S246,S247,S248,S250</t>
  </si>
  <si>
    <t>R51</t>
  </si>
  <si>
    <t>Blockchain Architect</t>
  </si>
  <si>
    <t>Decentralized system design</t>
  </si>
  <si>
    <t>S001,S002,S003,S006,S007,S008,S009,S010,S011,S012,S013,S015,S016,S017,S018,S019,S022,S023,S024,S026,S028,S030,S034,S038,S039,S043,S068,S072,S077,S078,S082,S083,S086,S088,S089,S095,S096,S100,S102,S109,S119,S120,S123,S171,S172,S174,S178,S180,S200,S209,S211,S215,S216,S219,S237,S238,S239,S243,S244,S245,S246,S247,S250</t>
  </si>
  <si>
    <t>R52</t>
  </si>
  <si>
    <t>IoT Solutions Engineer</t>
  </si>
  <si>
    <t>IoT device integration</t>
  </si>
  <si>
    <t>S013</t>
  </si>
  <si>
    <t>S001,S002,S003,S004,S005,S006,S010,S012,S013,S017,S018,S019,S020,S022,S023,S024,S026,S028,S029,S068,S072,S078,S082,S083,S086,S088,S089,S096,S097,S098,S113,S124,S171,S174,S177,S184,S191,S194,S197,S209,S220,S232,S233,S234,S235,S236,S246,S247</t>
  </si>
  <si>
    <t>R53</t>
  </si>
  <si>
    <t>Game Engine Programmer</t>
  </si>
  <si>
    <t>Game engine optimization</t>
  </si>
  <si>
    <t>S001,S002,S003,S004,S005,S006,S007,S008,S009,S010,S011,S012,S013,S015,S016,S017,S018,S026,S028,S029,S030,S055,S058,S075,S078,S082,S083,S100,S138,S228,S229,S230,S231,S246,S247</t>
  </si>
  <si>
    <t>Object-Oriented Programming (OOP)</t>
  </si>
  <si>
    <t>R54</t>
  </si>
  <si>
    <t>AR/VR Developer</t>
  </si>
  <si>
    <t>https://developer.mozilla.org/en-US/docs/Learn/JavaScript/Objects/Object-oriented_programming</t>
  </si>
  <si>
    <t>Immersive experiences</t>
  </si>
  <si>
    <t>S001,S003,S004,S006,S007,S009,S010,S012,S013,S015,S016,S017,S018,S026,S028,S029,S030,S034,S038,S055,S058,S075,S082,S083,S100,S138,S161,S162,S221,S223,S227,S228,S229,S230,S231,S246,S247</t>
  </si>
  <si>
    <t>R55</t>
  </si>
  <si>
    <t>FinTech Systems Engineer</t>
  </si>
  <si>
    <t>Financial technology platforms</t>
  </si>
  <si>
    <t>S002,S003,S006,S007,S008,S010,S012,S013,S015,S016,S017,S018,S019,S022,S023,S024,S026,S028,S029,S066,S067,S068,S075,S076,S077,S086,S088,S091,S092,S093,S094,S095,S096,S097,S098,S100,S102,S103,S104,S106,S107,S108,S109,S111,S112,S114,S115,S116,S117,S120,S136,S146,S171,S172,S174,S180,S188,S196,S200,S209,S210,S215,S217,S218,S219,S237,S243,S244,S246,S247</t>
  </si>
  <si>
    <t>R56</t>
  </si>
  <si>
    <t>Big Data Architect</t>
  </si>
  <si>
    <t>Large-scale data systems</t>
  </si>
  <si>
    <t>S001,S002,S003,S004,S005,S006,S008,S010,S012,S013,S014,S015,S017,S018,S019,S020,S022,S026,S028,S066,S068,S084,S086,S095,S096,S098,S105,S106,S107,S108,S109,S114,S115,S116,S117,S119,S120,S121,S122,S123,S124,S125,S126,S127,S128,S129,S130,S131,S132,S133,S134,S135,S140,S171,S172,S174,S175,S176,S178,S180,S184,S185,S188,S189,S210,S212,S217,S243,S244,S245,S246,S247,S250</t>
  </si>
  <si>
    <t>R57</t>
  </si>
  <si>
    <t>Network Security Engineer</t>
  </si>
  <si>
    <t>Network defense &amp; firewalls</t>
  </si>
  <si>
    <t>S001,S002,S017,S019,S020,S021,S022,S023,S024,S025,S026,S028,S029,S068,S174,S178,S179,S183,S184,S185,S188,S191,S192,S193,S194,S195,S196,S197,S198,S199,S200,S202,S203,S204,S205,S206,S207,S209,S210,S211,S212,S216,S217,S220,S246,S247</t>
  </si>
  <si>
    <t>R58</t>
  </si>
  <si>
    <t>Linux Systems Engineer</t>
  </si>
  <si>
    <t>Linux server administration</t>
  </si>
  <si>
    <t>S001,S002,S003,S004,S005,S017,S018,S019,S020,S022,S023,S024,S025,S026,S028,S029,S068,S077,S082,S107,S109,S110,S117,S171,S172,S174,S178,S179,S180,S181,S183,S184,S185,S186,S188,S191,S193,S194,S196,S197,S198,S199,S203,S209,S210,S213,S215,S242,S246,S247</t>
  </si>
  <si>
    <t>R59</t>
  </si>
  <si>
    <t>API Integration Specialist</t>
  </si>
  <si>
    <t>S014</t>
  </si>
  <si>
    <t>Third-party API integration</t>
  </si>
  <si>
    <t>Functional Programming Concepts</t>
  </si>
  <si>
    <t>S006,S010,S012,S013,S016,S017,S018,S019,S022,S023,S024,S025,S026,S027,S028,S029,S034,S035,S038,S066,S067,S068,S070,S072,S073,S086,S087,S088,S089,S090,S091,S092,S093,S094,S095,S096,S097,S098,S099,S101,S102,S103,S107,S109,S119,S120,S126,S171,S177,S180,S200,S219,S240,S241,S246,S247</t>
  </si>
  <si>
    <t>https://en.wikipedia.org/wiki/Functional_programming</t>
  </si>
  <si>
    <t>R60</t>
  </si>
  <si>
    <t>Platform Engineer</t>
  </si>
  <si>
    <t>Internal developer platforms</t>
  </si>
  <si>
    <t>S002,S003,S004,S005,S006,S012,S013,S016,S017,S018,S019,S020,S022,S023,S024,S026,S028,S029,S034,S038,S039,S068,S077,S086,S088,S091,S092,S093,S094,S095,S109,S120,S171,S172,S173,S174,S175,S176,S177,S178,S179,S180,S181,S182,S183,S184,S185,S186,S188,S189,S190,S191,S194,S210,S211,S212,S213,S214,S215,S243,S244,S246,S247</t>
  </si>
  <si>
    <t>S015</t>
  </si>
  <si>
    <t>Software Design Patterns (GoF)</t>
  </si>
  <si>
    <t>https://refactoring.guru/design-patterns</t>
  </si>
  <si>
    <t>S016</t>
  </si>
  <si>
    <t>SOLID Principles &amp; Clean Code</t>
  </si>
  <si>
    <t>https://refactoring.guru/refactoring</t>
  </si>
  <si>
    <t>S017</t>
  </si>
  <si>
    <t>Git Version Control Fundamentals</t>
  </si>
  <si>
    <t>https://git-scm.com/doc</t>
  </si>
  <si>
    <t>S018</t>
  </si>
  <si>
    <t>GitHub / GitLab Workflows &amp; Pull Requests</t>
  </si>
  <si>
    <t>https://docs.github.com/en/get-started</t>
  </si>
  <si>
    <t>S019</t>
  </si>
  <si>
    <t>Linux Command Line &amp; File Permissions</t>
  </si>
  <si>
    <t>https://ubuntu.com/tutorials/command-line-for-beginners</t>
  </si>
  <si>
    <t>S020</t>
  </si>
  <si>
    <t>Bash &amp; Shell Scripting</t>
  </si>
  <si>
    <t>https://www.gnu.org/software/bash/manual/</t>
  </si>
  <si>
    <t>S021</t>
  </si>
  <si>
    <t>PowerShell Scripting</t>
  </si>
  <si>
    <t>https://learn.microsoft.com/en-us/powershell/</t>
  </si>
  <si>
    <t>S022</t>
  </si>
  <si>
    <t>Computer Networking &amp; OSI Model</t>
  </si>
  <si>
    <t>https://www.cloudflare.com/learning/network-layer/what-is-the-osi-model/</t>
  </si>
  <si>
    <t>S023</t>
  </si>
  <si>
    <t>HTTP/HTTPS Protocols &amp; Status Codes</t>
  </si>
  <si>
    <t>https://developer.mozilla.org/en-US/docs/Web/HTTP</t>
  </si>
  <si>
    <t>S024</t>
  </si>
  <si>
    <t>DNS, Domain Routing &amp; SSL/TLS</t>
  </si>
  <si>
    <t>https://www.cloudflare.com/learning/dns/what-is-dns/</t>
  </si>
  <si>
    <t>S025</t>
  </si>
  <si>
    <t>Regular Expressions (Regex)</t>
  </si>
  <si>
    <t>https://developer.mozilla.org/en-US/docs/Web/JavaScript/Guide/Regular_expressions</t>
  </si>
  <si>
    <t>S026</t>
  </si>
  <si>
    <t>Data Serialization (JSON, XML, YAML, Protobuf)</t>
  </si>
  <si>
    <t>https://www.json.org/json-en.html</t>
  </si>
  <si>
    <t>S027</t>
  </si>
  <si>
    <t>Character Encoding &amp; Unicode (UTF-8)</t>
  </si>
  <si>
    <t>https://unicode.org/standard/WhatIsUnicode.html</t>
  </si>
  <si>
    <t>S028</t>
  </si>
  <si>
    <t>Technical Writing &amp; Markdown Documentation</t>
  </si>
  <si>
    <t>https://www.markdownguide.org/</t>
  </si>
  <si>
    <t>S029</t>
  </si>
  <si>
    <t>Debugging, Profiling &amp; Root Cause Analysis</t>
  </si>
  <si>
    <t>https://developer.chrome.com/docs/devtools/</t>
  </si>
  <si>
    <t>S030</t>
  </si>
  <si>
    <t>Discrete Mathematics &amp; Boolean Logic</t>
  </si>
  <si>
    <t>https://en.wikipedia.org/wiki/Discrete_mathematics</t>
  </si>
  <si>
    <t>S031</t>
  </si>
  <si>
    <t>Semantic HTML5</t>
  </si>
  <si>
    <t>Frontend &amp; UI/UX</t>
  </si>
  <si>
    <t>https://developer.mozilla.org/en-US/docs/Web/HTML</t>
  </si>
  <si>
    <t>S032</t>
  </si>
  <si>
    <t>CSS3 Fundamentals &amp; Box Model</t>
  </si>
  <si>
    <t>https://developer.mozilla.org/en-US/docs/Web/CSS</t>
  </si>
  <si>
    <t>S033</t>
  </si>
  <si>
    <t>Responsive Web Design (Flexbox &amp; CSS Grid)</t>
  </si>
  <si>
    <t>https://web.dev/learn/design</t>
  </si>
  <si>
    <t>S034</t>
  </si>
  <si>
    <t>JavaScript Fundamentals (ES6+)</t>
  </si>
  <si>
    <t>https://developer.mozilla.org/en-US/docs/Web/JavaScript</t>
  </si>
  <si>
    <t>S035</t>
  </si>
  <si>
    <t>Asynchronous JavaScript (Promises, Async/Await)</t>
  </si>
  <si>
    <t>https://developer.mozilla.org/en-US/docs/Learn/JavaScript/Asynchronous</t>
  </si>
  <si>
    <t>S036</t>
  </si>
  <si>
    <t>DOM Manipulation &amp; Browser Events</t>
  </si>
  <si>
    <t>https://developer.mozilla.org/en-US/docs/Web/API/Document_Object_Model</t>
  </si>
  <si>
    <t>S037</t>
  </si>
  <si>
    <t>Browser Storage (LocalStorage, SessionStorage, IndexedDB)</t>
  </si>
  <si>
    <t>https://developer.mozilla.org/en-US/docs/Web/API/Web_Storage_API</t>
  </si>
  <si>
    <t>S038</t>
  </si>
  <si>
    <t>TypeScript &amp; Static Typing</t>
  </si>
  <si>
    <t>https://www.typescriptlang.org/docs/</t>
  </si>
  <si>
    <t>S039</t>
  </si>
  <si>
    <t>React.js &amp; Hooks Architecture</t>
  </si>
  <si>
    <t>https://react.dev/learn</t>
  </si>
  <si>
    <t>S040</t>
  </si>
  <si>
    <t>Angular Framework &amp; RxJS</t>
  </si>
  <si>
    <t>https://angular.dev/overview</t>
  </si>
  <si>
    <t>S041</t>
  </si>
  <si>
    <t>Vue.js &amp; Composition API</t>
  </si>
  <si>
    <t>https://vuejs.org/guide/introduction.html</t>
  </si>
  <si>
    <t>S042</t>
  </si>
  <si>
    <t>Svelte &amp; SvelteKit</t>
  </si>
  <si>
    <t>https://svelte.dev/docs</t>
  </si>
  <si>
    <t>S043</t>
  </si>
  <si>
    <t>Next.js (SSR, SSG &amp; App Router)</t>
  </si>
  <si>
    <t>https://nextjs.org/docs</t>
  </si>
  <si>
    <t>S044</t>
  </si>
  <si>
    <t>Nuxt.js Framework</t>
  </si>
  <si>
    <t>https://nuxt.com/docs</t>
  </si>
  <si>
    <t>S045</t>
  </si>
  <si>
    <t>Frontend State Management (Redux Toolkit, Zustand, MobX)</t>
  </si>
  <si>
    <t>https://redux-toolkit.js.org/</t>
  </si>
  <si>
    <t>S046</t>
  </si>
  <si>
    <t>Data Fetching &amp; Caching (TanStack React Query, SWR)</t>
  </si>
  <si>
    <t>https://tanstack.com/query/latest/docs</t>
  </si>
  <si>
    <t>S047</t>
  </si>
  <si>
    <t>Tailwind CSS Utility Styling</t>
  </si>
  <si>
    <t>https://tailwindcss.com/docs</t>
  </si>
  <si>
    <t>S048</t>
  </si>
  <si>
    <t>CSS Preprocessors (Sass / SCSS)</t>
  </si>
  <si>
    <t>https://sass-lang.com/documentation/</t>
  </si>
  <si>
    <t>S049</t>
  </si>
  <si>
    <t>Component Libraries (Material UI, Shadcn UI, Bootstrap)</t>
  </si>
  <si>
    <t>https://ui.shadcn.com/docs</t>
  </si>
  <si>
    <t>S050</t>
  </si>
  <si>
    <t>Module Bundlers &amp; Build Tools (Vite, Webpack, Rollup)</t>
  </si>
  <si>
    <t>https://vite.dev/guide/</t>
  </si>
  <si>
    <t>S051</t>
  </si>
  <si>
    <t>Package Managers (npm, yarn, pnpm)</t>
  </si>
  <si>
    <t>https://docs.npmjs.com/</t>
  </si>
  <si>
    <t>S052</t>
  </si>
  <si>
    <t>Web Performance Optimization &amp; Core Web Vitals</t>
  </si>
  <si>
    <t>https://web.dev/explore/learn-core-web-vitals</t>
  </si>
  <si>
    <t>S053</t>
  </si>
  <si>
    <t>Web Accessibility (WCAG / ARIA / a11y)</t>
  </si>
  <si>
    <t>https://www.w3.org/WAI/fundamentals/accessibility-intro/</t>
  </si>
  <si>
    <t>S054</t>
  </si>
  <si>
    <t>Progressive Web Apps (PWA) &amp; Service Workers</t>
  </si>
  <si>
    <t>https://web.dev/explore/progressive-web-apps</t>
  </si>
  <si>
    <t>S055</t>
  </si>
  <si>
    <t>WebAssembly (Wasm)</t>
  </si>
  <si>
    <t>https://webassembly.org/getting-started/developers-guide/</t>
  </si>
  <si>
    <t>S056</t>
  </si>
  <si>
    <t>Micro-Frontends Architecture</t>
  </si>
  <si>
    <t>https://micro-frontends.org/</t>
  </si>
  <si>
    <t>S057</t>
  </si>
  <si>
    <t>Data Visualization &amp; Charting (D3.js, Recharts, Chart.js)</t>
  </si>
  <si>
    <t>https://d3js.org/getting-started</t>
  </si>
  <si>
    <t>S058</t>
  </si>
  <si>
    <t>WebGL &amp; 3D Browser Graphics (Three.js)</t>
  </si>
  <si>
    <t>https://threejs.org/docs/</t>
  </si>
  <si>
    <t>S059</t>
  </si>
  <si>
    <t>Frontend Unit &amp; Component Testing (Jest, Vitest, RTL)</t>
  </si>
  <si>
    <t>https://testing-library.com/docs/</t>
  </si>
  <si>
    <t>S060</t>
  </si>
  <si>
    <t>End-to-End Browser Testing (Cypress, Playwright)</t>
  </si>
  <si>
    <t>https://playwright.dev/docs/intro</t>
  </si>
  <si>
    <t>S061</t>
  </si>
  <si>
    <t>UI/UX Design Fundamentals &amp; Color Theory</t>
  </si>
  <si>
    <t>https://www.nngroup.com/articles/ux-basics-study-guide/</t>
  </si>
  <si>
    <t>S062</t>
  </si>
  <si>
    <t>Wireframing &amp; Interactive Prototyping (Figma)</t>
  </si>
  <si>
    <t>https://help.figma.com/hc/en-us</t>
  </si>
  <si>
    <t>S063</t>
  </si>
  <si>
    <t>User Research, Personas &amp; Usability Testing</t>
  </si>
  <si>
    <t>https://www.nngroup.com/articles/usability-testing-101/</t>
  </si>
  <si>
    <t>S064</t>
  </si>
  <si>
    <t>Information Architecture &amp; User Flows</t>
  </si>
  <si>
    <t>https://www.usability.gov/what-and-why/information-architecture.html</t>
  </si>
  <si>
    <t>S065</t>
  </si>
  <si>
    <t>Design Systems &amp; Component Tokens (Storybook)</t>
  </si>
  <si>
    <t>https://storybook.js.org/docs</t>
  </si>
  <si>
    <t>S066</t>
  </si>
  <si>
    <t>Java Programming &amp; JVM Internals</t>
  </si>
  <si>
    <t>Backend</t>
  </si>
  <si>
    <t>https://docs.oracle.com/en/java/</t>
  </si>
  <si>
    <t>S067</t>
  </si>
  <si>
    <t>Spring Framework &amp; Spring Boot</t>
  </si>
  <si>
    <t>https://spring.io/guides</t>
  </si>
  <si>
    <t>S068</t>
  </si>
  <si>
    <t>Python Programming Fundamentals</t>
  </si>
  <si>
    <t>https://docs.python.org/3/tutorial/</t>
  </si>
  <si>
    <t>S069</t>
  </si>
  <si>
    <t>Django Full-Stack Framework</t>
  </si>
  <si>
    <t>https://docs.djangoproject.com/en/stable/</t>
  </si>
  <si>
    <t>S070</t>
  </si>
  <si>
    <t>FastAPI High-Performance APIs</t>
  </si>
  <si>
    <t>https://fastapi.tiangolo.com/</t>
  </si>
  <si>
    <t>S071</t>
  </si>
  <si>
    <t>Flask Microframework</t>
  </si>
  <si>
    <t>https://flask.palletsprojects.com/</t>
  </si>
  <si>
    <t>S072</t>
  </si>
  <si>
    <t>Node.js Runtime &amp; Event Loop</t>
  </si>
  <si>
    <t>https://nodejs.org/en/docs</t>
  </si>
  <si>
    <t>S073</t>
  </si>
  <si>
    <t>Express.js Web Framework</t>
  </si>
  <si>
    <t>https://expressjs.com/en/starter/installing.html</t>
  </si>
  <si>
    <t>S074</t>
  </si>
  <si>
    <t>NestJS Enterprise Node Framework</t>
  </si>
  <si>
    <t>https://docs.nestjs.com/</t>
  </si>
  <si>
    <t>S075</t>
  </si>
  <si>
    <t>C# &amp; .NET Runtime</t>
  </si>
  <si>
    <t>https://learn.microsoft.com/en-us/dotnet/csharp/</t>
  </si>
  <si>
    <t>S076</t>
  </si>
  <si>
    <t>ASP.NET Core Web APIs</t>
  </si>
  <si>
    <t>https://learn.microsoft.com/en-us/aspnet/core/</t>
  </si>
  <si>
    <t>S077</t>
  </si>
  <si>
    <t>Go (Golang) Programming</t>
  </si>
  <si>
    <t>https://go.dev/doc/</t>
  </si>
  <si>
    <t>S078</t>
  </si>
  <si>
    <t>Rust Systems &amp; Web Programming</t>
  </si>
  <si>
    <t>https://doc.rust-lang.org/book/</t>
  </si>
  <si>
    <t>S079</t>
  </si>
  <si>
    <t>PHP Server-Side Scripting</t>
  </si>
  <si>
    <t>https://www.php.net/manual/en/</t>
  </si>
  <si>
    <t>S080</t>
  </si>
  <si>
    <t>Laravel PHP Framework</t>
  </si>
  <si>
    <t>https://laravel.com/docs</t>
  </si>
  <si>
    <t>S081</t>
  </si>
  <si>
    <t>Ruby &amp; Ruby on Rails</t>
  </si>
  <si>
    <t>https://guides.rubyonrails.org/</t>
  </si>
  <si>
    <t>S082</t>
  </si>
  <si>
    <t>C Programming &amp; Pointers</t>
  </si>
  <si>
    <t>https://en.cppreference.com/w/c</t>
  </si>
  <si>
    <t>S083</t>
  </si>
  <si>
    <t>C++ &amp; Standard Template Library (STL)</t>
  </si>
  <si>
    <t>https://en.cppreference.com/w/cpp</t>
  </si>
  <si>
    <t>S084</t>
  </si>
  <si>
    <t>Scala &amp; Functional JVM Programming</t>
  </si>
  <si>
    <t>https://docs.scala-lang.org/</t>
  </si>
  <si>
    <t>S085</t>
  </si>
  <si>
    <t>Elixir &amp; Phoenix Framework</t>
  </si>
  <si>
    <t>https://hexdocs.pm/phoenix/overview.html</t>
  </si>
  <si>
    <t>S086</t>
  </si>
  <si>
    <t>RESTful API Design &amp; OpenAPI/Swagger</t>
  </si>
  <si>
    <t>Backend &amp; APIs</t>
  </si>
  <si>
    <t>https://swagger.io/specification/</t>
  </si>
  <si>
    <t>S087</t>
  </si>
  <si>
    <t>GraphQL Schema &amp; Resolvers (Apollo)</t>
  </si>
  <si>
    <t>https://graphql.org/learn/</t>
  </si>
  <si>
    <t>S088</t>
  </si>
  <si>
    <t>gRPC &amp; Protocol Buffers</t>
  </si>
  <si>
    <t>https://grpc.io/docs/</t>
  </si>
  <si>
    <t>S089</t>
  </si>
  <si>
    <t>WebSockets &amp; Real-Time Communication (Socket.io)</t>
  </si>
  <si>
    <t>https://socket.io/docs/</t>
  </si>
  <si>
    <t>S090</t>
  </si>
  <si>
    <t>Webhook Architecture &amp; Event Callbacks</t>
  </si>
  <si>
    <t>https://en.wikipedia.org/wiki/Webhook</t>
  </si>
  <si>
    <t>S091</t>
  </si>
  <si>
    <t>Authentication &amp; Session Management (JWT, Cookies)</t>
  </si>
  <si>
    <t>https://jwt.io/introduction</t>
  </si>
  <si>
    <t>S092</t>
  </si>
  <si>
    <t>OAuth 2.0, OpenID Connect (OIDC) &amp; SSO</t>
  </si>
  <si>
    <t>https://oauth.net/2/</t>
  </si>
  <si>
    <t>S093</t>
  </si>
  <si>
    <t>Role-Based &amp; Attribute-Based Access Control (RBAC/ABAC)</t>
  </si>
  <si>
    <t>https://en.wikipedia.org/wiki/Role-based_access_control</t>
  </si>
  <si>
    <t>S094</t>
  </si>
  <si>
    <t>API Gateways, Rate Limiting &amp; Throttling (Kong, Envoy)</t>
  </si>
  <si>
    <t>https://docs.konghq.com/</t>
  </si>
  <si>
    <t>S095</t>
  </si>
  <si>
    <t>Microservices Architecture &amp; Service Mesh</t>
  </si>
  <si>
    <t>https://microservices.io/</t>
  </si>
  <si>
    <t>S096</t>
  </si>
  <si>
    <t>Event-Driven Architecture &amp; Pub/Sub Patterns</t>
  </si>
  <si>
    <t>https://aws.amazon.com/event-driven-architecture/</t>
  </si>
  <si>
    <t>S097</t>
  </si>
  <si>
    <t>Message Brokers &amp; Queues (RabbitMQ, ActiveMQ)</t>
  </si>
  <si>
    <t>https://www.rabbitmq.com/documentation.html</t>
  </si>
  <si>
    <t>S098</t>
  </si>
  <si>
    <t>Distributed Event Streaming (Apache Kafka)</t>
  </si>
  <si>
    <t>https://kafka.apache.org/documentation/</t>
  </si>
  <si>
    <t>S099</t>
  </si>
  <si>
    <t>Backend Caching Strategies (In-Memory, CDN, Write-Through)</t>
  </si>
  <si>
    <t>https://aws.amazon.com/caching/</t>
  </si>
  <si>
    <t>S100</t>
  </si>
  <si>
    <t>Multithreading, Concurrency &amp; Parallel Processing</t>
  </si>
  <si>
    <t>https://en.wikipedia.org/wiki/Concurrency_(computer_science)</t>
  </si>
  <si>
    <t>S101</t>
  </si>
  <si>
    <t>Background Jobs &amp; Task Queues (Celery, BullMQ)</t>
  </si>
  <si>
    <t>https://docs.celeryq.dev/</t>
  </si>
  <si>
    <t>S102</t>
  </si>
  <si>
    <t>Backend Unit &amp; Integration Testing (JUnit, PyTest, Mocha)</t>
  </si>
  <si>
    <t>https://junit.org/junit5/docs/current/user-guide/</t>
  </si>
  <si>
    <t>S103</t>
  </si>
  <si>
    <t>API Testing &amp; Contract Testing (Postman, Pact, Insomnia)</t>
  </si>
  <si>
    <t>https://learning.postman.com/docs/getting-started/introduction/</t>
  </si>
  <si>
    <t>S104</t>
  </si>
  <si>
    <t>Load &amp; Performance Testing (JMeter, k6, Locust)</t>
  </si>
  <si>
    <t>https://jmeter.apache.org/usermanual/index.html</t>
  </si>
  <si>
    <t>S105</t>
  </si>
  <si>
    <t>Search Engines &amp; Full-Text Search (Elasticsearch, Algolia)</t>
  </si>
  <si>
    <t>https://www.elastic.co/guide/en/elasticsearch/reference/current/index.html</t>
  </si>
  <si>
    <t>S106</t>
  </si>
  <si>
    <t>Relational Database Design &amp; Normalization (1NF-3NF)</t>
  </si>
  <si>
    <t>Databases &amp; Data Eng</t>
  </si>
  <si>
    <t>https://en.wikipedia.org/wiki/Database_normalization</t>
  </si>
  <si>
    <t>S107</t>
  </si>
  <si>
    <t>SQL Querying (Joins, Aggregations, Subqueries)</t>
  </si>
  <si>
    <t>https://www.w3schools.com/sql/</t>
  </si>
  <si>
    <t>S108</t>
  </si>
  <si>
    <t>Advanced SQL (Window Functions, CTEs, Stored Procedures)</t>
  </si>
  <si>
    <t>https://www.postgresql.org/docs/current/tutorial-window.html</t>
  </si>
  <si>
    <t>S109</t>
  </si>
  <si>
    <t>PostgreSQL Administration &amp; Development</t>
  </si>
  <si>
    <t>https://www.postgresql.org/docs/</t>
  </si>
  <si>
    <t>S110</t>
  </si>
  <si>
    <t>MySQL &amp; MariaDB Management</t>
  </si>
  <si>
    <t>https://dev.mysql.com/doc/</t>
  </si>
  <si>
    <t>S111</t>
  </si>
  <si>
    <t>Microsoft SQL Server (T-SQL)</t>
  </si>
  <si>
    <t>https://learn.microsoft.com/en-us/sql/sql-server/</t>
  </si>
  <si>
    <t>S112</t>
  </si>
  <si>
    <t>Oracle Database &amp; PL/SQL</t>
  </si>
  <si>
    <t>https://docs.oracle.com/en/database/</t>
  </si>
  <si>
    <t>S113</t>
  </si>
  <si>
    <t>SQLite Embedded Databases</t>
  </si>
  <si>
    <t>https://www.sqlite.org/docs.html</t>
  </si>
  <si>
    <t>S114</t>
  </si>
  <si>
    <t>Database Indexing, Query Plans &amp; Optimization</t>
  </si>
  <si>
    <t>https://use-the-index-luke.com/</t>
  </si>
  <si>
    <t>S115</t>
  </si>
  <si>
    <t>ACID Transactions, Locking &amp; Isolation Levels</t>
  </si>
  <si>
    <t>https://en.wikipedia.org/wiki/ACID</t>
  </si>
  <si>
    <t>S116</t>
  </si>
  <si>
    <t>Database Replication, Sharding &amp; Partitioning</t>
  </si>
  <si>
    <t>https://en.wikipedia.org/wiki/Database_tuning</t>
  </si>
  <si>
    <t>S117</t>
  </si>
  <si>
    <t>Database Backup, Point-in-Time Recovery &amp; Migration</t>
  </si>
  <si>
    <t>https://en.wikipedia.org/wiki/Backup</t>
  </si>
  <si>
    <t>S118</t>
  </si>
  <si>
    <t>Object-Relational Mapping (ORM: Hibernate, JPA, Prisma, SQLAlchemy)</t>
  </si>
  <si>
    <t>https://hibernate.org/orm/documentation/</t>
  </si>
  <si>
    <t>S119</t>
  </si>
  <si>
    <t>Document Databases (MongoDB)</t>
  </si>
  <si>
    <t>https://www.mongodb.com/docs/</t>
  </si>
  <si>
    <t>S120</t>
  </si>
  <si>
    <t>Key-Value Stores &amp; In-Memory DBs (Redis, Memcached)</t>
  </si>
  <si>
    <t>https://redis.io/docs/</t>
  </si>
  <si>
    <t>S121</t>
  </si>
  <si>
    <t>Wide-Column Stores (Apache Cassandra, ScyllaDB)</t>
  </si>
  <si>
    <t>https://cassandra.apache.org/doc/latest/</t>
  </si>
  <si>
    <t>S122</t>
  </si>
  <si>
    <t>Cloud NoSQL Databases (AWS DynamoDB, Firestore)</t>
  </si>
  <si>
    <t>https://aws.amazon.com/dynamodb/</t>
  </si>
  <si>
    <t>S123</t>
  </si>
  <si>
    <t>Graph Databases &amp; Cypher (Neo4j)</t>
  </si>
  <si>
    <t>https://neo4j.com/docs/</t>
  </si>
  <si>
    <t>S124</t>
  </si>
  <si>
    <t>Time-Series Databases (InfluxDB, TimescaleDB)</t>
  </si>
  <si>
    <t>https://docs.influxdata.com/</t>
  </si>
  <si>
    <t>S125</t>
  </si>
  <si>
    <t>Vector Databases (Pinecone, Milvus, Weaviate, pgvector)</t>
  </si>
  <si>
    <t>https://docs.pinecone.io/</t>
  </si>
  <si>
    <t>S126</t>
  </si>
  <si>
    <t>ETL / ELT Data Pipeline Design</t>
  </si>
  <si>
    <t>https://en.wikipedia.org/wiki/Extract,_transform,_load</t>
  </si>
  <si>
    <t>S127</t>
  </si>
  <si>
    <t>Workflow Orchestration (Apache Airflow, Prefect, Dagster)</t>
  </si>
  <si>
    <t>https://airflow.apache.org/docs/</t>
  </si>
  <si>
    <t>S128</t>
  </si>
  <si>
    <t>Distributed Data Processing (Apache Spark, PySpark)</t>
  </si>
  <si>
    <t>https://spark.apache.org/docs/latest/</t>
  </si>
  <si>
    <t>S129</t>
  </si>
  <si>
    <t>Stream Processing (Apache Flink, Kafka Streams)</t>
  </si>
  <si>
    <t>https://flink.apache.org/</t>
  </si>
  <si>
    <t>S130</t>
  </si>
  <si>
    <t>Data Transformation &amp; Analytics Engineering (dbt)</t>
  </si>
  <si>
    <t>https://docs.getdbt.com/</t>
  </si>
  <si>
    <t>S131</t>
  </si>
  <si>
    <t>Cloud Data Warehousing (Snowflake, Google BigQuery, AWS Redshift)</t>
  </si>
  <si>
    <t>https://docs.snowflake.com/</t>
  </si>
  <si>
    <t>S132</t>
  </si>
  <si>
    <t>Data Lakehouse Architecture (Delta Lake, Apache Iceberg, Databricks)</t>
  </si>
  <si>
    <t>https://delta.io/</t>
  </si>
  <si>
    <t>S133</t>
  </si>
  <si>
    <t>Big Data Storage &amp; Hadoop Ecosystem (HDFS, Parquet, Avro)</t>
  </si>
  <si>
    <t>https://hadoop.apache.org/docs/current/</t>
  </si>
  <si>
    <t>S134</t>
  </si>
  <si>
    <t>Data Modeling (Star Schema, Snowflake Schema, Data Vault)</t>
  </si>
  <si>
    <t>https://en.wikipedia.org/wiki/Star_schema</t>
  </si>
  <si>
    <t>S135</t>
  </si>
  <si>
    <t>Data Quality, Lineage &amp; Governance (Great Expectations, Collibra)</t>
  </si>
  <si>
    <t>https://greatexpectations.io/</t>
  </si>
  <si>
    <t>S136</t>
  </si>
  <si>
    <t>Probability Theory &amp; Descriptive Statistics</t>
  </si>
  <si>
    <t>Data Science &amp; AI</t>
  </si>
  <si>
    <t>https://en.wikipedia.org/wiki/Probability_theory</t>
  </si>
  <si>
    <t>S137</t>
  </si>
  <si>
    <t>Inferential Statistics, Hypothesis Testing &amp; A/B Testing</t>
  </si>
  <si>
    <t>https://en.wikipedia.org/wiki/Statistical_inference</t>
  </si>
  <si>
    <t>S138</t>
  </si>
  <si>
    <t>Linear Algebra, Calculus &amp; Optimization for ML</t>
  </si>
  <si>
    <t>https://en.wikipedia.org/wiki/Linear_algebra</t>
  </si>
  <si>
    <t>S139</t>
  </si>
  <si>
    <t>Scientific Computing with NumPy &amp; SciPy</t>
  </si>
  <si>
    <t>https://numpy.org/doc/</t>
  </si>
  <si>
    <t>S140</t>
  </si>
  <si>
    <t>Data Manipulation &amp; Analysis with Pandas / Polars</t>
  </si>
  <si>
    <t>https://pandas.pydata.org/docs/</t>
  </si>
  <si>
    <t>S141</t>
  </si>
  <si>
    <t>Exploratory Data Analysis (EDA) &amp; Data Wrangling</t>
  </si>
  <si>
    <t>https://en.wikipedia.org/wiki/Exploratory_data_analysis</t>
  </si>
  <si>
    <t>S142</t>
  </si>
  <si>
    <t>Statistical Programming in R</t>
  </si>
  <si>
    <t>https://cran.r-project.org/manuals.html</t>
  </si>
  <si>
    <t>S143</t>
  </si>
  <si>
    <t>Python Data Visualization (Matplotlib, Seaborn, Plotly)</t>
  </si>
  <si>
    <t>https://matplotlib.org/stable/contents.html</t>
  </si>
  <si>
    <t>S144</t>
  </si>
  <si>
    <t>Business Intelligence &amp; Dashboards (Tableau)</t>
  </si>
  <si>
    <t>https://help.tableau.com/</t>
  </si>
  <si>
    <t>S145</t>
  </si>
  <si>
    <t>Business Intelligence &amp; DAX Modeling (Power BI)</t>
  </si>
  <si>
    <t>https://learn.microsoft.com/en-us/power-bi/</t>
  </si>
  <si>
    <t>S146</t>
  </si>
  <si>
    <t>Advanced Excel, Pivot Tables &amp; Financial Modeling</t>
  </si>
  <si>
    <t>https://support.microsoft.com/en-us/excel</t>
  </si>
  <si>
    <t>S147</t>
  </si>
  <si>
    <t>Feature Engineering, Selection &amp; Dimensionality Reduction (PCA)</t>
  </si>
  <si>
    <t>https://en.wikipedia.org/wiki/Feature_engineering</t>
  </si>
  <si>
    <t>S148</t>
  </si>
  <si>
    <t>Supervised Machine Learning (Regression, Classification, SVM)</t>
  </si>
  <si>
    <t>https://scikit-learn.org/stable/supervised_learning.html</t>
  </si>
  <si>
    <t>S149</t>
  </si>
  <si>
    <t>Ensemble Methods (Random Forests, XGBoost, LightGBM)</t>
  </si>
  <si>
    <t>https://xgboost.readthedocs.io/</t>
  </si>
  <si>
    <t>S150</t>
  </si>
  <si>
    <t>Unsupervised Learning (K-Means, Hierarchical Clustering, Anomaly Detection)</t>
  </si>
  <si>
    <t>https://scikit-learn.org/stable/unsupervised_learning.html</t>
  </si>
  <si>
    <t>S151</t>
  </si>
  <si>
    <t>Model Evaluation Metrics, Cross-Validation &amp; Hyperparameter Tuning</t>
  </si>
  <si>
    <t>https://scikit-learn.org/stable/modules/cross_validation.html</t>
  </si>
  <si>
    <t>S152</t>
  </si>
  <si>
    <t>Time-Series Forecasting (ARIMA, Prophet, LSTM)</t>
  </si>
  <si>
    <t>https://facebook.github.io/prophet/</t>
  </si>
  <si>
    <t>S153</t>
  </si>
  <si>
    <t>Recommendation Systems (Collaborative &amp; Content-Based Filtering)</t>
  </si>
  <si>
    <t>https://en.wikipedia.org/wiki/Recommender_system</t>
  </si>
  <si>
    <t>S154</t>
  </si>
  <si>
    <t>Neural Networks &amp; Deep Learning Fundamentals</t>
  </si>
  <si>
    <t>https://en.wikipedia.org/wiki/Deep_learning</t>
  </si>
  <si>
    <t>S155</t>
  </si>
  <si>
    <t>Deep Learning with PyTorch</t>
  </si>
  <si>
    <t>https://pytorch.org/docs/stable/index.html</t>
  </si>
  <si>
    <t>S156</t>
  </si>
  <si>
    <t>Deep Learning with TensorFlow &amp; Keras</t>
  </si>
  <si>
    <t>https://www.tensorflow.org/api_docs</t>
  </si>
  <si>
    <t>S157</t>
  </si>
  <si>
    <t>Natural Language Processing (Tokenization, Embeddings, SpaCy, NLTK)</t>
  </si>
  <si>
    <t>https://spacy.io/usage</t>
  </si>
  <si>
    <t>S158</t>
  </si>
  <si>
    <t>Transformer Architecture &amp; Attention Mechanisms (Hugging Face)</t>
  </si>
  <si>
    <t>https://huggingface.co/docs</t>
  </si>
  <si>
    <t>S159</t>
  </si>
  <si>
    <t>Large Language Models (LLMs), Fine-Tuning (LoRA/QLoRA) &amp; Evaluation</t>
  </si>
  <si>
    <t>https://en.wikipedia.org/wiki/Large_language_model</t>
  </si>
  <si>
    <t>S160</t>
  </si>
  <si>
    <t>Prompt Engineering, RAG &amp; AI Agents (LangChain, LlamaIndex)</t>
  </si>
  <si>
    <t>https://python.langchain.com/docs/get_started/introduction</t>
  </si>
  <si>
    <t>S161</t>
  </si>
  <si>
    <t>Computer Vision &amp; Image Processing (OpenCV)</t>
  </si>
  <si>
    <t>https://docs.opencv.org/</t>
  </si>
  <si>
    <t>S162</t>
  </si>
  <si>
    <t>Convolutional Neural Networks (CNNs) &amp; Object Detection (YOLO)</t>
  </si>
  <si>
    <t>https://en.wikipedia.org/wiki/Convolutional_neural_network</t>
  </si>
  <si>
    <t>S163</t>
  </si>
  <si>
    <t>Generative AI &amp; Diffusion Models</t>
  </si>
  <si>
    <t>https://en.wikipedia.org/wiki/Generative_artificial_intelligence</t>
  </si>
  <si>
    <t>S164</t>
  </si>
  <si>
    <t>Reinforcement Learning (Markov Decision Processes, Q-Learning)</t>
  </si>
  <si>
    <t>https://en.wikipedia.org/wiki/Reinforcement_learning</t>
  </si>
  <si>
    <t>S165</t>
  </si>
  <si>
    <t>MLOps &amp; Experiment Tracking (MLflow, Weights &amp; Biases, Kubeflow)</t>
  </si>
  <si>
    <t>https://mlflow.org/docs/latest/index.html</t>
  </si>
  <si>
    <t>S166</t>
  </si>
  <si>
    <t>Model Serving &amp; Inference Optimization (ONNX, TensorRT, Triton, BentoML)</t>
  </si>
  <si>
    <t>https://onnx.ai/</t>
  </si>
  <si>
    <t>S167</t>
  </si>
  <si>
    <t>AI Ethics, Bias Mitigation &amp; Explainable AI (SHAP, LIME)</t>
  </si>
  <si>
    <t>https://shap.readthedocs.io/</t>
  </si>
  <si>
    <t>S168</t>
  </si>
  <si>
    <t>Speech Recognition &amp; Audio Processing (Whisper, Librosa)</t>
  </si>
  <si>
    <t>https://github.com/openai/whisper</t>
  </si>
  <si>
    <t>S169</t>
  </si>
  <si>
    <t>Graph Neural Networks (GNNs &amp; PyTorch Geometric)</t>
  </si>
  <si>
    <t>https://pytorch-geometric.readthedocs.io/</t>
  </si>
  <si>
    <t>S170</t>
  </si>
  <si>
    <t>Operations Research &amp; Mathematical Optimization (SciPy, OR-Tools)</t>
  </si>
  <si>
    <t>https://developers.google.com/optimization</t>
  </si>
  <si>
    <t>S171</t>
  </si>
  <si>
    <t>Containerization with Docker</t>
  </si>
  <si>
    <t>Cloud, DevOps &amp; SRE</t>
  </si>
  <si>
    <t>https://docs.docker.com/</t>
  </si>
  <si>
    <t>S172</t>
  </si>
  <si>
    <t>Kubernetes Cluster Orchestration (K8s)</t>
  </si>
  <si>
    <t>https://kubernetes.io/docs/home/</t>
  </si>
  <si>
    <t>S173</t>
  </si>
  <si>
    <t>Kubernetes Package Management (Helm &amp; Kustomize)</t>
  </si>
  <si>
    <t>https://helm.sh/docs/</t>
  </si>
  <si>
    <t>S174</t>
  </si>
  <si>
    <t>Amazon Web Services Core (EC2, S3, RDS, IAM, VPC)</t>
  </si>
  <si>
    <t>https://docs.aws.amazon.com/</t>
  </si>
  <si>
    <t>S175</t>
  </si>
  <si>
    <t>Microsoft Azure Cloud Services</t>
  </si>
  <si>
    <t>https://learn.microsoft.com/en-us/azure/</t>
  </si>
  <si>
    <t>S176</t>
  </si>
  <si>
    <t>Google Cloud Platform (GCP) Services</t>
  </si>
  <si>
    <t>https://cloud.google.com/docs</t>
  </si>
  <si>
    <t>S177</t>
  </si>
  <si>
    <t>Serverless Computing (AWS Lambda, Cloud Functions)</t>
  </si>
  <si>
    <t>https://docs.aws.amazon.com/lambda/</t>
  </si>
  <si>
    <t>S178</t>
  </si>
  <si>
    <t>Infrastructure as Code (Terraform &amp; OpenTofu)</t>
  </si>
  <si>
    <t>https://developer.hashicorp.com/terraform/docs</t>
  </si>
  <si>
    <t>S179</t>
  </si>
  <si>
    <t>Configuration Management (Ansible, Chef, Puppet)</t>
  </si>
  <si>
    <t>https://docs.ansible.com/</t>
  </si>
  <si>
    <t>S180</t>
  </si>
  <si>
    <t>CI/CD Pipelines with GitHub Actions</t>
  </si>
  <si>
    <t>https://docs.github.com/en/actions</t>
  </si>
  <si>
    <t>S181</t>
  </si>
  <si>
    <t>CI/CD Automation with GitLab CI &amp; Jenkins</t>
  </si>
  <si>
    <t>https://docs.gitlab.com/ee/ci/</t>
  </si>
  <si>
    <t>S182</t>
  </si>
  <si>
    <t>GitOps &amp; Continuous Delivery (ArgoCD, Flux)</t>
  </si>
  <si>
    <t>https://argo-cd.readthedocs.io/</t>
  </si>
  <si>
    <t>S183</t>
  </si>
  <si>
    <t>Web Servers, Reverse Proxy &amp; Load Balancing (Nginx, HAProxy)</t>
  </si>
  <si>
    <t>https://nginx.org/en/docs/</t>
  </si>
  <si>
    <t>S184</t>
  </si>
  <si>
    <t>Infrastructure &amp; Metrics Monitoring (Prometheus &amp; Grafana)</t>
  </si>
  <si>
    <t>https://prometheus.io/docs/introduction/overview/</t>
  </si>
  <si>
    <t>S185</t>
  </si>
  <si>
    <t>Centralized Logging &amp; Observability (ELK Stack, OpenTelemetry, Datadog)</t>
  </si>
  <si>
    <t>https://www.elastic.co/guide/index.html</t>
  </si>
  <si>
    <t>S186</t>
  </si>
  <si>
    <t>Site Reliability Engineering (SLIs, SLOs, SLAs &amp; Error Budgets)</t>
  </si>
  <si>
    <t>https://sre.google/sre-book/table-of-contents/</t>
  </si>
  <si>
    <t>S187</t>
  </si>
  <si>
    <t>Chaos Engineering &amp; Fault Injection</t>
  </si>
  <si>
    <t>https://principlesofchaos.org/</t>
  </si>
  <si>
    <t>S188</t>
  </si>
  <si>
    <t>High Availability, Failover &amp; Disaster Recovery</t>
  </si>
  <si>
    <t>https://en.wikipedia.org/wiki/High_availability</t>
  </si>
  <si>
    <t>S189</t>
  </si>
  <si>
    <t>Cloud FinOps &amp; Cost Optimization</t>
  </si>
  <si>
    <t>https://www.finops.org/</t>
  </si>
  <si>
    <t>S190</t>
  </si>
  <si>
    <t>Internal Developer Platforms (IDP &amp; Backstage)</t>
  </si>
  <si>
    <t>https://backstage.io/docs/overview/what-is-backstage</t>
  </si>
  <si>
    <t>S191</t>
  </si>
  <si>
    <t>Enterprise Linux System Administration (RHEL, Ubuntu, systemd)</t>
  </si>
  <si>
    <t>https://access.redhat.com/documentation/en-us/red_hat_enterprise_linux/</t>
  </si>
  <si>
    <t>S192</t>
  </si>
  <si>
    <t>Windows Server &amp; Active Directory Administration</t>
  </si>
  <si>
    <t>https://learn.microsoft.com/en-us/windows-server/</t>
  </si>
  <si>
    <t>S193</t>
  </si>
  <si>
    <t>Virtualization &amp; Hypervisors (VMware vSphere, Proxmox, KVM)</t>
  </si>
  <si>
    <t>https://docs.vmware.com/</t>
  </si>
  <si>
    <t>S194</t>
  </si>
  <si>
    <t>TCP/IP Networking, Subnetting, VLANs &amp; VPNs</t>
  </si>
  <si>
    <t>https://en.wikipedia.org/wiki/Internet_protocol_suite</t>
  </si>
  <si>
    <t>S195</t>
  </si>
  <si>
    <t>Enterprise Routing &amp; Switching (BGP, OSPF, Cisco IOS)</t>
  </si>
  <si>
    <t>https://www.cisco.com/c/en/us/support/index.html</t>
  </si>
  <si>
    <t>S196</t>
  </si>
  <si>
    <t>Cybersecurity Principles &amp; CIA Triad</t>
  </si>
  <si>
    <t>Cybersecurity</t>
  </si>
  <si>
    <t>https://en.wikipedia.org/wiki/Information_security</t>
  </si>
  <si>
    <t>S197</t>
  </si>
  <si>
    <t>Network Security, Firewalls &amp; WAF</t>
  </si>
  <si>
    <t>https://en.wikipedia.org/wiki/Network_security</t>
  </si>
  <si>
    <t>S198</t>
  </si>
  <si>
    <t>Intrusion Detection &amp; Prevention Systems (IDS/IPS, Snort, Suricata)</t>
  </si>
  <si>
    <t>https://www.snort.org/documents</t>
  </si>
  <si>
    <t>S199</t>
  </si>
  <si>
    <t>Packet Capture &amp; Traffic Analysis (Wireshark, tcpdump, Nmap)</t>
  </si>
  <si>
    <t>https://www.wireshark.org/docs/</t>
  </si>
  <si>
    <t>S200</t>
  </si>
  <si>
    <t>Web Application Security &amp; OWASP Top 10</t>
  </si>
  <si>
    <t>https://owasp.org/www-project-top-ten/</t>
  </si>
  <si>
    <t>S201</t>
  </si>
  <si>
    <t>Web Application Penetration Testing (Burp Suite, OWASP ZAP)</t>
  </si>
  <si>
    <t>https://portswigger.net/burp/documentation</t>
  </si>
  <si>
    <t>S202</t>
  </si>
  <si>
    <t>Network &amp; System Exploitation (Metasploit, Kali Linux)</t>
  </si>
  <si>
    <t>https://docs.rapid7.com/metasploit/</t>
  </si>
  <si>
    <t>S203</t>
  </si>
  <si>
    <t>Vulnerability Assessment &amp; Management (Nessus, OpenVAS, Qualys)</t>
  </si>
  <si>
    <t>https://docs.tenable.com/nessus/</t>
  </si>
  <si>
    <t>S204</t>
  </si>
  <si>
    <t>Security Information &amp; Event Management (SIEM: Splunk, Sentinel, QRadar)</t>
  </si>
  <si>
    <t>https://docs.splunk.com/Documentation</t>
  </si>
  <si>
    <t>S205</t>
  </si>
  <si>
    <t>Security Operations Center (SOC) &amp; Threat Hunting</t>
  </si>
  <si>
    <t>https://en.wikipedia.org/wiki/Security_operations_center</t>
  </si>
  <si>
    <t>S206</t>
  </si>
  <si>
    <t>Endpoint Detection &amp; Response (EDR / XDR: CrowdStrike, Defender)</t>
  </si>
  <si>
    <t>https://www.crowdstrike.com/endpoint-security-products/</t>
  </si>
  <si>
    <t>S207</t>
  </si>
  <si>
    <t>Incident Response &amp; Digital Forensics (DFIR)</t>
  </si>
  <si>
    <t>https://www.cisa.gov/incident-response</t>
  </si>
  <si>
    <t>S208</t>
  </si>
  <si>
    <t>Malware Analysis &amp; Reverse Engineering (Ghidra, IDA Pro)</t>
  </si>
  <si>
    <t>https://ghidra-sre.org/</t>
  </si>
  <si>
    <t>S209</t>
  </si>
  <si>
    <t>Applied Cryptography, Hashing &amp; PKI Certificates</t>
  </si>
  <si>
    <t>https://en.wikipedia.org/wiki/Public_key_infrastructure</t>
  </si>
  <si>
    <t>S210</t>
  </si>
  <si>
    <t>Enterprise Identity &amp; Access Management (IAM, Okta, Entra ID, Keycloak)</t>
  </si>
  <si>
    <t>https://developer.okta.com/docs/</t>
  </si>
  <si>
    <t>S211</t>
  </si>
  <si>
    <t>Zero Trust Network Architecture</t>
  </si>
  <si>
    <t>https://www.nist.gov/publications/zero-trust-architecture</t>
  </si>
  <si>
    <t>S212</t>
  </si>
  <si>
    <t>Cloud Security Posture Management (AWS/Azure Security, CSPM)</t>
  </si>
  <si>
    <t>https://docs.aws.amazon.com/securityhub/</t>
  </si>
  <si>
    <t>S213</t>
  </si>
  <si>
    <t>Container &amp; Kubernetes Security (Trivy, Falco, RBAC)</t>
  </si>
  <si>
    <t>https://falco.org/docs/</t>
  </si>
  <si>
    <t>S214</t>
  </si>
  <si>
    <t>DevSecOps &amp; Automated Security Scanning (SAST, DAST, SCA: SonarQube, Snyk)</t>
  </si>
  <si>
    <t>https://docs.sonarqube.org/</t>
  </si>
  <si>
    <t>S215</t>
  </si>
  <si>
    <t>Secrets Management (HashiCorp Vault, AWS Secrets Manager)</t>
  </si>
  <si>
    <t>https://developer.hashicorp.com/vault/docs</t>
  </si>
  <si>
    <t>S216</t>
  </si>
  <si>
    <t>Threat Modeling &amp; Security Architecture Review (STRIDE, MITRE ATT&amp;CK)</t>
  </si>
  <si>
    <t>https://attack.mitre.org/</t>
  </si>
  <si>
    <t>S217</t>
  </si>
  <si>
    <t>Governance, Risk &amp; Compliance (ISO 27001, SOC 2, NIST, GDPR)</t>
  </si>
  <si>
    <t>https://www.iso.org/isoiec-27001-information-security.html</t>
  </si>
  <si>
    <t>S218</t>
  </si>
  <si>
    <t>Security Auditing &amp; IT Risk Assessment</t>
  </si>
  <si>
    <t>https://en.wikipedia.org/wiki/Information_technology_security_audit</t>
  </si>
  <si>
    <t>S219</t>
  </si>
  <si>
    <t>Secure Coding Practices &amp; Threat Mitigation</t>
  </si>
  <si>
    <t>https://owasp.org/www-project-secure-coding-practices-quick-reference-guide/</t>
  </si>
  <si>
    <t>S220</t>
  </si>
  <si>
    <t>Wireless, IoT &amp; Hardware Security Testing</t>
  </si>
  <si>
    <t>https://owasp.org/www-project-internet-of-things/</t>
  </si>
  <si>
    <t>S221</t>
  </si>
  <si>
    <t>iOS Application Development (Swift &amp; UIKit)</t>
  </si>
  <si>
    <t>Mobile, Game &amp; Emerging</t>
  </si>
  <si>
    <t>https://developer.apple.com/documentation/</t>
  </si>
  <si>
    <t>S222</t>
  </si>
  <si>
    <t>Declarative iOS UI with SwiftUI</t>
  </si>
  <si>
    <t>https://developer.apple.com/xcode/swiftui/</t>
  </si>
  <si>
    <t>S223</t>
  </si>
  <si>
    <t>Android Application Development (Kotlin &amp; Android SDK)</t>
  </si>
  <si>
    <t>https://developer.android.com/docs</t>
  </si>
  <si>
    <t>S224</t>
  </si>
  <si>
    <t>Modern Android UI with Jetpack Compose</t>
  </si>
  <si>
    <t>https://developer.android.com/jetpack/compose</t>
  </si>
  <si>
    <t>S225</t>
  </si>
  <si>
    <t>Cross-Platform Mobile Development (Flutter &amp; Dart)</t>
  </si>
  <si>
    <t>https://docs.flutter.dev/</t>
  </si>
  <si>
    <t>S226</t>
  </si>
  <si>
    <t>Cross-Platform Mobile Development (React Native)</t>
  </si>
  <si>
    <t>https://reactnative.dev/docs/getting-started</t>
  </si>
  <si>
    <t>S227</t>
  </si>
  <si>
    <t>Mobile App Store Deployment, Signing &amp; Profiling</t>
  </si>
  <si>
    <t>https://developer.apple.com/app-store/</t>
  </si>
  <si>
    <t>S228</t>
  </si>
  <si>
    <t>Game Development with Unity Engine &amp; C#</t>
  </si>
  <si>
    <t>https://docs.unity3d.com/Manual/index.html</t>
  </si>
  <si>
    <t>S229</t>
  </si>
  <si>
    <t>Game Development with Unreal Engine &amp; C++</t>
  </si>
  <si>
    <t>https://docs.unrealengine.com/</t>
  </si>
  <si>
    <t>S230</t>
  </si>
  <si>
    <t>3D Mathematics, Physics Engines &amp; Shader Programming (HLSL/GLSL)</t>
  </si>
  <si>
    <t>https://learnopengl.com/</t>
  </si>
  <si>
    <t>S231</t>
  </si>
  <si>
    <t>Extended Reality Development (AR/VR, OpenXR, ARKit, ARCore)</t>
  </si>
  <si>
    <t>https://developers.google.com/ar</t>
  </si>
  <si>
    <t>S232</t>
  </si>
  <si>
    <t>Embedded Systems Programming (Embedded C/C++ &amp; Bare-Metal)</t>
  </si>
  <si>
    <t>https://en.wikipedia.org/wiki/Embedded_software</t>
  </si>
  <si>
    <t>S233</t>
  </si>
  <si>
    <t>Microcontrollers &amp; Single-Board Computers (ARM Cortex, STM32, ESP32, Raspberry Pi)</t>
  </si>
  <si>
    <t>https://www.raspberrypi.com/documentation/</t>
  </si>
  <si>
    <t>S234</t>
  </si>
  <si>
    <t>Real-Time Operating Systems (FreeRTOS, Zephyr)</t>
  </si>
  <si>
    <t>https://freertos.org/</t>
  </si>
  <si>
    <t>S235</t>
  </si>
  <si>
    <t>Hardware Communication Protocols (I2C, SPI, UART, CAN Bus)</t>
  </si>
  <si>
    <t>https://en.wikipedia.org/wiki/I%C2%B2C</t>
  </si>
  <si>
    <t>S236</t>
  </si>
  <si>
    <t>IoT Messaging &amp; Edge Connectivity (MQTT, CoAP, LoRaWAN, BLE)</t>
  </si>
  <si>
    <t>https://mqtt.org/</t>
  </si>
  <si>
    <t>S237</t>
  </si>
  <si>
    <t>Blockchain Architecture, Consensus &amp; Distributed Ledgers</t>
  </si>
  <si>
    <t>Web3 &amp; Enterprise</t>
  </si>
  <si>
    <t>https://ethereum.org/en/developers/docs/</t>
  </si>
  <si>
    <t>S238</t>
  </si>
  <si>
    <t>Smart Contract Development &amp; Auditing (Solidity, Hardhat, Foundry)</t>
  </si>
  <si>
    <t>https://docs.soliditylang.org/</t>
  </si>
  <si>
    <t>S239</t>
  </si>
  <si>
    <t>Decentralized Application Integration (Web3 Libraries &amp; Wallet Connect)</t>
  </si>
  <si>
    <t>https://docs.walletconnect.com/</t>
  </si>
  <si>
    <t>S240</t>
  </si>
  <si>
    <t>Enterprise Resource Planning Systems (SAP ERP, S/4HANA, ABAP)</t>
  </si>
  <si>
    <t>https://help.sap.com/</t>
  </si>
  <si>
    <t>S241</t>
  </si>
  <si>
    <t>Customer Relationship Management Platforms (Salesforce CRM, Apex, LWC)</t>
  </si>
  <si>
    <t>https://developer.salesforce.com/docs</t>
  </si>
  <si>
    <t>S242</t>
  </si>
  <si>
    <t>IT Service Management &amp; Helpdesk Operations (ITIL, ServiceNow, Hardware Troubleshooting)</t>
  </si>
  <si>
    <t>https://docs.servicenow.com/</t>
  </si>
  <si>
    <t>S243</t>
  </si>
  <si>
    <t>Large-Scale System Design &amp; High-Scalability Architecture</t>
  </si>
  <si>
    <t>Architecture &amp; Management</t>
  </si>
  <si>
    <t>https://github.com/donnemartin/system-design-primer</t>
  </si>
  <si>
    <t>S244</t>
  </si>
  <si>
    <t>Distributed Systems Theory (CAP Theorem, Consensus, Raft/Paxos)</t>
  </si>
  <si>
    <t>https://en.wikipedia.org/wiki/Distributed_computing</t>
  </si>
  <si>
    <t>S245</t>
  </si>
  <si>
    <t>Enterprise Architecture Frameworks (TOGAF, Domain-Driven Design)</t>
  </si>
  <si>
    <t>https://www.opengroup.org/togaf</t>
  </si>
  <si>
    <t>S246</t>
  </si>
  <si>
    <t>Agile Methodologies, Scrum Framework &amp; Kanban</t>
  </si>
  <si>
    <t>https://scrumguides.org/</t>
  </si>
  <si>
    <t>S247</t>
  </si>
  <si>
    <t>Project Tracking &amp; Documentation Tools (Jira, Confluence, Linear)</t>
  </si>
  <si>
    <t>https://support.atlassian.com/jira-software-cloud/</t>
  </si>
  <si>
    <t>S248</t>
  </si>
  <si>
    <t>Product Management, Roadmapping &amp; User Story Mapping</t>
  </si>
  <si>
    <t>https://en.wikipedia.org/wiki/Product_management</t>
  </si>
  <si>
    <t>S249</t>
  </si>
  <si>
    <t>Business Process Modeling, Requirements Gathering &amp; Stakeholder Management</t>
  </si>
  <si>
    <t>https://en.wikipedia.org/wiki/Business_process_modeling</t>
  </si>
  <si>
    <t>S250</t>
  </si>
  <si>
    <t>Engineering Leadership, Code Review, Mentoring &amp; Technical Strategy</t>
  </si>
  <si>
    <t>https://en.wikipedia.org/wiki/Engineering_management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</si>
</sst>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Montserrat"/>
    </font>
    <font>
      <b/>
      <color theme="1"/>
      <name val="Arial"/>
      <scheme val="minor"/>
    </font>
    <font>
      <sz val="10.0"/>
      <color rgb="FF1A1B1F"/>
      <name val="Roboto"/>
    </font>
    <font>
      <color theme="1"/>
      <name val="Arial"/>
      <scheme val="minor"/>
    </font>
    <font>
      <sz val="10.0"/>
      <color rgb="FF191A20"/>
      <name val="Roboto"/>
    </font>
    <font>
      <u/>
      <sz val="10.0"/>
      <color rgb="FF1A1B1F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4C5B92"/>
        <bgColor rgb="FF4C5B92"/>
      </patternFill>
    </fill>
  </fills>
  <borders count="3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bottom style="thin">
        <color rgb="FF76767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2" fillId="3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1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</dxfs>
  <tableStyles count="3">
    <tableStyle count="2" pivot="0" name="Skills-style">
      <tableStyleElement dxfId="1" type="firstRowStripe"/>
      <tableStyleElement dxfId="2" type="secondRowStripe"/>
    </tableStyle>
    <tableStyle count="2" pivot="0" name="Roles-style">
      <tableStyleElement dxfId="1" type="firstRowStripe"/>
      <tableStyleElement dxfId="2" type="secondRowStripe"/>
    </tableStyle>
    <tableStyle count="2" pivot="0" name="Role-Skill Mapping (Edges)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6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Role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0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kill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104" displayName="Table_3" name="Table_3" id="3">
  <tableColumns count="2">
    <tableColumn name="Column1" id="1"/>
    <tableColumn name="Column2" id="2"/>
  </tableColumns>
  <tableStyleInfo name="Role-Skill Mapping (Edg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ngular.dev/overview" TargetMode="External"/><Relationship Id="rId190" Type="http://schemas.openxmlformats.org/officeDocument/2006/relationships/hyperlink" Target="https://backstage.io/docs/overview/what-is-backstage" TargetMode="External"/><Relationship Id="rId42" Type="http://schemas.openxmlformats.org/officeDocument/2006/relationships/hyperlink" Target="https://svelte.dev/docs" TargetMode="External"/><Relationship Id="rId41" Type="http://schemas.openxmlformats.org/officeDocument/2006/relationships/hyperlink" Target="https://vuejs.org/guide/introduction.html" TargetMode="External"/><Relationship Id="rId44" Type="http://schemas.openxmlformats.org/officeDocument/2006/relationships/hyperlink" Target="https://nuxt.com/docs" TargetMode="External"/><Relationship Id="rId194" Type="http://schemas.openxmlformats.org/officeDocument/2006/relationships/hyperlink" Target="https://en.wikipedia.org/wiki/Internet_protocol_suite" TargetMode="External"/><Relationship Id="rId43" Type="http://schemas.openxmlformats.org/officeDocument/2006/relationships/hyperlink" Target="https://nextjs.org/docs" TargetMode="External"/><Relationship Id="rId193" Type="http://schemas.openxmlformats.org/officeDocument/2006/relationships/hyperlink" Target="https://docs.vmware.com/" TargetMode="External"/><Relationship Id="rId46" Type="http://schemas.openxmlformats.org/officeDocument/2006/relationships/hyperlink" Target="https://tanstack.com/query/latest/docs" TargetMode="External"/><Relationship Id="rId192" Type="http://schemas.openxmlformats.org/officeDocument/2006/relationships/hyperlink" Target="https://learn.microsoft.com/en-us/windows-server/" TargetMode="External"/><Relationship Id="rId45" Type="http://schemas.openxmlformats.org/officeDocument/2006/relationships/hyperlink" Target="https://redux-toolkit.js.org/" TargetMode="External"/><Relationship Id="rId191" Type="http://schemas.openxmlformats.org/officeDocument/2006/relationships/hyperlink" Target="https://access.redhat.com/documentation/en-us/red_hat_enterprise_linux/" TargetMode="External"/><Relationship Id="rId48" Type="http://schemas.openxmlformats.org/officeDocument/2006/relationships/hyperlink" Target="https://sass-lang.com/documentation/" TargetMode="External"/><Relationship Id="rId187" Type="http://schemas.openxmlformats.org/officeDocument/2006/relationships/hyperlink" Target="https://principlesofchaos.org/" TargetMode="External"/><Relationship Id="rId47" Type="http://schemas.openxmlformats.org/officeDocument/2006/relationships/hyperlink" Target="https://tailwindcss.com/docs" TargetMode="External"/><Relationship Id="rId186" Type="http://schemas.openxmlformats.org/officeDocument/2006/relationships/hyperlink" Target="https://sre.google/sre-book/table-of-contents/" TargetMode="External"/><Relationship Id="rId185" Type="http://schemas.openxmlformats.org/officeDocument/2006/relationships/hyperlink" Target="https://www.elastic.co/guide/index.html" TargetMode="External"/><Relationship Id="rId49" Type="http://schemas.openxmlformats.org/officeDocument/2006/relationships/hyperlink" Target="https://ui.shadcn.com/docs" TargetMode="External"/><Relationship Id="rId184" Type="http://schemas.openxmlformats.org/officeDocument/2006/relationships/hyperlink" Target="https://prometheus.io/docs/introduction/overview/" TargetMode="External"/><Relationship Id="rId189" Type="http://schemas.openxmlformats.org/officeDocument/2006/relationships/hyperlink" Target="https://www.finops.org/" TargetMode="External"/><Relationship Id="rId188" Type="http://schemas.openxmlformats.org/officeDocument/2006/relationships/hyperlink" Target="https://en.wikipedia.org/wiki/High_availability" TargetMode="External"/><Relationship Id="rId31" Type="http://schemas.openxmlformats.org/officeDocument/2006/relationships/hyperlink" Target="https://developer.mozilla.org/en-US/docs/Web/HTML" TargetMode="External"/><Relationship Id="rId30" Type="http://schemas.openxmlformats.org/officeDocument/2006/relationships/hyperlink" Target="https://en.wikipedia.org/wiki/Discrete_mathematics" TargetMode="External"/><Relationship Id="rId33" Type="http://schemas.openxmlformats.org/officeDocument/2006/relationships/hyperlink" Target="https://web.dev/learn/design" TargetMode="External"/><Relationship Id="rId183" Type="http://schemas.openxmlformats.org/officeDocument/2006/relationships/hyperlink" Target="https://nginx.org/en/docs/" TargetMode="External"/><Relationship Id="rId32" Type="http://schemas.openxmlformats.org/officeDocument/2006/relationships/hyperlink" Target="https://developer.mozilla.org/en-US/docs/Web/CSS" TargetMode="External"/><Relationship Id="rId182" Type="http://schemas.openxmlformats.org/officeDocument/2006/relationships/hyperlink" Target="https://argo-cd.readthedocs.io/" TargetMode="External"/><Relationship Id="rId35" Type="http://schemas.openxmlformats.org/officeDocument/2006/relationships/hyperlink" Target="https://developer.mozilla.org/en-US/docs/Learn/JavaScript/Asynchronous" TargetMode="External"/><Relationship Id="rId181" Type="http://schemas.openxmlformats.org/officeDocument/2006/relationships/hyperlink" Target="https://docs.gitlab.com/ee/ci/" TargetMode="External"/><Relationship Id="rId34" Type="http://schemas.openxmlformats.org/officeDocument/2006/relationships/hyperlink" Target="https://developer.mozilla.org/en-US/docs/Web/JavaScript" TargetMode="External"/><Relationship Id="rId180" Type="http://schemas.openxmlformats.org/officeDocument/2006/relationships/hyperlink" Target="https://docs.github.com/en/actions" TargetMode="External"/><Relationship Id="rId37" Type="http://schemas.openxmlformats.org/officeDocument/2006/relationships/hyperlink" Target="https://developer.mozilla.org/en-US/docs/Web/API/Web_Storage_API" TargetMode="External"/><Relationship Id="rId176" Type="http://schemas.openxmlformats.org/officeDocument/2006/relationships/hyperlink" Target="https://cloud.google.com/docs" TargetMode="External"/><Relationship Id="rId36" Type="http://schemas.openxmlformats.org/officeDocument/2006/relationships/hyperlink" Target="https://developer.mozilla.org/en-US/docs/Web/API/Document_Object_Model" TargetMode="External"/><Relationship Id="rId175" Type="http://schemas.openxmlformats.org/officeDocument/2006/relationships/hyperlink" Target="https://learn.microsoft.com/en-us/azure/" TargetMode="External"/><Relationship Id="rId39" Type="http://schemas.openxmlformats.org/officeDocument/2006/relationships/hyperlink" Target="https://react.dev/learn" TargetMode="External"/><Relationship Id="rId174" Type="http://schemas.openxmlformats.org/officeDocument/2006/relationships/hyperlink" Target="https://docs.aws.amazon.com/" TargetMode="External"/><Relationship Id="rId38" Type="http://schemas.openxmlformats.org/officeDocument/2006/relationships/hyperlink" Target="https://www.typescriptlang.org/docs/" TargetMode="External"/><Relationship Id="rId173" Type="http://schemas.openxmlformats.org/officeDocument/2006/relationships/hyperlink" Target="https://helm.sh/docs/" TargetMode="External"/><Relationship Id="rId179" Type="http://schemas.openxmlformats.org/officeDocument/2006/relationships/hyperlink" Target="https://docs.ansible.com/" TargetMode="External"/><Relationship Id="rId178" Type="http://schemas.openxmlformats.org/officeDocument/2006/relationships/hyperlink" Target="https://developer.hashicorp.com/terraform/docs" TargetMode="External"/><Relationship Id="rId177" Type="http://schemas.openxmlformats.org/officeDocument/2006/relationships/hyperlink" Target="https://docs.aws.amazon.com/lambda/" TargetMode="External"/><Relationship Id="rId20" Type="http://schemas.openxmlformats.org/officeDocument/2006/relationships/hyperlink" Target="https://www.gnu.org/software/bash/manual/" TargetMode="External"/><Relationship Id="rId22" Type="http://schemas.openxmlformats.org/officeDocument/2006/relationships/hyperlink" Target="https://www.cloudflare.com/learning/network-layer/what-is-the-osi-model/" TargetMode="External"/><Relationship Id="rId21" Type="http://schemas.openxmlformats.org/officeDocument/2006/relationships/hyperlink" Target="https://learn.microsoft.com/en-us/powershell/" TargetMode="External"/><Relationship Id="rId24" Type="http://schemas.openxmlformats.org/officeDocument/2006/relationships/hyperlink" Target="https://www.cloudflare.com/learning/dns/what-is-dns/" TargetMode="External"/><Relationship Id="rId23" Type="http://schemas.openxmlformats.org/officeDocument/2006/relationships/hyperlink" Target="https://developer.mozilla.org/en-US/docs/Web/HTTP" TargetMode="External"/><Relationship Id="rId26" Type="http://schemas.openxmlformats.org/officeDocument/2006/relationships/hyperlink" Target="https://www.json.org/json-en.html" TargetMode="External"/><Relationship Id="rId25" Type="http://schemas.openxmlformats.org/officeDocument/2006/relationships/hyperlink" Target="https://developer.mozilla.org/en-US/docs/Web/JavaScript/Guide/Regular_expressions" TargetMode="External"/><Relationship Id="rId28" Type="http://schemas.openxmlformats.org/officeDocument/2006/relationships/hyperlink" Target="https://www.markdownguide.org/" TargetMode="External"/><Relationship Id="rId27" Type="http://schemas.openxmlformats.org/officeDocument/2006/relationships/hyperlink" Target="https://unicode.org/standard/WhatIsUnicode.html" TargetMode="External"/><Relationship Id="rId29" Type="http://schemas.openxmlformats.org/officeDocument/2006/relationships/hyperlink" Target="https://developer.chrome.com/docs/devtools/" TargetMode="External"/><Relationship Id="rId11" Type="http://schemas.openxmlformats.org/officeDocument/2006/relationships/hyperlink" Target="https://www.geeksforgeeks.org/dynamic-programming/" TargetMode="External"/><Relationship Id="rId10" Type="http://schemas.openxmlformats.org/officeDocument/2006/relationships/hyperlink" Target="https://www.geeksforgeeks.org/sorting-algorithms/" TargetMode="External"/><Relationship Id="rId13" Type="http://schemas.openxmlformats.org/officeDocument/2006/relationships/hyperlink" Target="https://developer.mozilla.org/en-US/docs/Learn/JavaScript/Objects/Object-oriented_programming" TargetMode="External"/><Relationship Id="rId12" Type="http://schemas.openxmlformats.org/officeDocument/2006/relationships/hyperlink" Target="https://www.bigocheatsheet.com/" TargetMode="External"/><Relationship Id="rId15" Type="http://schemas.openxmlformats.org/officeDocument/2006/relationships/hyperlink" Target="https://refactoring.guru/design-patterns" TargetMode="External"/><Relationship Id="rId198" Type="http://schemas.openxmlformats.org/officeDocument/2006/relationships/hyperlink" Target="https://www.snort.org/documents" TargetMode="External"/><Relationship Id="rId14" Type="http://schemas.openxmlformats.org/officeDocument/2006/relationships/hyperlink" Target="https://en.wikipedia.org/wiki/Functional_programming" TargetMode="External"/><Relationship Id="rId197" Type="http://schemas.openxmlformats.org/officeDocument/2006/relationships/hyperlink" Target="https://en.wikipedia.org/wiki/Network_security" TargetMode="External"/><Relationship Id="rId17" Type="http://schemas.openxmlformats.org/officeDocument/2006/relationships/hyperlink" Target="https://git-scm.com/doc" TargetMode="External"/><Relationship Id="rId196" Type="http://schemas.openxmlformats.org/officeDocument/2006/relationships/hyperlink" Target="https://en.wikipedia.org/wiki/Information_security" TargetMode="External"/><Relationship Id="rId16" Type="http://schemas.openxmlformats.org/officeDocument/2006/relationships/hyperlink" Target="https://refactoring.guru/refactoring" TargetMode="External"/><Relationship Id="rId195" Type="http://schemas.openxmlformats.org/officeDocument/2006/relationships/hyperlink" Target="https://www.cisco.com/c/en/us/support/index.html" TargetMode="External"/><Relationship Id="rId19" Type="http://schemas.openxmlformats.org/officeDocument/2006/relationships/hyperlink" Target="https://ubuntu.com/tutorials/command-line-for-beginners" TargetMode="External"/><Relationship Id="rId18" Type="http://schemas.openxmlformats.org/officeDocument/2006/relationships/hyperlink" Target="https://docs.github.com/en/get-started" TargetMode="External"/><Relationship Id="rId199" Type="http://schemas.openxmlformats.org/officeDocument/2006/relationships/hyperlink" Target="https://www.wireshark.org/docs/" TargetMode="External"/><Relationship Id="rId84" Type="http://schemas.openxmlformats.org/officeDocument/2006/relationships/hyperlink" Target="https://docs.scala-lang.org/" TargetMode="External"/><Relationship Id="rId83" Type="http://schemas.openxmlformats.org/officeDocument/2006/relationships/hyperlink" Target="https://en.cppreference.com/w/cpp" TargetMode="External"/><Relationship Id="rId86" Type="http://schemas.openxmlformats.org/officeDocument/2006/relationships/hyperlink" Target="https://swagger.io/specification/" TargetMode="External"/><Relationship Id="rId85" Type="http://schemas.openxmlformats.org/officeDocument/2006/relationships/hyperlink" Target="https://hexdocs.pm/phoenix/overview.html" TargetMode="External"/><Relationship Id="rId88" Type="http://schemas.openxmlformats.org/officeDocument/2006/relationships/hyperlink" Target="https://grpc.io/docs/" TargetMode="External"/><Relationship Id="rId150" Type="http://schemas.openxmlformats.org/officeDocument/2006/relationships/hyperlink" Target="https://scikit-learn.org/stable/unsupervised_learning.html" TargetMode="External"/><Relationship Id="rId87" Type="http://schemas.openxmlformats.org/officeDocument/2006/relationships/hyperlink" Target="https://graphql.org/learn/" TargetMode="External"/><Relationship Id="rId89" Type="http://schemas.openxmlformats.org/officeDocument/2006/relationships/hyperlink" Target="https://socket.io/docs/" TargetMode="External"/><Relationship Id="rId80" Type="http://schemas.openxmlformats.org/officeDocument/2006/relationships/hyperlink" Target="https://laravel.com/docs" TargetMode="External"/><Relationship Id="rId82" Type="http://schemas.openxmlformats.org/officeDocument/2006/relationships/hyperlink" Target="https://en.cppreference.com/w/c" TargetMode="External"/><Relationship Id="rId81" Type="http://schemas.openxmlformats.org/officeDocument/2006/relationships/hyperlink" Target="https://guides.rubyonrails.org/" TargetMode="External"/><Relationship Id="rId1" Type="http://schemas.openxmlformats.org/officeDocument/2006/relationships/hyperlink" Target="https://en.wikipedia.org/wiki/Computer_architecture" TargetMode="External"/><Relationship Id="rId2" Type="http://schemas.openxmlformats.org/officeDocument/2006/relationships/hyperlink" Target="https://pages.cs.wisc.edu/~remzi/OSTEP/" TargetMode="External"/><Relationship Id="rId3" Type="http://schemas.openxmlformats.org/officeDocument/2006/relationships/hyperlink" Target="https://pages.cs.wisc.edu/~remzi/OSTEP/" TargetMode="External"/><Relationship Id="rId149" Type="http://schemas.openxmlformats.org/officeDocument/2006/relationships/hyperlink" Target="https://xgboost.readthedocs.io/" TargetMode="External"/><Relationship Id="rId4" Type="http://schemas.openxmlformats.org/officeDocument/2006/relationships/hyperlink" Target="https://pages.cs.wisc.edu/~remzi/OSTEP/" TargetMode="External"/><Relationship Id="rId148" Type="http://schemas.openxmlformats.org/officeDocument/2006/relationships/hyperlink" Target="https://scikit-learn.org/stable/supervised_learning.html" TargetMode="External"/><Relationship Id="rId9" Type="http://schemas.openxmlformats.org/officeDocument/2006/relationships/hyperlink" Target="https://www.geeksforgeeks.org/graph-data-structure-and-algorithms/" TargetMode="External"/><Relationship Id="rId143" Type="http://schemas.openxmlformats.org/officeDocument/2006/relationships/hyperlink" Target="https://matplotlib.org/stable/contents.html" TargetMode="External"/><Relationship Id="rId142" Type="http://schemas.openxmlformats.org/officeDocument/2006/relationships/hyperlink" Target="https://cran.r-project.org/manuals.html" TargetMode="External"/><Relationship Id="rId141" Type="http://schemas.openxmlformats.org/officeDocument/2006/relationships/hyperlink" Target="https://en.wikipedia.org/wiki/Exploratory_data_analysis" TargetMode="External"/><Relationship Id="rId140" Type="http://schemas.openxmlformats.org/officeDocument/2006/relationships/hyperlink" Target="https://pandas.pydata.org/docs/" TargetMode="External"/><Relationship Id="rId5" Type="http://schemas.openxmlformats.org/officeDocument/2006/relationships/hyperlink" Target="https://pages.cs.wisc.edu/~remzi/OSTEP/" TargetMode="External"/><Relationship Id="rId147" Type="http://schemas.openxmlformats.org/officeDocument/2006/relationships/hyperlink" Target="https://en.wikipedia.org/wiki/Feature_engineering" TargetMode="External"/><Relationship Id="rId6" Type="http://schemas.openxmlformats.org/officeDocument/2006/relationships/hyperlink" Target="https://www.geeksforgeeks.org/data-structures/" TargetMode="External"/><Relationship Id="rId146" Type="http://schemas.openxmlformats.org/officeDocument/2006/relationships/hyperlink" Target="https://support.microsoft.com/en-us/excel" TargetMode="External"/><Relationship Id="rId7" Type="http://schemas.openxmlformats.org/officeDocument/2006/relationships/hyperlink" Target="https://www.geeksforgeeks.org/binary-tree-data-structure/" TargetMode="External"/><Relationship Id="rId145" Type="http://schemas.openxmlformats.org/officeDocument/2006/relationships/hyperlink" Target="https://learn.microsoft.com/en-us/power-bi/" TargetMode="External"/><Relationship Id="rId8" Type="http://schemas.openxmlformats.org/officeDocument/2006/relationships/hyperlink" Target="https://www.geeksforgeeks.org/hashing-data-structure/" TargetMode="External"/><Relationship Id="rId144" Type="http://schemas.openxmlformats.org/officeDocument/2006/relationships/hyperlink" Target="https://help.tableau.com/" TargetMode="External"/><Relationship Id="rId73" Type="http://schemas.openxmlformats.org/officeDocument/2006/relationships/hyperlink" Target="https://expressjs.com/en/starter/installing.html" TargetMode="External"/><Relationship Id="rId72" Type="http://schemas.openxmlformats.org/officeDocument/2006/relationships/hyperlink" Target="https://nodejs.org/en/docs" TargetMode="External"/><Relationship Id="rId75" Type="http://schemas.openxmlformats.org/officeDocument/2006/relationships/hyperlink" Target="https://learn.microsoft.com/en-us/dotnet/csharp/" TargetMode="External"/><Relationship Id="rId74" Type="http://schemas.openxmlformats.org/officeDocument/2006/relationships/hyperlink" Target="https://docs.nestjs.com/" TargetMode="External"/><Relationship Id="rId77" Type="http://schemas.openxmlformats.org/officeDocument/2006/relationships/hyperlink" Target="https://go.dev/doc/" TargetMode="External"/><Relationship Id="rId76" Type="http://schemas.openxmlformats.org/officeDocument/2006/relationships/hyperlink" Target="https://learn.microsoft.com/en-us/aspnet/core/" TargetMode="External"/><Relationship Id="rId79" Type="http://schemas.openxmlformats.org/officeDocument/2006/relationships/hyperlink" Target="https://www.php.net/manual/en/" TargetMode="External"/><Relationship Id="rId78" Type="http://schemas.openxmlformats.org/officeDocument/2006/relationships/hyperlink" Target="https://doc.rust-lang.org/book/" TargetMode="External"/><Relationship Id="rId71" Type="http://schemas.openxmlformats.org/officeDocument/2006/relationships/hyperlink" Target="https://flask.palletsprojects.com/" TargetMode="External"/><Relationship Id="rId70" Type="http://schemas.openxmlformats.org/officeDocument/2006/relationships/hyperlink" Target="https://fastapi.tiangolo.com/" TargetMode="External"/><Relationship Id="rId139" Type="http://schemas.openxmlformats.org/officeDocument/2006/relationships/hyperlink" Target="https://numpy.org/doc/" TargetMode="External"/><Relationship Id="rId138" Type="http://schemas.openxmlformats.org/officeDocument/2006/relationships/hyperlink" Target="https://en.wikipedia.org/wiki/Linear_algebra" TargetMode="External"/><Relationship Id="rId137" Type="http://schemas.openxmlformats.org/officeDocument/2006/relationships/hyperlink" Target="https://en.wikipedia.org/wiki/Statistical_inference" TargetMode="External"/><Relationship Id="rId132" Type="http://schemas.openxmlformats.org/officeDocument/2006/relationships/hyperlink" Target="https://delta.io/" TargetMode="External"/><Relationship Id="rId253" Type="http://schemas.openxmlformats.org/officeDocument/2006/relationships/table" Target="../tables/table2.xml"/><Relationship Id="rId131" Type="http://schemas.openxmlformats.org/officeDocument/2006/relationships/hyperlink" Target="https://docs.snowflake.com/" TargetMode="External"/><Relationship Id="rId130" Type="http://schemas.openxmlformats.org/officeDocument/2006/relationships/hyperlink" Target="https://docs.getdbt.com/" TargetMode="External"/><Relationship Id="rId251" Type="http://schemas.openxmlformats.org/officeDocument/2006/relationships/drawing" Target="../drawings/drawing2.xml"/><Relationship Id="rId250" Type="http://schemas.openxmlformats.org/officeDocument/2006/relationships/hyperlink" Target="https://en.wikipedia.org/wiki/Engineering_management" TargetMode="External"/><Relationship Id="rId136" Type="http://schemas.openxmlformats.org/officeDocument/2006/relationships/hyperlink" Target="https://en.wikipedia.org/wiki/Probability_theory" TargetMode="External"/><Relationship Id="rId135" Type="http://schemas.openxmlformats.org/officeDocument/2006/relationships/hyperlink" Target="https://greatexpectations.io/" TargetMode="External"/><Relationship Id="rId134" Type="http://schemas.openxmlformats.org/officeDocument/2006/relationships/hyperlink" Target="https://en.wikipedia.org/wiki/Star_schema" TargetMode="External"/><Relationship Id="rId133" Type="http://schemas.openxmlformats.org/officeDocument/2006/relationships/hyperlink" Target="https://hadoop.apache.org/docs/current/" TargetMode="External"/><Relationship Id="rId62" Type="http://schemas.openxmlformats.org/officeDocument/2006/relationships/hyperlink" Target="https://help.figma.com/hc/en-us" TargetMode="External"/><Relationship Id="rId61" Type="http://schemas.openxmlformats.org/officeDocument/2006/relationships/hyperlink" Target="https://www.nngroup.com/articles/ux-basics-study-guide/" TargetMode="External"/><Relationship Id="rId64" Type="http://schemas.openxmlformats.org/officeDocument/2006/relationships/hyperlink" Target="https://www.usability.gov/what-and-why/information-architecture.html" TargetMode="External"/><Relationship Id="rId63" Type="http://schemas.openxmlformats.org/officeDocument/2006/relationships/hyperlink" Target="https://www.nngroup.com/articles/usability-testing-101/" TargetMode="External"/><Relationship Id="rId66" Type="http://schemas.openxmlformats.org/officeDocument/2006/relationships/hyperlink" Target="https://docs.oracle.com/en/java/" TargetMode="External"/><Relationship Id="rId172" Type="http://schemas.openxmlformats.org/officeDocument/2006/relationships/hyperlink" Target="https://kubernetes.io/docs/home/" TargetMode="External"/><Relationship Id="rId65" Type="http://schemas.openxmlformats.org/officeDocument/2006/relationships/hyperlink" Target="https://storybook.js.org/docs" TargetMode="External"/><Relationship Id="rId171" Type="http://schemas.openxmlformats.org/officeDocument/2006/relationships/hyperlink" Target="https://docs.docker.com/" TargetMode="External"/><Relationship Id="rId68" Type="http://schemas.openxmlformats.org/officeDocument/2006/relationships/hyperlink" Target="https://docs.python.org/3/tutorial/" TargetMode="External"/><Relationship Id="rId170" Type="http://schemas.openxmlformats.org/officeDocument/2006/relationships/hyperlink" Target="https://developers.google.com/optimization" TargetMode="External"/><Relationship Id="rId67" Type="http://schemas.openxmlformats.org/officeDocument/2006/relationships/hyperlink" Target="https://spring.io/guides" TargetMode="External"/><Relationship Id="rId60" Type="http://schemas.openxmlformats.org/officeDocument/2006/relationships/hyperlink" Target="https://playwright.dev/docs/intro" TargetMode="External"/><Relationship Id="rId165" Type="http://schemas.openxmlformats.org/officeDocument/2006/relationships/hyperlink" Target="https://mlflow.org/docs/latest/index.html" TargetMode="External"/><Relationship Id="rId69" Type="http://schemas.openxmlformats.org/officeDocument/2006/relationships/hyperlink" Target="https://docs.djangoproject.com/en/stable/" TargetMode="External"/><Relationship Id="rId164" Type="http://schemas.openxmlformats.org/officeDocument/2006/relationships/hyperlink" Target="https://en.wikipedia.org/wiki/Reinforcement_learning" TargetMode="External"/><Relationship Id="rId163" Type="http://schemas.openxmlformats.org/officeDocument/2006/relationships/hyperlink" Target="https://en.wikipedia.org/wiki/Generative_artificial_intelligence" TargetMode="External"/><Relationship Id="rId162" Type="http://schemas.openxmlformats.org/officeDocument/2006/relationships/hyperlink" Target="https://en.wikipedia.org/wiki/Convolutional_neural_network" TargetMode="External"/><Relationship Id="rId169" Type="http://schemas.openxmlformats.org/officeDocument/2006/relationships/hyperlink" Target="https://pytorch-geometric.readthedocs.io/" TargetMode="External"/><Relationship Id="rId168" Type="http://schemas.openxmlformats.org/officeDocument/2006/relationships/hyperlink" Target="https://github.com/openai/whisper" TargetMode="External"/><Relationship Id="rId167" Type="http://schemas.openxmlformats.org/officeDocument/2006/relationships/hyperlink" Target="https://shap.readthedocs.io/" TargetMode="External"/><Relationship Id="rId166" Type="http://schemas.openxmlformats.org/officeDocument/2006/relationships/hyperlink" Target="https://onnx.ai/" TargetMode="External"/><Relationship Id="rId51" Type="http://schemas.openxmlformats.org/officeDocument/2006/relationships/hyperlink" Target="https://docs.npmjs.com/" TargetMode="External"/><Relationship Id="rId50" Type="http://schemas.openxmlformats.org/officeDocument/2006/relationships/hyperlink" Target="https://vite.dev/guide/" TargetMode="External"/><Relationship Id="rId53" Type="http://schemas.openxmlformats.org/officeDocument/2006/relationships/hyperlink" Target="https://www.w3.org/WAI/fundamentals/accessibility-intro/" TargetMode="External"/><Relationship Id="rId52" Type="http://schemas.openxmlformats.org/officeDocument/2006/relationships/hyperlink" Target="https://web.dev/explore/learn-core-web-vitals" TargetMode="External"/><Relationship Id="rId55" Type="http://schemas.openxmlformats.org/officeDocument/2006/relationships/hyperlink" Target="https://webassembly.org/getting-started/developers-guide/" TargetMode="External"/><Relationship Id="rId161" Type="http://schemas.openxmlformats.org/officeDocument/2006/relationships/hyperlink" Target="https://docs.opencv.org/" TargetMode="External"/><Relationship Id="rId54" Type="http://schemas.openxmlformats.org/officeDocument/2006/relationships/hyperlink" Target="https://web.dev/explore/progressive-web-apps" TargetMode="External"/><Relationship Id="rId160" Type="http://schemas.openxmlformats.org/officeDocument/2006/relationships/hyperlink" Target="https://python.langchain.com/docs/get_started/introduction" TargetMode="External"/><Relationship Id="rId57" Type="http://schemas.openxmlformats.org/officeDocument/2006/relationships/hyperlink" Target="https://d3js.org/getting-started" TargetMode="External"/><Relationship Id="rId56" Type="http://schemas.openxmlformats.org/officeDocument/2006/relationships/hyperlink" Target="https://micro-frontends.org/" TargetMode="External"/><Relationship Id="rId159" Type="http://schemas.openxmlformats.org/officeDocument/2006/relationships/hyperlink" Target="https://en.wikipedia.org/wiki/Large_language_model" TargetMode="External"/><Relationship Id="rId59" Type="http://schemas.openxmlformats.org/officeDocument/2006/relationships/hyperlink" Target="https://testing-library.com/docs/" TargetMode="External"/><Relationship Id="rId154" Type="http://schemas.openxmlformats.org/officeDocument/2006/relationships/hyperlink" Target="https://en.wikipedia.org/wiki/Deep_learning" TargetMode="External"/><Relationship Id="rId58" Type="http://schemas.openxmlformats.org/officeDocument/2006/relationships/hyperlink" Target="https://threejs.org/docs/" TargetMode="External"/><Relationship Id="rId153" Type="http://schemas.openxmlformats.org/officeDocument/2006/relationships/hyperlink" Target="https://en.wikipedia.org/wiki/Recommender_system" TargetMode="External"/><Relationship Id="rId152" Type="http://schemas.openxmlformats.org/officeDocument/2006/relationships/hyperlink" Target="https://facebook.github.io/prophet/" TargetMode="External"/><Relationship Id="rId151" Type="http://schemas.openxmlformats.org/officeDocument/2006/relationships/hyperlink" Target="https://scikit-learn.org/stable/modules/cross_validation.html" TargetMode="External"/><Relationship Id="rId158" Type="http://schemas.openxmlformats.org/officeDocument/2006/relationships/hyperlink" Target="https://huggingface.co/docs" TargetMode="External"/><Relationship Id="rId157" Type="http://schemas.openxmlformats.org/officeDocument/2006/relationships/hyperlink" Target="https://spacy.io/usage" TargetMode="External"/><Relationship Id="rId156" Type="http://schemas.openxmlformats.org/officeDocument/2006/relationships/hyperlink" Target="https://www.tensorflow.org/api_docs" TargetMode="External"/><Relationship Id="rId155" Type="http://schemas.openxmlformats.org/officeDocument/2006/relationships/hyperlink" Target="https://pytorch.org/docs/stable/index.html" TargetMode="External"/><Relationship Id="rId107" Type="http://schemas.openxmlformats.org/officeDocument/2006/relationships/hyperlink" Target="https://www.w3schools.com/sql/" TargetMode="External"/><Relationship Id="rId228" Type="http://schemas.openxmlformats.org/officeDocument/2006/relationships/hyperlink" Target="https://docs.unity3d.com/Manual/index.html" TargetMode="External"/><Relationship Id="rId106" Type="http://schemas.openxmlformats.org/officeDocument/2006/relationships/hyperlink" Target="https://en.wikipedia.org/wiki/Database_normalization" TargetMode="External"/><Relationship Id="rId227" Type="http://schemas.openxmlformats.org/officeDocument/2006/relationships/hyperlink" Target="https://developer.apple.com/app-store/" TargetMode="External"/><Relationship Id="rId105" Type="http://schemas.openxmlformats.org/officeDocument/2006/relationships/hyperlink" Target="https://www.elastic.co/guide/en/elasticsearch/reference/current/index.html" TargetMode="External"/><Relationship Id="rId226" Type="http://schemas.openxmlformats.org/officeDocument/2006/relationships/hyperlink" Target="https://reactnative.dev/docs/getting-started" TargetMode="External"/><Relationship Id="rId104" Type="http://schemas.openxmlformats.org/officeDocument/2006/relationships/hyperlink" Target="https://jmeter.apache.org/usermanual/index.html" TargetMode="External"/><Relationship Id="rId225" Type="http://schemas.openxmlformats.org/officeDocument/2006/relationships/hyperlink" Target="https://docs.flutter.dev/" TargetMode="External"/><Relationship Id="rId109" Type="http://schemas.openxmlformats.org/officeDocument/2006/relationships/hyperlink" Target="https://www.postgresql.org/docs/" TargetMode="External"/><Relationship Id="rId108" Type="http://schemas.openxmlformats.org/officeDocument/2006/relationships/hyperlink" Target="https://www.postgresql.org/docs/current/tutorial-window.html" TargetMode="External"/><Relationship Id="rId229" Type="http://schemas.openxmlformats.org/officeDocument/2006/relationships/hyperlink" Target="https://docs.unrealengine.com/" TargetMode="External"/><Relationship Id="rId220" Type="http://schemas.openxmlformats.org/officeDocument/2006/relationships/hyperlink" Target="https://owasp.org/www-project-internet-of-things/" TargetMode="External"/><Relationship Id="rId103" Type="http://schemas.openxmlformats.org/officeDocument/2006/relationships/hyperlink" Target="https://learning.postman.com/docs/getting-started/introduction/" TargetMode="External"/><Relationship Id="rId224" Type="http://schemas.openxmlformats.org/officeDocument/2006/relationships/hyperlink" Target="https://developer.android.com/jetpack/compose" TargetMode="External"/><Relationship Id="rId102" Type="http://schemas.openxmlformats.org/officeDocument/2006/relationships/hyperlink" Target="https://junit.org/junit5/docs/current/user-guide/" TargetMode="External"/><Relationship Id="rId223" Type="http://schemas.openxmlformats.org/officeDocument/2006/relationships/hyperlink" Target="https://developer.android.com/docs" TargetMode="External"/><Relationship Id="rId101" Type="http://schemas.openxmlformats.org/officeDocument/2006/relationships/hyperlink" Target="https://docs.celeryq.dev/" TargetMode="External"/><Relationship Id="rId222" Type="http://schemas.openxmlformats.org/officeDocument/2006/relationships/hyperlink" Target="https://developer.apple.com/xcode/swiftui/" TargetMode="External"/><Relationship Id="rId100" Type="http://schemas.openxmlformats.org/officeDocument/2006/relationships/hyperlink" Target="https://en.wikipedia.org/wiki/Concurrency_(computer_science)" TargetMode="External"/><Relationship Id="rId221" Type="http://schemas.openxmlformats.org/officeDocument/2006/relationships/hyperlink" Target="https://developer.apple.com/documentation/" TargetMode="External"/><Relationship Id="rId217" Type="http://schemas.openxmlformats.org/officeDocument/2006/relationships/hyperlink" Target="https://www.iso.org/isoiec-27001-information-security.html" TargetMode="External"/><Relationship Id="rId216" Type="http://schemas.openxmlformats.org/officeDocument/2006/relationships/hyperlink" Target="https://attack.mitre.org/" TargetMode="External"/><Relationship Id="rId215" Type="http://schemas.openxmlformats.org/officeDocument/2006/relationships/hyperlink" Target="https://developer.hashicorp.com/vault/docs" TargetMode="External"/><Relationship Id="rId214" Type="http://schemas.openxmlformats.org/officeDocument/2006/relationships/hyperlink" Target="https://docs.sonarqube.org/" TargetMode="External"/><Relationship Id="rId219" Type="http://schemas.openxmlformats.org/officeDocument/2006/relationships/hyperlink" Target="https://owasp.org/www-project-secure-coding-practices-quick-reference-guide/" TargetMode="External"/><Relationship Id="rId218" Type="http://schemas.openxmlformats.org/officeDocument/2006/relationships/hyperlink" Target="https://en.wikipedia.org/wiki/Information_technology_security_audit" TargetMode="External"/><Relationship Id="rId213" Type="http://schemas.openxmlformats.org/officeDocument/2006/relationships/hyperlink" Target="https://falco.org/docs/" TargetMode="External"/><Relationship Id="rId212" Type="http://schemas.openxmlformats.org/officeDocument/2006/relationships/hyperlink" Target="https://docs.aws.amazon.com/securityhub/" TargetMode="External"/><Relationship Id="rId211" Type="http://schemas.openxmlformats.org/officeDocument/2006/relationships/hyperlink" Target="https://www.nist.gov/publications/zero-trust-architecture" TargetMode="External"/><Relationship Id="rId210" Type="http://schemas.openxmlformats.org/officeDocument/2006/relationships/hyperlink" Target="https://developer.okta.com/docs/" TargetMode="External"/><Relationship Id="rId129" Type="http://schemas.openxmlformats.org/officeDocument/2006/relationships/hyperlink" Target="https://flink.apache.org/" TargetMode="External"/><Relationship Id="rId128" Type="http://schemas.openxmlformats.org/officeDocument/2006/relationships/hyperlink" Target="https://spark.apache.org/docs/latest/" TargetMode="External"/><Relationship Id="rId249" Type="http://schemas.openxmlformats.org/officeDocument/2006/relationships/hyperlink" Target="https://en.wikipedia.org/wiki/Business_process_modeling" TargetMode="External"/><Relationship Id="rId127" Type="http://schemas.openxmlformats.org/officeDocument/2006/relationships/hyperlink" Target="https://airflow.apache.org/docs/" TargetMode="External"/><Relationship Id="rId248" Type="http://schemas.openxmlformats.org/officeDocument/2006/relationships/hyperlink" Target="https://en.wikipedia.org/wiki/Product_management" TargetMode="External"/><Relationship Id="rId126" Type="http://schemas.openxmlformats.org/officeDocument/2006/relationships/hyperlink" Target="https://en.wikipedia.org/wiki/Extract,_transform,_load" TargetMode="External"/><Relationship Id="rId247" Type="http://schemas.openxmlformats.org/officeDocument/2006/relationships/hyperlink" Target="https://support.atlassian.com/jira-software-cloud/" TargetMode="External"/><Relationship Id="rId121" Type="http://schemas.openxmlformats.org/officeDocument/2006/relationships/hyperlink" Target="https://cassandra.apache.org/doc/latest/" TargetMode="External"/><Relationship Id="rId242" Type="http://schemas.openxmlformats.org/officeDocument/2006/relationships/hyperlink" Target="https://docs.servicenow.com/" TargetMode="External"/><Relationship Id="rId120" Type="http://schemas.openxmlformats.org/officeDocument/2006/relationships/hyperlink" Target="https://redis.io/docs/" TargetMode="External"/><Relationship Id="rId241" Type="http://schemas.openxmlformats.org/officeDocument/2006/relationships/hyperlink" Target="https://developer.salesforce.com/docs" TargetMode="External"/><Relationship Id="rId240" Type="http://schemas.openxmlformats.org/officeDocument/2006/relationships/hyperlink" Target="https://help.sap.com/" TargetMode="External"/><Relationship Id="rId125" Type="http://schemas.openxmlformats.org/officeDocument/2006/relationships/hyperlink" Target="https://docs.pinecone.io/" TargetMode="External"/><Relationship Id="rId246" Type="http://schemas.openxmlformats.org/officeDocument/2006/relationships/hyperlink" Target="https://scrumguides.org/" TargetMode="External"/><Relationship Id="rId124" Type="http://schemas.openxmlformats.org/officeDocument/2006/relationships/hyperlink" Target="https://docs.influxdata.com/" TargetMode="External"/><Relationship Id="rId245" Type="http://schemas.openxmlformats.org/officeDocument/2006/relationships/hyperlink" Target="https://www.opengroup.org/togaf" TargetMode="External"/><Relationship Id="rId123" Type="http://schemas.openxmlformats.org/officeDocument/2006/relationships/hyperlink" Target="https://neo4j.com/docs/" TargetMode="External"/><Relationship Id="rId244" Type="http://schemas.openxmlformats.org/officeDocument/2006/relationships/hyperlink" Target="https://en.wikipedia.org/wiki/Distributed_computing" TargetMode="External"/><Relationship Id="rId122" Type="http://schemas.openxmlformats.org/officeDocument/2006/relationships/hyperlink" Target="https://aws.amazon.com/dynamodb/" TargetMode="External"/><Relationship Id="rId243" Type="http://schemas.openxmlformats.org/officeDocument/2006/relationships/hyperlink" Target="https://github.com/donnemartin/system-design-primer" TargetMode="External"/><Relationship Id="rId95" Type="http://schemas.openxmlformats.org/officeDocument/2006/relationships/hyperlink" Target="https://microservices.io/" TargetMode="External"/><Relationship Id="rId94" Type="http://schemas.openxmlformats.org/officeDocument/2006/relationships/hyperlink" Target="https://docs.konghq.com/" TargetMode="External"/><Relationship Id="rId97" Type="http://schemas.openxmlformats.org/officeDocument/2006/relationships/hyperlink" Target="https://www.rabbitmq.com/documentation.html" TargetMode="External"/><Relationship Id="rId96" Type="http://schemas.openxmlformats.org/officeDocument/2006/relationships/hyperlink" Target="https://aws.amazon.com/event-driven-architecture/" TargetMode="External"/><Relationship Id="rId99" Type="http://schemas.openxmlformats.org/officeDocument/2006/relationships/hyperlink" Target="https://aws.amazon.com/caching/" TargetMode="External"/><Relationship Id="rId98" Type="http://schemas.openxmlformats.org/officeDocument/2006/relationships/hyperlink" Target="https://kafka.apache.org/documentation/" TargetMode="External"/><Relationship Id="rId91" Type="http://schemas.openxmlformats.org/officeDocument/2006/relationships/hyperlink" Target="https://jwt.io/introduction" TargetMode="External"/><Relationship Id="rId90" Type="http://schemas.openxmlformats.org/officeDocument/2006/relationships/hyperlink" Target="https://en.wikipedia.org/wiki/Webhook" TargetMode="External"/><Relationship Id="rId93" Type="http://schemas.openxmlformats.org/officeDocument/2006/relationships/hyperlink" Target="https://en.wikipedia.org/wiki/Role-based_access_control" TargetMode="External"/><Relationship Id="rId92" Type="http://schemas.openxmlformats.org/officeDocument/2006/relationships/hyperlink" Target="https://oauth.net/2/" TargetMode="External"/><Relationship Id="rId118" Type="http://schemas.openxmlformats.org/officeDocument/2006/relationships/hyperlink" Target="https://hibernate.org/orm/documentation/" TargetMode="External"/><Relationship Id="rId239" Type="http://schemas.openxmlformats.org/officeDocument/2006/relationships/hyperlink" Target="https://docs.walletconnect.com/" TargetMode="External"/><Relationship Id="rId117" Type="http://schemas.openxmlformats.org/officeDocument/2006/relationships/hyperlink" Target="https://en.wikipedia.org/wiki/Backup" TargetMode="External"/><Relationship Id="rId238" Type="http://schemas.openxmlformats.org/officeDocument/2006/relationships/hyperlink" Target="https://docs.soliditylang.org/" TargetMode="External"/><Relationship Id="rId116" Type="http://schemas.openxmlformats.org/officeDocument/2006/relationships/hyperlink" Target="https://en.wikipedia.org/wiki/Database_tuning" TargetMode="External"/><Relationship Id="rId237" Type="http://schemas.openxmlformats.org/officeDocument/2006/relationships/hyperlink" Target="https://ethereum.org/en/developers/docs/" TargetMode="External"/><Relationship Id="rId115" Type="http://schemas.openxmlformats.org/officeDocument/2006/relationships/hyperlink" Target="https://en.wikipedia.org/wiki/ACID" TargetMode="External"/><Relationship Id="rId236" Type="http://schemas.openxmlformats.org/officeDocument/2006/relationships/hyperlink" Target="https://mqtt.org/" TargetMode="External"/><Relationship Id="rId119" Type="http://schemas.openxmlformats.org/officeDocument/2006/relationships/hyperlink" Target="https://www.mongodb.com/docs/" TargetMode="External"/><Relationship Id="rId110" Type="http://schemas.openxmlformats.org/officeDocument/2006/relationships/hyperlink" Target="https://dev.mysql.com/doc/" TargetMode="External"/><Relationship Id="rId231" Type="http://schemas.openxmlformats.org/officeDocument/2006/relationships/hyperlink" Target="https://developers.google.com/ar" TargetMode="External"/><Relationship Id="rId230" Type="http://schemas.openxmlformats.org/officeDocument/2006/relationships/hyperlink" Target="https://learnopengl.com/" TargetMode="External"/><Relationship Id="rId114" Type="http://schemas.openxmlformats.org/officeDocument/2006/relationships/hyperlink" Target="https://use-the-index-luke.com/" TargetMode="External"/><Relationship Id="rId235" Type="http://schemas.openxmlformats.org/officeDocument/2006/relationships/hyperlink" Target="https://en.wikipedia.org/wiki/I%C2%B2C" TargetMode="External"/><Relationship Id="rId113" Type="http://schemas.openxmlformats.org/officeDocument/2006/relationships/hyperlink" Target="https://www.sqlite.org/docs.html" TargetMode="External"/><Relationship Id="rId234" Type="http://schemas.openxmlformats.org/officeDocument/2006/relationships/hyperlink" Target="https://freertos.org/" TargetMode="External"/><Relationship Id="rId112" Type="http://schemas.openxmlformats.org/officeDocument/2006/relationships/hyperlink" Target="https://docs.oracle.com/en/database/" TargetMode="External"/><Relationship Id="rId233" Type="http://schemas.openxmlformats.org/officeDocument/2006/relationships/hyperlink" Target="https://www.raspberrypi.com/documentation/" TargetMode="External"/><Relationship Id="rId111" Type="http://schemas.openxmlformats.org/officeDocument/2006/relationships/hyperlink" Target="https://learn.microsoft.com/en-us/sql/sql-server/" TargetMode="External"/><Relationship Id="rId232" Type="http://schemas.openxmlformats.org/officeDocument/2006/relationships/hyperlink" Target="https://en.wikipedia.org/wiki/Embedded_software" TargetMode="External"/><Relationship Id="rId206" Type="http://schemas.openxmlformats.org/officeDocument/2006/relationships/hyperlink" Target="https://www.crowdstrike.com/endpoint-security-products/" TargetMode="External"/><Relationship Id="rId205" Type="http://schemas.openxmlformats.org/officeDocument/2006/relationships/hyperlink" Target="https://en.wikipedia.org/wiki/Security_operations_center" TargetMode="External"/><Relationship Id="rId204" Type="http://schemas.openxmlformats.org/officeDocument/2006/relationships/hyperlink" Target="https://docs.splunk.com/Documentation" TargetMode="External"/><Relationship Id="rId203" Type="http://schemas.openxmlformats.org/officeDocument/2006/relationships/hyperlink" Target="https://docs.tenable.com/nessus/" TargetMode="External"/><Relationship Id="rId209" Type="http://schemas.openxmlformats.org/officeDocument/2006/relationships/hyperlink" Target="https://en.wikipedia.org/wiki/Public_key_infrastructure" TargetMode="External"/><Relationship Id="rId208" Type="http://schemas.openxmlformats.org/officeDocument/2006/relationships/hyperlink" Target="https://ghidra-sre.org/" TargetMode="External"/><Relationship Id="rId207" Type="http://schemas.openxmlformats.org/officeDocument/2006/relationships/hyperlink" Target="https://www.cisa.gov/incident-response" TargetMode="External"/><Relationship Id="rId202" Type="http://schemas.openxmlformats.org/officeDocument/2006/relationships/hyperlink" Target="https://docs.rapid7.com/metasploit/" TargetMode="External"/><Relationship Id="rId201" Type="http://schemas.openxmlformats.org/officeDocument/2006/relationships/hyperlink" Target="https://portswigger.net/burp/documentation" TargetMode="External"/><Relationship Id="rId200" Type="http://schemas.openxmlformats.org/officeDocument/2006/relationships/hyperlink" Target="https://owasp.org/www-project-top-te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33.5"/>
    <col customWidth="1" min="3" max="3" width="16.38"/>
    <col customWidth="1" min="4" max="4" width="12.88"/>
    <col customWidth="1" min="5" max="5" width="32.13"/>
    <col customWidth="1" min="6" max="6" width="366.5"/>
  </cols>
  <sheetData>
    <row r="1">
      <c r="A1" s="2" t="s">
        <v>1</v>
      </c>
      <c r="B1" s="2" t="s">
        <v>8</v>
      </c>
      <c r="C1" s="2" t="s">
        <v>9</v>
      </c>
      <c r="D1" s="2" t="s">
        <v>11</v>
      </c>
      <c r="E1" s="2" t="s">
        <v>12</v>
      </c>
      <c r="F1" s="3" t="s">
        <v>14</v>
      </c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</row>
    <row r="3">
      <c r="A3" s="4" t="s">
        <v>24</v>
      </c>
      <c r="B3" s="4" t="s">
        <v>25</v>
      </c>
      <c r="C3" s="4" t="s">
        <v>20</v>
      </c>
      <c r="D3" s="4" t="s">
        <v>21</v>
      </c>
      <c r="E3" s="4" t="s">
        <v>26</v>
      </c>
      <c r="F3" s="5" t="s">
        <v>27</v>
      </c>
    </row>
    <row r="4">
      <c r="A4" s="4" t="s">
        <v>28</v>
      </c>
      <c r="B4" s="4" t="s">
        <v>29</v>
      </c>
      <c r="C4" s="4" t="s">
        <v>20</v>
      </c>
      <c r="D4" s="4" t="s">
        <v>21</v>
      </c>
      <c r="E4" s="4" t="s">
        <v>30</v>
      </c>
      <c r="F4" s="5" t="s">
        <v>31</v>
      </c>
    </row>
    <row r="5">
      <c r="A5" s="4" t="s">
        <v>32</v>
      </c>
      <c r="B5" s="4" t="s">
        <v>33</v>
      </c>
      <c r="C5" s="4" t="s">
        <v>34</v>
      </c>
      <c r="D5" s="4" t="s">
        <v>21</v>
      </c>
      <c r="E5" s="4" t="s">
        <v>35</v>
      </c>
      <c r="F5" s="5" t="s">
        <v>36</v>
      </c>
    </row>
    <row r="6">
      <c r="A6" s="4" t="s">
        <v>37</v>
      </c>
      <c r="B6" s="4" t="s">
        <v>38</v>
      </c>
      <c r="C6" s="4" t="s">
        <v>34</v>
      </c>
      <c r="D6" s="4" t="s">
        <v>21</v>
      </c>
      <c r="E6" s="4" t="s">
        <v>39</v>
      </c>
      <c r="F6" s="5" t="s">
        <v>40</v>
      </c>
    </row>
    <row r="7">
      <c r="A7" s="4" t="s">
        <v>41</v>
      </c>
      <c r="B7" s="4" t="s">
        <v>42</v>
      </c>
      <c r="C7" s="4" t="s">
        <v>34</v>
      </c>
      <c r="D7" s="4" t="s">
        <v>21</v>
      </c>
      <c r="E7" s="4" t="s">
        <v>43</v>
      </c>
      <c r="F7" s="5" t="s">
        <v>44</v>
      </c>
    </row>
    <row r="8">
      <c r="A8" s="4" t="s">
        <v>45</v>
      </c>
      <c r="B8" s="4" t="s">
        <v>46</v>
      </c>
      <c r="C8" s="4" t="s">
        <v>34</v>
      </c>
      <c r="D8" s="4" t="s">
        <v>21</v>
      </c>
      <c r="E8" s="4" t="s">
        <v>47</v>
      </c>
      <c r="F8" s="5" t="s">
        <v>48</v>
      </c>
    </row>
    <row r="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5" t="s">
        <v>55</v>
      </c>
    </row>
    <row r="10">
      <c r="A10" s="4" t="s">
        <v>57</v>
      </c>
      <c r="B10" s="4" t="s">
        <v>58</v>
      </c>
      <c r="C10" s="4" t="s">
        <v>51</v>
      </c>
      <c r="D10" s="4" t="s">
        <v>21</v>
      </c>
      <c r="E10" s="4" t="s">
        <v>60</v>
      </c>
      <c r="F10" s="5" t="s">
        <v>61</v>
      </c>
    </row>
    <row r="11">
      <c r="A11" s="4" t="s">
        <v>62</v>
      </c>
      <c r="B11" s="4" t="s">
        <v>63</v>
      </c>
      <c r="C11" s="4" t="s">
        <v>64</v>
      </c>
      <c r="D11" s="4" t="s">
        <v>21</v>
      </c>
      <c r="E11" s="4" t="s">
        <v>65</v>
      </c>
      <c r="F11" s="5" t="s">
        <v>66</v>
      </c>
    </row>
    <row r="12">
      <c r="A12" s="4" t="s">
        <v>67</v>
      </c>
      <c r="B12" s="4" t="s">
        <v>68</v>
      </c>
      <c r="C12" s="4" t="s">
        <v>64</v>
      </c>
      <c r="D12" s="4" t="s">
        <v>21</v>
      </c>
      <c r="E12" s="4" t="s">
        <v>69</v>
      </c>
      <c r="F12" s="5" t="s">
        <v>70</v>
      </c>
    </row>
    <row r="13">
      <c r="A13" s="4" t="s">
        <v>71</v>
      </c>
      <c r="B13" s="4" t="s">
        <v>72</v>
      </c>
      <c r="C13" s="4" t="s">
        <v>73</v>
      </c>
      <c r="D13" s="4" t="s">
        <v>21</v>
      </c>
      <c r="E13" s="4" t="s">
        <v>74</v>
      </c>
      <c r="F13" s="5" t="s">
        <v>75</v>
      </c>
    </row>
    <row r="14">
      <c r="A14" s="4" t="s">
        <v>76</v>
      </c>
      <c r="B14" s="4" t="s">
        <v>77</v>
      </c>
      <c r="C14" s="4" t="s">
        <v>73</v>
      </c>
      <c r="D14" s="4" t="s">
        <v>21</v>
      </c>
      <c r="E14" s="4" t="s">
        <v>78</v>
      </c>
      <c r="F14" s="5" t="s">
        <v>79</v>
      </c>
    </row>
    <row r="15">
      <c r="A15" s="4" t="s">
        <v>80</v>
      </c>
      <c r="B15" s="4" t="s">
        <v>81</v>
      </c>
      <c r="C15" s="4" t="s">
        <v>73</v>
      </c>
      <c r="D15" s="4" t="s">
        <v>21</v>
      </c>
      <c r="E15" s="4" t="s">
        <v>82</v>
      </c>
      <c r="F15" s="5" t="s">
        <v>83</v>
      </c>
    </row>
    <row r="16">
      <c r="A16" s="4" t="s">
        <v>84</v>
      </c>
      <c r="B16" s="4" t="s">
        <v>85</v>
      </c>
      <c r="C16" s="4" t="s">
        <v>34</v>
      </c>
      <c r="D16" s="4" t="s">
        <v>21</v>
      </c>
      <c r="E16" s="4" t="s">
        <v>86</v>
      </c>
      <c r="F16" s="5" t="s">
        <v>87</v>
      </c>
    </row>
    <row r="17">
      <c r="A17" s="4" t="s">
        <v>88</v>
      </c>
      <c r="B17" s="4" t="s">
        <v>89</v>
      </c>
      <c r="C17" s="4" t="s">
        <v>90</v>
      </c>
      <c r="D17" s="4" t="s">
        <v>21</v>
      </c>
      <c r="E17" s="4" t="s">
        <v>91</v>
      </c>
      <c r="F17" s="5" t="s">
        <v>92</v>
      </c>
    </row>
    <row r="18">
      <c r="A18" s="4" t="s">
        <v>93</v>
      </c>
      <c r="B18" s="4" t="s">
        <v>94</v>
      </c>
      <c r="C18" s="4" t="s">
        <v>96</v>
      </c>
      <c r="D18" s="4" t="s">
        <v>21</v>
      </c>
      <c r="E18" s="4" t="s">
        <v>98</v>
      </c>
      <c r="F18" s="5" t="s">
        <v>100</v>
      </c>
    </row>
    <row r="19">
      <c r="A19" s="4" t="s">
        <v>101</v>
      </c>
      <c r="B19" s="4" t="s">
        <v>102</v>
      </c>
      <c r="C19" s="4" t="s">
        <v>96</v>
      </c>
      <c r="D19" s="4" t="s">
        <v>21</v>
      </c>
      <c r="E19" s="4" t="s">
        <v>103</v>
      </c>
      <c r="F19" s="5" t="s">
        <v>104</v>
      </c>
    </row>
    <row r="20">
      <c r="A20" s="4" t="s">
        <v>107</v>
      </c>
      <c r="B20" s="4" t="s">
        <v>108</v>
      </c>
      <c r="C20" s="4" t="s">
        <v>109</v>
      </c>
      <c r="D20" s="4" t="s">
        <v>21</v>
      </c>
      <c r="E20" s="4" t="s">
        <v>110</v>
      </c>
      <c r="F20" s="5" t="s">
        <v>111</v>
      </c>
    </row>
    <row r="21">
      <c r="A21" s="4" t="s">
        <v>112</v>
      </c>
      <c r="B21" s="4" t="s">
        <v>113</v>
      </c>
      <c r="C21" s="4" t="s">
        <v>109</v>
      </c>
      <c r="D21" s="4" t="s">
        <v>21</v>
      </c>
      <c r="E21" s="4" t="s">
        <v>116</v>
      </c>
      <c r="F21" s="5" t="s">
        <v>117</v>
      </c>
    </row>
    <row r="22">
      <c r="A22" s="4" t="s">
        <v>118</v>
      </c>
      <c r="B22" s="4" t="s">
        <v>119</v>
      </c>
      <c r="C22" s="4" t="s">
        <v>120</v>
      </c>
      <c r="D22" s="4" t="s">
        <v>21</v>
      </c>
      <c r="E22" s="4" t="s">
        <v>121</v>
      </c>
      <c r="F22" s="5" t="s">
        <v>122</v>
      </c>
    </row>
    <row r="23">
      <c r="A23" s="4" t="s">
        <v>125</v>
      </c>
      <c r="B23" s="4" t="s">
        <v>126</v>
      </c>
      <c r="C23" s="4" t="s">
        <v>120</v>
      </c>
      <c r="D23" s="4" t="s">
        <v>21</v>
      </c>
      <c r="E23" s="4" t="s">
        <v>128</v>
      </c>
      <c r="F23" s="5" t="s">
        <v>129</v>
      </c>
    </row>
    <row r="24">
      <c r="A24" s="4" t="s">
        <v>130</v>
      </c>
      <c r="B24" s="4" t="s">
        <v>131</v>
      </c>
      <c r="C24" s="4" t="s">
        <v>132</v>
      </c>
      <c r="D24" s="4" t="s">
        <v>21</v>
      </c>
      <c r="E24" s="4" t="s">
        <v>133</v>
      </c>
      <c r="F24" s="5" t="s">
        <v>134</v>
      </c>
    </row>
    <row r="25">
      <c r="A25" s="4" t="s">
        <v>135</v>
      </c>
      <c r="B25" s="4" t="s">
        <v>136</v>
      </c>
      <c r="C25" s="4" t="s">
        <v>132</v>
      </c>
      <c r="D25" s="4" t="s">
        <v>21</v>
      </c>
      <c r="E25" s="4" t="s">
        <v>137</v>
      </c>
      <c r="F25" s="5" t="s">
        <v>138</v>
      </c>
    </row>
    <row r="26">
      <c r="A26" s="4" t="s">
        <v>139</v>
      </c>
      <c r="B26" s="4" t="s">
        <v>140</v>
      </c>
      <c r="C26" s="4" t="s">
        <v>132</v>
      </c>
      <c r="D26" s="4" t="s">
        <v>141</v>
      </c>
      <c r="E26" s="4" t="s">
        <v>142</v>
      </c>
      <c r="F26" s="5" t="s">
        <v>143</v>
      </c>
    </row>
    <row r="27">
      <c r="A27" s="4" t="s">
        <v>144</v>
      </c>
      <c r="B27" s="4" t="s">
        <v>145</v>
      </c>
      <c r="C27" s="4" t="s">
        <v>96</v>
      </c>
      <c r="D27" s="4" t="s">
        <v>21</v>
      </c>
      <c r="E27" s="4" t="s">
        <v>146</v>
      </c>
      <c r="F27" s="5" t="s">
        <v>147</v>
      </c>
    </row>
    <row r="28">
      <c r="A28" s="4" t="s">
        <v>148</v>
      </c>
      <c r="B28" s="4" t="s">
        <v>149</v>
      </c>
      <c r="C28" s="4" t="s">
        <v>34</v>
      </c>
      <c r="D28" s="4" t="s">
        <v>52</v>
      </c>
      <c r="E28" s="4" t="s">
        <v>150</v>
      </c>
      <c r="F28" s="5" t="s">
        <v>151</v>
      </c>
    </row>
    <row r="29">
      <c r="A29" s="4" t="s">
        <v>152</v>
      </c>
      <c r="B29" s="4" t="s">
        <v>153</v>
      </c>
      <c r="C29" s="4" t="s">
        <v>154</v>
      </c>
      <c r="D29" s="4" t="s">
        <v>21</v>
      </c>
      <c r="E29" s="4" t="s">
        <v>155</v>
      </c>
      <c r="F29" s="5" t="s">
        <v>156</v>
      </c>
    </row>
    <row r="30">
      <c r="A30" s="4" t="s">
        <v>157</v>
      </c>
      <c r="B30" s="4" t="s">
        <v>158</v>
      </c>
      <c r="C30" s="4" t="s">
        <v>159</v>
      </c>
      <c r="D30" s="4" t="s">
        <v>21</v>
      </c>
      <c r="E30" s="4" t="s">
        <v>160</v>
      </c>
      <c r="F30" s="5" t="s">
        <v>161</v>
      </c>
    </row>
    <row r="31">
      <c r="A31" s="4" t="s">
        <v>162</v>
      </c>
      <c r="B31" s="4" t="s">
        <v>164</v>
      </c>
      <c r="C31" s="4" t="s">
        <v>166</v>
      </c>
      <c r="D31" s="4" t="s">
        <v>21</v>
      </c>
      <c r="E31" s="4" t="s">
        <v>167</v>
      </c>
      <c r="F31" s="5" t="s">
        <v>169</v>
      </c>
    </row>
    <row r="32">
      <c r="A32" s="4" t="s">
        <v>170</v>
      </c>
      <c r="B32" s="4" t="s">
        <v>171</v>
      </c>
      <c r="C32" s="4" t="s">
        <v>172</v>
      </c>
      <c r="D32" s="4" t="s">
        <v>21</v>
      </c>
      <c r="E32" s="4" t="s">
        <v>173</v>
      </c>
      <c r="F32" s="5" t="s">
        <v>174</v>
      </c>
    </row>
    <row r="33">
      <c r="A33" s="4" t="s">
        <v>175</v>
      </c>
      <c r="B33" s="4" t="s">
        <v>176</v>
      </c>
      <c r="C33" s="4" t="s">
        <v>172</v>
      </c>
      <c r="D33" s="4" t="s">
        <v>21</v>
      </c>
      <c r="E33" s="4" t="s">
        <v>177</v>
      </c>
      <c r="F33" s="5" t="s">
        <v>178</v>
      </c>
    </row>
    <row r="34">
      <c r="A34" s="4" t="s">
        <v>181</v>
      </c>
      <c r="B34" s="4" t="s">
        <v>182</v>
      </c>
      <c r="C34" s="4" t="s">
        <v>96</v>
      </c>
      <c r="D34" s="4" t="s">
        <v>52</v>
      </c>
      <c r="E34" s="4" t="s">
        <v>184</v>
      </c>
      <c r="F34" s="5" t="s">
        <v>185</v>
      </c>
    </row>
    <row r="35">
      <c r="A35" s="4" t="s">
        <v>186</v>
      </c>
      <c r="B35" s="4" t="s">
        <v>187</v>
      </c>
      <c r="C35" s="4" t="s">
        <v>20</v>
      </c>
      <c r="D35" s="4" t="s">
        <v>52</v>
      </c>
      <c r="E35" s="4" t="s">
        <v>188</v>
      </c>
      <c r="F35" s="5" t="s">
        <v>189</v>
      </c>
    </row>
    <row r="36">
      <c r="A36" s="4" t="s">
        <v>190</v>
      </c>
      <c r="B36" s="4" t="s">
        <v>191</v>
      </c>
      <c r="C36" s="4" t="s">
        <v>51</v>
      </c>
      <c r="D36" s="4" t="s">
        <v>52</v>
      </c>
      <c r="E36" s="4" t="s">
        <v>192</v>
      </c>
      <c r="F36" s="5" t="s">
        <v>193</v>
      </c>
    </row>
    <row r="37">
      <c r="A37" s="4" t="s">
        <v>194</v>
      </c>
      <c r="B37" s="4" t="s">
        <v>195</v>
      </c>
      <c r="C37" s="4" t="s">
        <v>96</v>
      </c>
      <c r="D37" s="4" t="s">
        <v>21</v>
      </c>
      <c r="E37" s="4" t="s">
        <v>196</v>
      </c>
      <c r="F37" s="5" t="s">
        <v>197</v>
      </c>
    </row>
    <row r="38">
      <c r="A38" s="4" t="s">
        <v>200</v>
      </c>
      <c r="B38" s="4" t="s">
        <v>201</v>
      </c>
      <c r="C38" s="4" t="s">
        <v>64</v>
      </c>
      <c r="D38" s="4" t="s">
        <v>21</v>
      </c>
      <c r="E38" s="4" t="s">
        <v>203</v>
      </c>
      <c r="F38" s="5" t="s">
        <v>204</v>
      </c>
    </row>
    <row r="39">
      <c r="A39" s="4" t="s">
        <v>205</v>
      </c>
      <c r="B39" s="4" t="s">
        <v>206</v>
      </c>
      <c r="C39" s="4" t="s">
        <v>207</v>
      </c>
      <c r="D39" s="4" t="s">
        <v>21</v>
      </c>
      <c r="E39" s="4" t="s">
        <v>208</v>
      </c>
      <c r="F39" s="5" t="s">
        <v>209</v>
      </c>
    </row>
    <row r="40">
      <c r="A40" s="4" t="s">
        <v>210</v>
      </c>
      <c r="B40" s="4" t="s">
        <v>211</v>
      </c>
      <c r="C40" s="4" t="s">
        <v>34</v>
      </c>
      <c r="D40" s="4" t="s">
        <v>21</v>
      </c>
      <c r="E40" s="4" t="s">
        <v>212</v>
      </c>
      <c r="F40" s="5" t="s">
        <v>213</v>
      </c>
    </row>
    <row r="41">
      <c r="A41" s="4" t="s">
        <v>214</v>
      </c>
      <c r="B41" s="4" t="s">
        <v>215</v>
      </c>
      <c r="C41" s="4" t="s">
        <v>34</v>
      </c>
      <c r="D41" s="4" t="s">
        <v>21</v>
      </c>
      <c r="E41" s="4" t="s">
        <v>216</v>
      </c>
      <c r="F41" s="5" t="s">
        <v>217</v>
      </c>
    </row>
    <row r="42">
      <c r="A42" s="4" t="s">
        <v>218</v>
      </c>
      <c r="B42" s="4" t="s">
        <v>219</v>
      </c>
      <c r="C42" s="4" t="s">
        <v>20</v>
      </c>
      <c r="D42" s="4" t="s">
        <v>220</v>
      </c>
      <c r="E42" s="4" t="s">
        <v>221</v>
      </c>
      <c r="F42" s="5" t="s">
        <v>224</v>
      </c>
    </row>
    <row r="43">
      <c r="A43" s="4" t="s">
        <v>225</v>
      </c>
      <c r="B43" s="4" t="s">
        <v>227</v>
      </c>
      <c r="C43" s="4" t="s">
        <v>20</v>
      </c>
      <c r="D43" s="4" t="s">
        <v>52</v>
      </c>
      <c r="E43" s="4" t="s">
        <v>228</v>
      </c>
      <c r="F43" s="5" t="s">
        <v>229</v>
      </c>
    </row>
    <row r="44">
      <c r="A44" s="4" t="s">
        <v>230</v>
      </c>
      <c r="B44" s="4" t="s">
        <v>231</v>
      </c>
      <c r="C44" s="4" t="s">
        <v>20</v>
      </c>
      <c r="D44" s="4" t="s">
        <v>220</v>
      </c>
      <c r="E44" s="4" t="s">
        <v>232</v>
      </c>
      <c r="F44" s="5" t="s">
        <v>233</v>
      </c>
    </row>
    <row r="45">
      <c r="A45" s="4" t="s">
        <v>234</v>
      </c>
      <c r="B45" s="4" t="s">
        <v>235</v>
      </c>
      <c r="C45" s="4" t="s">
        <v>20</v>
      </c>
      <c r="D45" s="4" t="s">
        <v>52</v>
      </c>
      <c r="E45" s="4" t="s">
        <v>236</v>
      </c>
      <c r="F45" s="5" t="s">
        <v>237</v>
      </c>
    </row>
    <row r="46">
      <c r="A46" s="4" t="s">
        <v>238</v>
      </c>
      <c r="B46" s="4" t="s">
        <v>239</v>
      </c>
      <c r="C46" s="4" t="s">
        <v>64</v>
      </c>
      <c r="D46" s="4" t="s">
        <v>21</v>
      </c>
      <c r="E46" s="4" t="s">
        <v>240</v>
      </c>
      <c r="F46" s="5" t="s">
        <v>241</v>
      </c>
    </row>
    <row r="47">
      <c r="A47" s="4" t="s">
        <v>242</v>
      </c>
      <c r="B47" s="4" t="s">
        <v>244</v>
      </c>
      <c r="C47" s="4" t="s">
        <v>34</v>
      </c>
      <c r="D47" s="4" t="s">
        <v>21</v>
      </c>
      <c r="E47" s="4" t="s">
        <v>247</v>
      </c>
      <c r="F47" s="5" t="s">
        <v>249</v>
      </c>
    </row>
    <row r="48">
      <c r="A48" s="4" t="s">
        <v>250</v>
      </c>
      <c r="B48" s="4" t="s">
        <v>251</v>
      </c>
      <c r="C48" s="4" t="s">
        <v>73</v>
      </c>
      <c r="D48" s="4" t="s">
        <v>52</v>
      </c>
      <c r="E48" s="4" t="s">
        <v>252</v>
      </c>
      <c r="F48" s="5" t="s">
        <v>253</v>
      </c>
    </row>
    <row r="49">
      <c r="A49" s="4" t="s">
        <v>254</v>
      </c>
      <c r="B49" s="4" t="s">
        <v>255</v>
      </c>
      <c r="C49" s="4" t="s">
        <v>34</v>
      </c>
      <c r="D49" s="4" t="s">
        <v>21</v>
      </c>
      <c r="E49" s="4" t="s">
        <v>256</v>
      </c>
      <c r="F49" s="5" t="s">
        <v>257</v>
      </c>
    </row>
    <row r="50">
      <c r="A50" s="4" t="s">
        <v>259</v>
      </c>
      <c r="B50" s="4" t="s">
        <v>261</v>
      </c>
      <c r="C50" s="4" t="s">
        <v>64</v>
      </c>
      <c r="D50" s="4" t="s">
        <v>52</v>
      </c>
      <c r="E50" s="4" t="s">
        <v>263</v>
      </c>
      <c r="F50" s="5" t="s">
        <v>264</v>
      </c>
    </row>
    <row r="51">
      <c r="A51" s="4" t="s">
        <v>265</v>
      </c>
      <c r="B51" s="4" t="s">
        <v>266</v>
      </c>
      <c r="C51" s="4" t="s">
        <v>109</v>
      </c>
      <c r="D51" s="4" t="s">
        <v>267</v>
      </c>
      <c r="E51" s="4" t="s">
        <v>268</v>
      </c>
      <c r="F51" s="5" t="s">
        <v>269</v>
      </c>
    </row>
    <row r="52">
      <c r="A52" s="4" t="s">
        <v>270</v>
      </c>
      <c r="B52" s="4" t="s">
        <v>271</v>
      </c>
      <c r="C52" s="4" t="s">
        <v>154</v>
      </c>
      <c r="D52" s="4" t="s">
        <v>52</v>
      </c>
      <c r="E52" s="4" t="s">
        <v>272</v>
      </c>
      <c r="F52" s="5" t="s">
        <v>273</v>
      </c>
    </row>
    <row r="53">
      <c r="A53" s="4" t="s">
        <v>274</v>
      </c>
      <c r="B53" s="4" t="s">
        <v>275</v>
      </c>
      <c r="C53" s="4" t="s">
        <v>166</v>
      </c>
      <c r="D53" s="4" t="s">
        <v>21</v>
      </c>
      <c r="E53" s="4" t="s">
        <v>276</v>
      </c>
      <c r="F53" s="5" t="s">
        <v>278</v>
      </c>
    </row>
    <row r="54">
      <c r="A54" s="4" t="s">
        <v>279</v>
      </c>
      <c r="B54" s="4" t="s">
        <v>280</v>
      </c>
      <c r="C54" s="4" t="s">
        <v>159</v>
      </c>
      <c r="D54" s="4" t="s">
        <v>21</v>
      </c>
      <c r="E54" s="4" t="s">
        <v>281</v>
      </c>
      <c r="F54" s="5" t="s">
        <v>282</v>
      </c>
    </row>
    <row r="55">
      <c r="A55" s="4" t="s">
        <v>284</v>
      </c>
      <c r="B55" s="4" t="s">
        <v>285</v>
      </c>
      <c r="C55" s="4" t="s">
        <v>159</v>
      </c>
      <c r="D55" s="4" t="s">
        <v>21</v>
      </c>
      <c r="E55" s="4" t="s">
        <v>287</v>
      </c>
      <c r="F55" s="5" t="s">
        <v>288</v>
      </c>
    </row>
    <row r="56">
      <c r="A56" s="4" t="s">
        <v>289</v>
      </c>
      <c r="B56" s="4" t="s">
        <v>290</v>
      </c>
      <c r="C56" s="4" t="s">
        <v>172</v>
      </c>
      <c r="D56" s="4" t="s">
        <v>21</v>
      </c>
      <c r="E56" s="4" t="s">
        <v>291</v>
      </c>
      <c r="F56" s="5" t="s">
        <v>292</v>
      </c>
    </row>
    <row r="57">
      <c r="A57" s="4" t="s">
        <v>293</v>
      </c>
      <c r="B57" s="4" t="s">
        <v>294</v>
      </c>
      <c r="C57" s="4" t="s">
        <v>34</v>
      </c>
      <c r="D57" s="4" t="s">
        <v>52</v>
      </c>
      <c r="E57" s="4" t="s">
        <v>295</v>
      </c>
      <c r="F57" s="5" t="s">
        <v>296</v>
      </c>
    </row>
    <row r="58">
      <c r="A58" s="4" t="s">
        <v>297</v>
      </c>
      <c r="B58" s="4" t="s">
        <v>298</v>
      </c>
      <c r="C58" s="4" t="s">
        <v>73</v>
      </c>
      <c r="D58" s="4" t="s">
        <v>21</v>
      </c>
      <c r="E58" s="4" t="s">
        <v>299</v>
      </c>
      <c r="F58" s="5" t="s">
        <v>300</v>
      </c>
    </row>
    <row r="59">
      <c r="A59" s="4" t="s">
        <v>301</v>
      </c>
      <c r="B59" s="4" t="s">
        <v>302</v>
      </c>
      <c r="C59" s="4" t="s">
        <v>132</v>
      </c>
      <c r="D59" s="4" t="s">
        <v>21</v>
      </c>
      <c r="E59" s="4" t="s">
        <v>303</v>
      </c>
      <c r="F59" s="5" t="s">
        <v>304</v>
      </c>
    </row>
    <row r="60">
      <c r="A60" s="4" t="s">
        <v>305</v>
      </c>
      <c r="B60" s="4" t="s">
        <v>306</v>
      </c>
      <c r="C60" s="4" t="s">
        <v>20</v>
      </c>
      <c r="D60" s="4" t="s">
        <v>21</v>
      </c>
      <c r="E60" s="4" t="s">
        <v>308</v>
      </c>
      <c r="F60" s="5" t="s">
        <v>310</v>
      </c>
    </row>
    <row r="61">
      <c r="A61" s="4" t="s">
        <v>312</v>
      </c>
      <c r="B61" s="4" t="s">
        <v>313</v>
      </c>
      <c r="C61" s="4" t="s">
        <v>64</v>
      </c>
      <c r="D61" s="4" t="s">
        <v>21</v>
      </c>
      <c r="E61" s="4" t="s">
        <v>314</v>
      </c>
      <c r="F61" s="5" t="s">
        <v>315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32.63"/>
    <col customWidth="1" min="3" max="3" width="15.13"/>
    <col customWidth="1" min="4" max="4" width="19.75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7</v>
      </c>
    </row>
    <row r="2">
      <c r="A2" s="4" t="s">
        <v>10</v>
      </c>
      <c r="B2" s="4" t="s">
        <v>13</v>
      </c>
      <c r="C2" s="4" t="s">
        <v>15</v>
      </c>
      <c r="D2" s="4" t="s">
        <v>16</v>
      </c>
      <c r="E2" s="8" t="s">
        <v>17</v>
      </c>
    </row>
    <row r="3">
      <c r="A3" s="4" t="s">
        <v>54</v>
      </c>
      <c r="B3" s="4" t="s">
        <v>56</v>
      </c>
      <c r="C3" s="4" t="s">
        <v>15</v>
      </c>
      <c r="D3" s="4" t="s">
        <v>16</v>
      </c>
      <c r="E3" s="8" t="s">
        <v>59</v>
      </c>
    </row>
    <row r="4">
      <c r="A4" s="4" t="s">
        <v>95</v>
      </c>
      <c r="B4" s="4" t="s">
        <v>97</v>
      </c>
      <c r="C4" s="4" t="s">
        <v>15</v>
      </c>
      <c r="D4" s="4" t="s">
        <v>99</v>
      </c>
      <c r="E4" s="8" t="s">
        <v>59</v>
      </c>
    </row>
    <row r="5">
      <c r="A5" s="4" t="s">
        <v>105</v>
      </c>
      <c r="B5" s="4" t="s">
        <v>106</v>
      </c>
      <c r="C5" s="4" t="s">
        <v>15</v>
      </c>
      <c r="D5" s="4" t="s">
        <v>99</v>
      </c>
      <c r="E5" s="8" t="s">
        <v>59</v>
      </c>
    </row>
    <row r="6">
      <c r="A6" s="4" t="s">
        <v>114</v>
      </c>
      <c r="B6" s="4" t="s">
        <v>115</v>
      </c>
      <c r="C6" s="4" t="s">
        <v>15</v>
      </c>
      <c r="D6" s="4" t="s">
        <v>16</v>
      </c>
      <c r="E6" s="8" t="s">
        <v>59</v>
      </c>
    </row>
    <row r="7">
      <c r="A7" s="4" t="s">
        <v>123</v>
      </c>
      <c r="B7" s="4" t="s">
        <v>124</v>
      </c>
      <c r="C7" s="4" t="s">
        <v>15</v>
      </c>
      <c r="D7" s="4" t="s">
        <v>16</v>
      </c>
      <c r="E7" s="8" t="s">
        <v>127</v>
      </c>
    </row>
    <row r="8">
      <c r="A8" s="4" t="s">
        <v>163</v>
      </c>
      <c r="B8" s="4" t="s">
        <v>165</v>
      </c>
      <c r="C8" s="4" t="s">
        <v>15</v>
      </c>
      <c r="D8" s="4" t="s">
        <v>99</v>
      </c>
      <c r="E8" s="8" t="s">
        <v>168</v>
      </c>
    </row>
    <row r="9">
      <c r="A9" s="4" t="s">
        <v>179</v>
      </c>
      <c r="B9" s="4" t="s">
        <v>180</v>
      </c>
      <c r="C9" s="4" t="s">
        <v>15</v>
      </c>
      <c r="D9" s="4" t="s">
        <v>99</v>
      </c>
      <c r="E9" s="8" t="s">
        <v>183</v>
      </c>
    </row>
    <row r="10">
      <c r="A10" s="4" t="s">
        <v>198</v>
      </c>
      <c r="B10" s="4" t="s">
        <v>199</v>
      </c>
      <c r="C10" s="4" t="s">
        <v>15</v>
      </c>
      <c r="D10" s="4" t="s">
        <v>99</v>
      </c>
      <c r="E10" s="8" t="s">
        <v>202</v>
      </c>
    </row>
    <row r="11">
      <c r="A11" s="4" t="s">
        <v>222</v>
      </c>
      <c r="B11" s="4" t="s">
        <v>223</v>
      </c>
      <c r="C11" s="4" t="s">
        <v>15</v>
      </c>
      <c r="D11" s="4" t="s">
        <v>16</v>
      </c>
      <c r="E11" s="8" t="s">
        <v>226</v>
      </c>
    </row>
    <row r="12">
      <c r="A12" s="4" t="s">
        <v>243</v>
      </c>
      <c r="B12" s="4" t="s">
        <v>245</v>
      </c>
      <c r="C12" s="4" t="s">
        <v>15</v>
      </c>
      <c r="D12" s="4" t="s">
        <v>246</v>
      </c>
      <c r="E12" s="8" t="s">
        <v>248</v>
      </c>
    </row>
    <row r="13">
      <c r="A13" s="4" t="s">
        <v>258</v>
      </c>
      <c r="B13" s="4" t="s">
        <v>260</v>
      </c>
      <c r="C13" s="4" t="s">
        <v>15</v>
      </c>
      <c r="D13" s="4" t="s">
        <v>16</v>
      </c>
      <c r="E13" s="8" t="s">
        <v>262</v>
      </c>
    </row>
    <row r="14">
      <c r="A14" s="4" t="s">
        <v>277</v>
      </c>
      <c r="B14" s="4" t="s">
        <v>283</v>
      </c>
      <c r="C14" s="4" t="s">
        <v>15</v>
      </c>
      <c r="D14" s="4" t="s">
        <v>16</v>
      </c>
      <c r="E14" s="8" t="s">
        <v>286</v>
      </c>
    </row>
    <row r="15">
      <c r="A15" s="4" t="s">
        <v>307</v>
      </c>
      <c r="B15" s="4" t="s">
        <v>309</v>
      </c>
      <c r="C15" s="4" t="s">
        <v>15</v>
      </c>
      <c r="D15" s="4" t="s">
        <v>99</v>
      </c>
      <c r="E15" s="8" t="s">
        <v>311</v>
      </c>
    </row>
    <row r="16">
      <c r="A16" s="4" t="s">
        <v>316</v>
      </c>
      <c r="B16" s="4" t="s">
        <v>317</v>
      </c>
      <c r="C16" s="4" t="s">
        <v>15</v>
      </c>
      <c r="D16" s="4" t="s">
        <v>246</v>
      </c>
      <c r="E16" s="8" t="s">
        <v>318</v>
      </c>
    </row>
    <row r="17">
      <c r="A17" s="4" t="s">
        <v>319</v>
      </c>
      <c r="B17" s="4" t="s">
        <v>320</v>
      </c>
      <c r="C17" s="4" t="s">
        <v>15</v>
      </c>
      <c r="D17" s="4" t="s">
        <v>99</v>
      </c>
      <c r="E17" s="8" t="s">
        <v>321</v>
      </c>
    </row>
    <row r="18">
      <c r="A18" s="4" t="s">
        <v>322</v>
      </c>
      <c r="B18" s="4" t="s">
        <v>323</v>
      </c>
      <c r="C18" s="4" t="s">
        <v>15</v>
      </c>
      <c r="D18" s="4" t="s">
        <v>16</v>
      </c>
      <c r="E18" s="8" t="s">
        <v>324</v>
      </c>
    </row>
    <row r="19">
      <c r="A19" s="4" t="s">
        <v>325</v>
      </c>
      <c r="B19" s="4" t="s">
        <v>326</v>
      </c>
      <c r="C19" s="4" t="s">
        <v>15</v>
      </c>
      <c r="D19" s="4" t="s">
        <v>16</v>
      </c>
      <c r="E19" s="8" t="s">
        <v>327</v>
      </c>
    </row>
    <row r="20">
      <c r="A20" s="4" t="s">
        <v>328</v>
      </c>
      <c r="B20" s="4" t="s">
        <v>329</v>
      </c>
      <c r="C20" s="4" t="s">
        <v>15</v>
      </c>
      <c r="D20" s="4" t="s">
        <v>16</v>
      </c>
      <c r="E20" s="8" t="s">
        <v>330</v>
      </c>
    </row>
    <row r="21">
      <c r="A21" s="4" t="s">
        <v>331</v>
      </c>
      <c r="B21" s="4" t="s">
        <v>332</v>
      </c>
      <c r="C21" s="4" t="s">
        <v>15</v>
      </c>
      <c r="D21" s="4" t="s">
        <v>99</v>
      </c>
      <c r="E21" s="8" t="s">
        <v>333</v>
      </c>
    </row>
    <row r="22">
      <c r="A22" s="4" t="s">
        <v>334</v>
      </c>
      <c r="B22" s="4" t="s">
        <v>335</v>
      </c>
      <c r="C22" s="4" t="s">
        <v>15</v>
      </c>
      <c r="D22" s="4" t="s">
        <v>99</v>
      </c>
      <c r="E22" s="8" t="s">
        <v>336</v>
      </c>
    </row>
    <row r="23">
      <c r="A23" s="4" t="s">
        <v>337</v>
      </c>
      <c r="B23" s="4" t="s">
        <v>338</v>
      </c>
      <c r="C23" s="4" t="s">
        <v>15</v>
      </c>
      <c r="D23" s="4" t="s">
        <v>16</v>
      </c>
      <c r="E23" s="8" t="s">
        <v>339</v>
      </c>
    </row>
    <row r="24">
      <c r="A24" s="4" t="s">
        <v>340</v>
      </c>
      <c r="B24" s="4" t="s">
        <v>341</v>
      </c>
      <c r="C24" s="4" t="s">
        <v>15</v>
      </c>
      <c r="D24" s="4" t="s">
        <v>16</v>
      </c>
      <c r="E24" s="8" t="s">
        <v>342</v>
      </c>
    </row>
    <row r="25">
      <c r="A25" s="4" t="s">
        <v>343</v>
      </c>
      <c r="B25" s="4" t="s">
        <v>344</v>
      </c>
      <c r="C25" s="4" t="s">
        <v>15</v>
      </c>
      <c r="D25" s="4" t="s">
        <v>99</v>
      </c>
      <c r="E25" s="8" t="s">
        <v>345</v>
      </c>
    </row>
    <row r="26">
      <c r="A26" s="4" t="s">
        <v>346</v>
      </c>
      <c r="B26" s="4" t="s">
        <v>347</v>
      </c>
      <c r="C26" s="4" t="s">
        <v>15</v>
      </c>
      <c r="D26" s="4" t="s">
        <v>16</v>
      </c>
      <c r="E26" s="8" t="s">
        <v>348</v>
      </c>
    </row>
    <row r="27">
      <c r="A27" s="4" t="s">
        <v>349</v>
      </c>
      <c r="B27" s="4" t="s">
        <v>350</v>
      </c>
      <c r="C27" s="4" t="s">
        <v>15</v>
      </c>
      <c r="D27" s="4" t="s">
        <v>16</v>
      </c>
      <c r="E27" s="8" t="s">
        <v>351</v>
      </c>
    </row>
    <row r="28">
      <c r="A28" s="4" t="s">
        <v>352</v>
      </c>
      <c r="B28" s="4" t="s">
        <v>353</v>
      </c>
      <c r="C28" s="4" t="s">
        <v>15</v>
      </c>
      <c r="D28" s="4" t="s">
        <v>16</v>
      </c>
      <c r="E28" s="8" t="s">
        <v>354</v>
      </c>
    </row>
    <row r="29">
      <c r="A29" s="4" t="s">
        <v>355</v>
      </c>
      <c r="B29" s="4" t="s">
        <v>356</v>
      </c>
      <c r="C29" s="4" t="s">
        <v>15</v>
      </c>
      <c r="D29" s="4" t="s">
        <v>16</v>
      </c>
      <c r="E29" s="8" t="s">
        <v>357</v>
      </c>
    </row>
    <row r="30">
      <c r="A30" s="4" t="s">
        <v>358</v>
      </c>
      <c r="B30" s="4" t="s">
        <v>359</v>
      </c>
      <c r="C30" s="4" t="s">
        <v>15</v>
      </c>
      <c r="D30" s="4" t="s">
        <v>99</v>
      </c>
      <c r="E30" s="8" t="s">
        <v>360</v>
      </c>
    </row>
    <row r="31">
      <c r="A31" s="4" t="s">
        <v>361</v>
      </c>
      <c r="B31" s="4" t="s">
        <v>362</v>
      </c>
      <c r="C31" s="4" t="s">
        <v>15</v>
      </c>
      <c r="D31" s="4" t="s">
        <v>16</v>
      </c>
      <c r="E31" s="8" t="s">
        <v>363</v>
      </c>
    </row>
    <row r="32">
      <c r="A32" s="4" t="s">
        <v>364</v>
      </c>
      <c r="B32" s="4" t="s">
        <v>365</v>
      </c>
      <c r="C32" s="4" t="s">
        <v>366</v>
      </c>
      <c r="D32" s="4" t="s">
        <v>16</v>
      </c>
      <c r="E32" s="8" t="s">
        <v>367</v>
      </c>
    </row>
    <row r="33">
      <c r="A33" s="4" t="s">
        <v>368</v>
      </c>
      <c r="B33" s="4" t="s">
        <v>369</v>
      </c>
      <c r="C33" s="4" t="s">
        <v>366</v>
      </c>
      <c r="D33" s="4" t="s">
        <v>16</v>
      </c>
      <c r="E33" s="8" t="s">
        <v>370</v>
      </c>
    </row>
    <row r="34">
      <c r="A34" s="4" t="s">
        <v>371</v>
      </c>
      <c r="B34" s="4" t="s">
        <v>372</v>
      </c>
      <c r="C34" s="4" t="s">
        <v>366</v>
      </c>
      <c r="D34" s="4" t="s">
        <v>16</v>
      </c>
      <c r="E34" s="8" t="s">
        <v>373</v>
      </c>
    </row>
    <row r="35">
      <c r="A35" s="4" t="s">
        <v>374</v>
      </c>
      <c r="B35" s="4" t="s">
        <v>375</v>
      </c>
      <c r="C35" s="4" t="s">
        <v>366</v>
      </c>
      <c r="D35" s="4" t="s">
        <v>16</v>
      </c>
      <c r="E35" s="8" t="s">
        <v>376</v>
      </c>
    </row>
    <row r="36">
      <c r="A36" s="4" t="s">
        <v>377</v>
      </c>
      <c r="B36" s="4" t="s">
        <v>378</v>
      </c>
      <c r="C36" s="4" t="s">
        <v>366</v>
      </c>
      <c r="D36" s="4" t="s">
        <v>99</v>
      </c>
      <c r="E36" s="8" t="s">
        <v>379</v>
      </c>
    </row>
    <row r="37">
      <c r="A37" s="4" t="s">
        <v>380</v>
      </c>
      <c r="B37" s="4" t="s">
        <v>381</v>
      </c>
      <c r="C37" s="4" t="s">
        <v>366</v>
      </c>
      <c r="D37" s="4" t="s">
        <v>16</v>
      </c>
      <c r="E37" s="8" t="s">
        <v>382</v>
      </c>
    </row>
    <row r="38">
      <c r="A38" s="4" t="s">
        <v>383</v>
      </c>
      <c r="B38" s="4" t="s">
        <v>384</v>
      </c>
      <c r="C38" s="4" t="s">
        <v>366</v>
      </c>
      <c r="D38" s="4" t="s">
        <v>16</v>
      </c>
      <c r="E38" s="8" t="s">
        <v>385</v>
      </c>
    </row>
    <row r="39">
      <c r="A39" s="4" t="s">
        <v>386</v>
      </c>
      <c r="B39" s="4" t="s">
        <v>387</v>
      </c>
      <c r="C39" s="4" t="s">
        <v>366</v>
      </c>
      <c r="D39" s="4" t="s">
        <v>99</v>
      </c>
      <c r="E39" s="8" t="s">
        <v>388</v>
      </c>
    </row>
    <row r="40">
      <c r="A40" s="4" t="s">
        <v>389</v>
      </c>
      <c r="B40" s="4" t="s">
        <v>390</v>
      </c>
      <c r="C40" s="4" t="s">
        <v>366</v>
      </c>
      <c r="D40" s="4" t="s">
        <v>99</v>
      </c>
      <c r="E40" s="8" t="s">
        <v>391</v>
      </c>
    </row>
    <row r="41">
      <c r="A41" s="4" t="s">
        <v>392</v>
      </c>
      <c r="B41" s="4" t="s">
        <v>393</v>
      </c>
      <c r="C41" s="4" t="s">
        <v>366</v>
      </c>
      <c r="D41" s="4" t="s">
        <v>99</v>
      </c>
      <c r="E41" s="8" t="s">
        <v>394</v>
      </c>
    </row>
    <row r="42">
      <c r="A42" s="4" t="s">
        <v>395</v>
      </c>
      <c r="B42" s="4" t="s">
        <v>396</v>
      </c>
      <c r="C42" s="4" t="s">
        <v>366</v>
      </c>
      <c r="D42" s="4" t="s">
        <v>99</v>
      </c>
      <c r="E42" s="8" t="s">
        <v>397</v>
      </c>
    </row>
    <row r="43">
      <c r="A43" s="4" t="s">
        <v>398</v>
      </c>
      <c r="B43" s="4" t="s">
        <v>399</v>
      </c>
      <c r="C43" s="4" t="s">
        <v>366</v>
      </c>
      <c r="D43" s="4" t="s">
        <v>99</v>
      </c>
      <c r="E43" s="8" t="s">
        <v>400</v>
      </c>
    </row>
    <row r="44">
      <c r="A44" s="4" t="s">
        <v>401</v>
      </c>
      <c r="B44" s="4" t="s">
        <v>402</v>
      </c>
      <c r="C44" s="4" t="s">
        <v>366</v>
      </c>
      <c r="D44" s="4" t="s">
        <v>246</v>
      </c>
      <c r="E44" s="8" t="s">
        <v>403</v>
      </c>
    </row>
    <row r="45">
      <c r="A45" s="4" t="s">
        <v>404</v>
      </c>
      <c r="B45" s="4" t="s">
        <v>405</v>
      </c>
      <c r="C45" s="4" t="s">
        <v>366</v>
      </c>
      <c r="D45" s="4" t="s">
        <v>246</v>
      </c>
      <c r="E45" s="8" t="s">
        <v>406</v>
      </c>
    </row>
    <row r="46">
      <c r="A46" s="4" t="s">
        <v>407</v>
      </c>
      <c r="B46" s="4" t="s">
        <v>408</v>
      </c>
      <c r="C46" s="4" t="s">
        <v>366</v>
      </c>
      <c r="D46" s="4" t="s">
        <v>246</v>
      </c>
      <c r="E46" s="8" t="s">
        <v>409</v>
      </c>
    </row>
    <row r="47">
      <c r="A47" s="4" t="s">
        <v>410</v>
      </c>
      <c r="B47" s="4" t="s">
        <v>411</v>
      </c>
      <c r="C47" s="4" t="s">
        <v>366</v>
      </c>
      <c r="D47" s="4" t="s">
        <v>99</v>
      </c>
      <c r="E47" s="8" t="s">
        <v>412</v>
      </c>
    </row>
    <row r="48">
      <c r="A48" s="4" t="s">
        <v>413</v>
      </c>
      <c r="B48" s="4" t="s">
        <v>414</v>
      </c>
      <c r="C48" s="4" t="s">
        <v>366</v>
      </c>
      <c r="D48" s="4" t="s">
        <v>99</v>
      </c>
      <c r="E48" s="8" t="s">
        <v>415</v>
      </c>
    </row>
    <row r="49">
      <c r="A49" s="4" t="s">
        <v>416</v>
      </c>
      <c r="B49" s="4" t="s">
        <v>417</v>
      </c>
      <c r="C49" s="4" t="s">
        <v>366</v>
      </c>
      <c r="D49" s="4" t="s">
        <v>99</v>
      </c>
      <c r="E49" s="8" t="s">
        <v>418</v>
      </c>
    </row>
    <row r="50">
      <c r="A50" s="4" t="s">
        <v>419</v>
      </c>
      <c r="B50" s="4" t="s">
        <v>420</v>
      </c>
      <c r="C50" s="4" t="s">
        <v>366</v>
      </c>
      <c r="D50" s="4" t="s">
        <v>16</v>
      </c>
      <c r="E50" s="8" t="s">
        <v>421</v>
      </c>
    </row>
    <row r="51">
      <c r="A51" s="4" t="s">
        <v>422</v>
      </c>
      <c r="B51" s="4" t="s">
        <v>423</v>
      </c>
      <c r="C51" s="4" t="s">
        <v>366</v>
      </c>
      <c r="D51" s="4" t="s">
        <v>99</v>
      </c>
      <c r="E51" s="8" t="s">
        <v>424</v>
      </c>
    </row>
    <row r="52">
      <c r="A52" s="4" t="s">
        <v>425</v>
      </c>
      <c r="B52" s="4" t="s">
        <v>426</v>
      </c>
      <c r="C52" s="4" t="s">
        <v>366</v>
      </c>
      <c r="D52" s="4" t="s">
        <v>16</v>
      </c>
      <c r="E52" s="8" t="s">
        <v>427</v>
      </c>
    </row>
    <row r="53">
      <c r="A53" s="4" t="s">
        <v>428</v>
      </c>
      <c r="B53" s="4" t="s">
        <v>429</v>
      </c>
      <c r="C53" s="4" t="s">
        <v>366</v>
      </c>
      <c r="D53" s="4" t="s">
        <v>246</v>
      </c>
      <c r="E53" s="8" t="s">
        <v>430</v>
      </c>
    </row>
    <row r="54">
      <c r="A54" s="4" t="s">
        <v>431</v>
      </c>
      <c r="B54" s="4" t="s">
        <v>432</v>
      </c>
      <c r="C54" s="4" t="s">
        <v>366</v>
      </c>
      <c r="D54" s="4" t="s">
        <v>99</v>
      </c>
      <c r="E54" s="8" t="s">
        <v>433</v>
      </c>
    </row>
    <row r="55">
      <c r="A55" s="4" t="s">
        <v>434</v>
      </c>
      <c r="B55" s="4" t="s">
        <v>435</v>
      </c>
      <c r="C55" s="4" t="s">
        <v>366</v>
      </c>
      <c r="D55" s="4" t="s">
        <v>246</v>
      </c>
      <c r="E55" s="8" t="s">
        <v>436</v>
      </c>
    </row>
    <row r="56">
      <c r="A56" s="4" t="s">
        <v>437</v>
      </c>
      <c r="B56" s="4" t="s">
        <v>438</v>
      </c>
      <c r="C56" s="4" t="s">
        <v>366</v>
      </c>
      <c r="D56" s="4" t="s">
        <v>246</v>
      </c>
      <c r="E56" s="8" t="s">
        <v>439</v>
      </c>
    </row>
    <row r="57">
      <c r="A57" s="4" t="s">
        <v>440</v>
      </c>
      <c r="B57" s="4" t="s">
        <v>441</v>
      </c>
      <c r="C57" s="4" t="s">
        <v>366</v>
      </c>
      <c r="D57" s="4" t="s">
        <v>246</v>
      </c>
      <c r="E57" s="8" t="s">
        <v>442</v>
      </c>
    </row>
    <row r="58">
      <c r="A58" s="4" t="s">
        <v>443</v>
      </c>
      <c r="B58" s="4" t="s">
        <v>444</v>
      </c>
      <c r="C58" s="4" t="s">
        <v>366</v>
      </c>
      <c r="D58" s="4" t="s">
        <v>99</v>
      </c>
      <c r="E58" s="8" t="s">
        <v>445</v>
      </c>
    </row>
    <row r="59">
      <c r="A59" s="4" t="s">
        <v>446</v>
      </c>
      <c r="B59" s="4" t="s">
        <v>447</v>
      </c>
      <c r="C59" s="4" t="s">
        <v>366</v>
      </c>
      <c r="D59" s="4" t="s">
        <v>246</v>
      </c>
      <c r="E59" s="8" t="s">
        <v>448</v>
      </c>
    </row>
    <row r="60">
      <c r="A60" s="4" t="s">
        <v>449</v>
      </c>
      <c r="B60" s="4" t="s">
        <v>450</v>
      </c>
      <c r="C60" s="4" t="s">
        <v>366</v>
      </c>
      <c r="D60" s="4" t="s">
        <v>99</v>
      </c>
      <c r="E60" s="8" t="s">
        <v>451</v>
      </c>
    </row>
    <row r="61">
      <c r="A61" s="4" t="s">
        <v>452</v>
      </c>
      <c r="B61" s="4" t="s">
        <v>453</v>
      </c>
      <c r="C61" s="4" t="s">
        <v>366</v>
      </c>
      <c r="D61" s="4" t="s">
        <v>99</v>
      </c>
      <c r="E61" s="8" t="s">
        <v>454</v>
      </c>
    </row>
    <row r="62">
      <c r="A62" s="4" t="s">
        <v>455</v>
      </c>
      <c r="B62" s="4" t="s">
        <v>456</v>
      </c>
      <c r="C62" s="4" t="s">
        <v>366</v>
      </c>
      <c r="D62" s="4" t="s">
        <v>16</v>
      </c>
      <c r="E62" s="8" t="s">
        <v>457</v>
      </c>
    </row>
    <row r="63">
      <c r="A63" s="4" t="s">
        <v>458</v>
      </c>
      <c r="B63" s="4" t="s">
        <v>459</v>
      </c>
      <c r="C63" s="4" t="s">
        <v>366</v>
      </c>
      <c r="D63" s="4" t="s">
        <v>16</v>
      </c>
      <c r="E63" s="8" t="s">
        <v>460</v>
      </c>
    </row>
    <row r="64">
      <c r="A64" s="4" t="s">
        <v>461</v>
      </c>
      <c r="B64" s="4" t="s">
        <v>462</v>
      </c>
      <c r="C64" s="4" t="s">
        <v>366</v>
      </c>
      <c r="D64" s="4" t="s">
        <v>99</v>
      </c>
      <c r="E64" s="8" t="s">
        <v>463</v>
      </c>
    </row>
    <row r="65">
      <c r="A65" s="4" t="s">
        <v>464</v>
      </c>
      <c r="B65" s="4" t="s">
        <v>465</v>
      </c>
      <c r="C65" s="4" t="s">
        <v>366</v>
      </c>
      <c r="D65" s="4" t="s">
        <v>99</v>
      </c>
      <c r="E65" s="8" t="s">
        <v>466</v>
      </c>
    </row>
    <row r="66">
      <c r="A66" s="4" t="s">
        <v>467</v>
      </c>
      <c r="B66" s="4" t="s">
        <v>468</v>
      </c>
      <c r="C66" s="4" t="s">
        <v>366</v>
      </c>
      <c r="D66" s="4" t="s">
        <v>246</v>
      </c>
      <c r="E66" s="8" t="s">
        <v>469</v>
      </c>
    </row>
    <row r="67">
      <c r="A67" s="4" t="s">
        <v>470</v>
      </c>
      <c r="B67" s="4" t="s">
        <v>471</v>
      </c>
      <c r="C67" s="4" t="s">
        <v>472</v>
      </c>
      <c r="D67" s="4" t="s">
        <v>16</v>
      </c>
      <c r="E67" s="8" t="s">
        <v>473</v>
      </c>
    </row>
    <row r="68">
      <c r="A68" s="4" t="s">
        <v>474</v>
      </c>
      <c r="B68" s="4" t="s">
        <v>475</v>
      </c>
      <c r="C68" s="4" t="s">
        <v>472</v>
      </c>
      <c r="D68" s="4" t="s">
        <v>246</v>
      </c>
      <c r="E68" s="8" t="s">
        <v>476</v>
      </c>
    </row>
    <row r="69">
      <c r="A69" s="4" t="s">
        <v>477</v>
      </c>
      <c r="B69" s="4" t="s">
        <v>478</v>
      </c>
      <c r="C69" s="4" t="s">
        <v>472</v>
      </c>
      <c r="D69" s="4" t="s">
        <v>16</v>
      </c>
      <c r="E69" s="8" t="s">
        <v>479</v>
      </c>
    </row>
    <row r="70">
      <c r="A70" s="4" t="s">
        <v>480</v>
      </c>
      <c r="B70" s="4" t="s">
        <v>481</v>
      </c>
      <c r="C70" s="4" t="s">
        <v>472</v>
      </c>
      <c r="D70" s="4" t="s">
        <v>99</v>
      </c>
      <c r="E70" s="8" t="s">
        <v>482</v>
      </c>
    </row>
    <row r="71">
      <c r="A71" s="4" t="s">
        <v>483</v>
      </c>
      <c r="B71" s="4" t="s">
        <v>484</v>
      </c>
      <c r="C71" s="4" t="s">
        <v>472</v>
      </c>
      <c r="D71" s="4" t="s">
        <v>99</v>
      </c>
      <c r="E71" s="8" t="s">
        <v>485</v>
      </c>
    </row>
    <row r="72">
      <c r="A72" s="4" t="s">
        <v>486</v>
      </c>
      <c r="B72" s="4" t="s">
        <v>487</v>
      </c>
      <c r="C72" s="4" t="s">
        <v>472</v>
      </c>
      <c r="D72" s="4" t="s">
        <v>99</v>
      </c>
      <c r="E72" s="8" t="s">
        <v>488</v>
      </c>
    </row>
    <row r="73">
      <c r="A73" s="4" t="s">
        <v>489</v>
      </c>
      <c r="B73" s="4" t="s">
        <v>490</v>
      </c>
      <c r="C73" s="4" t="s">
        <v>472</v>
      </c>
      <c r="D73" s="4" t="s">
        <v>99</v>
      </c>
      <c r="E73" s="8" t="s">
        <v>491</v>
      </c>
    </row>
    <row r="74">
      <c r="A74" s="4" t="s">
        <v>492</v>
      </c>
      <c r="B74" s="4" t="s">
        <v>493</v>
      </c>
      <c r="C74" s="4" t="s">
        <v>472</v>
      </c>
      <c r="D74" s="4" t="s">
        <v>99</v>
      </c>
      <c r="E74" s="8" t="s">
        <v>494</v>
      </c>
    </row>
    <row r="75">
      <c r="A75" s="4" t="s">
        <v>495</v>
      </c>
      <c r="B75" s="4" t="s">
        <v>496</v>
      </c>
      <c r="C75" s="4" t="s">
        <v>472</v>
      </c>
      <c r="D75" s="4" t="s">
        <v>246</v>
      </c>
      <c r="E75" s="8" t="s">
        <v>497</v>
      </c>
    </row>
    <row r="76">
      <c r="A76" s="4" t="s">
        <v>498</v>
      </c>
      <c r="B76" s="4" t="s">
        <v>499</v>
      </c>
      <c r="C76" s="4" t="s">
        <v>472</v>
      </c>
      <c r="D76" s="4" t="s">
        <v>16</v>
      </c>
      <c r="E76" s="8" t="s">
        <v>500</v>
      </c>
    </row>
    <row r="77">
      <c r="A77" s="4" t="s">
        <v>501</v>
      </c>
      <c r="B77" s="4" t="s">
        <v>502</v>
      </c>
      <c r="C77" s="4" t="s">
        <v>472</v>
      </c>
      <c r="D77" s="4" t="s">
        <v>246</v>
      </c>
      <c r="E77" s="8" t="s">
        <v>503</v>
      </c>
    </row>
    <row r="78">
      <c r="A78" s="4" t="s">
        <v>504</v>
      </c>
      <c r="B78" s="4" t="s">
        <v>505</v>
      </c>
      <c r="C78" s="4" t="s">
        <v>472</v>
      </c>
      <c r="D78" s="4" t="s">
        <v>99</v>
      </c>
      <c r="E78" s="8" t="s">
        <v>506</v>
      </c>
    </row>
    <row r="79">
      <c r="A79" s="4" t="s">
        <v>507</v>
      </c>
      <c r="B79" s="4" t="s">
        <v>508</v>
      </c>
      <c r="C79" s="4" t="s">
        <v>472</v>
      </c>
      <c r="D79" s="4" t="s">
        <v>246</v>
      </c>
      <c r="E79" s="8" t="s">
        <v>509</v>
      </c>
    </row>
    <row r="80">
      <c r="A80" s="4" t="s">
        <v>510</v>
      </c>
      <c r="B80" s="4" t="s">
        <v>511</v>
      </c>
      <c r="C80" s="4" t="s">
        <v>472</v>
      </c>
      <c r="D80" s="4" t="s">
        <v>16</v>
      </c>
      <c r="E80" s="8" t="s">
        <v>512</v>
      </c>
    </row>
    <row r="81">
      <c r="A81" s="4" t="s">
        <v>513</v>
      </c>
      <c r="B81" s="4" t="s">
        <v>514</v>
      </c>
      <c r="C81" s="4" t="s">
        <v>472</v>
      </c>
      <c r="D81" s="4" t="s">
        <v>99</v>
      </c>
      <c r="E81" s="8" t="s">
        <v>515</v>
      </c>
    </row>
    <row r="82">
      <c r="A82" s="4" t="s">
        <v>516</v>
      </c>
      <c r="B82" s="4" t="s">
        <v>517</v>
      </c>
      <c r="C82" s="4" t="s">
        <v>472</v>
      </c>
      <c r="D82" s="4" t="s">
        <v>99</v>
      </c>
      <c r="E82" s="8" t="s">
        <v>518</v>
      </c>
    </row>
    <row r="83">
      <c r="A83" s="4" t="s">
        <v>519</v>
      </c>
      <c r="B83" s="4" t="s">
        <v>520</v>
      </c>
      <c r="C83" s="4" t="s">
        <v>472</v>
      </c>
      <c r="D83" s="4" t="s">
        <v>16</v>
      </c>
      <c r="E83" s="8" t="s">
        <v>521</v>
      </c>
    </row>
    <row r="84">
      <c r="A84" s="4" t="s">
        <v>522</v>
      </c>
      <c r="B84" s="4" t="s">
        <v>523</v>
      </c>
      <c r="C84" s="4" t="s">
        <v>472</v>
      </c>
      <c r="D84" s="4" t="s">
        <v>99</v>
      </c>
      <c r="E84" s="8" t="s">
        <v>524</v>
      </c>
    </row>
    <row r="85">
      <c r="A85" s="4" t="s">
        <v>525</v>
      </c>
      <c r="B85" s="4" t="s">
        <v>526</v>
      </c>
      <c r="C85" s="4" t="s">
        <v>472</v>
      </c>
      <c r="D85" s="4" t="s">
        <v>246</v>
      </c>
      <c r="E85" s="8" t="s">
        <v>527</v>
      </c>
    </row>
    <row r="86">
      <c r="A86" s="4" t="s">
        <v>528</v>
      </c>
      <c r="B86" s="4" t="s">
        <v>529</v>
      </c>
      <c r="C86" s="4" t="s">
        <v>472</v>
      </c>
      <c r="D86" s="4" t="s">
        <v>246</v>
      </c>
      <c r="E86" s="8" t="s">
        <v>530</v>
      </c>
    </row>
    <row r="87">
      <c r="A87" s="4" t="s">
        <v>531</v>
      </c>
      <c r="B87" s="4" t="s">
        <v>532</v>
      </c>
      <c r="C87" s="4" t="s">
        <v>533</v>
      </c>
      <c r="D87" s="4" t="s">
        <v>16</v>
      </c>
      <c r="E87" s="8" t="s">
        <v>534</v>
      </c>
    </row>
    <row r="88">
      <c r="A88" s="4" t="s">
        <v>535</v>
      </c>
      <c r="B88" s="4" t="s">
        <v>536</v>
      </c>
      <c r="C88" s="4" t="s">
        <v>533</v>
      </c>
      <c r="D88" s="4" t="s">
        <v>99</v>
      </c>
      <c r="E88" s="8" t="s">
        <v>537</v>
      </c>
    </row>
    <row r="89">
      <c r="A89" s="4" t="s">
        <v>538</v>
      </c>
      <c r="B89" s="4" t="s">
        <v>539</v>
      </c>
      <c r="C89" s="4" t="s">
        <v>533</v>
      </c>
      <c r="D89" s="4" t="s">
        <v>246</v>
      </c>
      <c r="E89" s="8" t="s">
        <v>540</v>
      </c>
    </row>
    <row r="90">
      <c r="A90" s="4" t="s">
        <v>541</v>
      </c>
      <c r="B90" s="4" t="s">
        <v>542</v>
      </c>
      <c r="C90" s="4" t="s">
        <v>533</v>
      </c>
      <c r="D90" s="4" t="s">
        <v>99</v>
      </c>
      <c r="E90" s="8" t="s">
        <v>543</v>
      </c>
    </row>
    <row r="91">
      <c r="A91" s="4" t="s">
        <v>544</v>
      </c>
      <c r="B91" s="4" t="s">
        <v>545</v>
      </c>
      <c r="C91" s="4" t="s">
        <v>533</v>
      </c>
      <c r="D91" s="4" t="s">
        <v>99</v>
      </c>
      <c r="E91" s="8" t="s">
        <v>546</v>
      </c>
    </row>
    <row r="92">
      <c r="A92" s="4" t="s">
        <v>547</v>
      </c>
      <c r="B92" s="4" t="s">
        <v>548</v>
      </c>
      <c r="C92" s="4" t="s">
        <v>533</v>
      </c>
      <c r="D92" s="4" t="s">
        <v>16</v>
      </c>
      <c r="E92" s="8" t="s">
        <v>549</v>
      </c>
    </row>
    <row r="93">
      <c r="A93" s="4" t="s">
        <v>550</v>
      </c>
      <c r="B93" s="4" t="s">
        <v>551</v>
      </c>
      <c r="C93" s="4" t="s">
        <v>533</v>
      </c>
      <c r="D93" s="4" t="s">
        <v>99</v>
      </c>
      <c r="E93" s="8" t="s">
        <v>552</v>
      </c>
    </row>
    <row r="94">
      <c r="A94" s="4" t="s">
        <v>553</v>
      </c>
      <c r="B94" s="4" t="s">
        <v>554</v>
      </c>
      <c r="C94" s="4" t="s">
        <v>533</v>
      </c>
      <c r="D94" s="4" t="s">
        <v>99</v>
      </c>
      <c r="E94" s="8" t="s">
        <v>555</v>
      </c>
    </row>
    <row r="95">
      <c r="A95" s="4" t="s">
        <v>556</v>
      </c>
      <c r="B95" s="4" t="s">
        <v>557</v>
      </c>
      <c r="C95" s="4" t="s">
        <v>533</v>
      </c>
      <c r="D95" s="4" t="s">
        <v>246</v>
      </c>
      <c r="E95" s="8" t="s">
        <v>558</v>
      </c>
    </row>
    <row r="96">
      <c r="A96" s="4" t="s">
        <v>559</v>
      </c>
      <c r="B96" s="4" t="s">
        <v>560</v>
      </c>
      <c r="C96" s="4" t="s">
        <v>533</v>
      </c>
      <c r="D96" s="4" t="s">
        <v>246</v>
      </c>
      <c r="E96" s="8" t="s">
        <v>561</v>
      </c>
    </row>
    <row r="97">
      <c r="A97" s="4" t="s">
        <v>562</v>
      </c>
      <c r="B97" s="4" t="s">
        <v>563</v>
      </c>
      <c r="C97" s="4" t="s">
        <v>533</v>
      </c>
      <c r="D97" s="4" t="s">
        <v>246</v>
      </c>
      <c r="E97" s="8" t="s">
        <v>564</v>
      </c>
    </row>
    <row r="98">
      <c r="A98" s="4" t="s">
        <v>565</v>
      </c>
      <c r="B98" s="4" t="s">
        <v>566</v>
      </c>
      <c r="C98" s="4" t="s">
        <v>533</v>
      </c>
      <c r="D98" s="4" t="s">
        <v>99</v>
      </c>
      <c r="E98" s="8" t="s">
        <v>567</v>
      </c>
    </row>
    <row r="99">
      <c r="A99" s="4" t="s">
        <v>568</v>
      </c>
      <c r="B99" s="4" t="s">
        <v>569</v>
      </c>
      <c r="C99" s="4" t="s">
        <v>533</v>
      </c>
      <c r="D99" s="4" t="s">
        <v>246</v>
      </c>
      <c r="E99" s="8" t="s">
        <v>570</v>
      </c>
    </row>
    <row r="100">
      <c r="A100" s="4" t="s">
        <v>571</v>
      </c>
      <c r="B100" s="4" t="s">
        <v>572</v>
      </c>
      <c r="C100" s="4" t="s">
        <v>533</v>
      </c>
      <c r="D100" s="4" t="s">
        <v>99</v>
      </c>
      <c r="E100" s="8" t="s">
        <v>573</v>
      </c>
    </row>
    <row r="101">
      <c r="A101" s="4" t="s">
        <v>574</v>
      </c>
      <c r="B101" s="4" t="s">
        <v>575</v>
      </c>
      <c r="C101" s="4" t="s">
        <v>533</v>
      </c>
      <c r="D101" s="4" t="s">
        <v>246</v>
      </c>
      <c r="E101" s="8" t="s">
        <v>576</v>
      </c>
    </row>
    <row r="102">
      <c r="A102" s="4" t="s">
        <v>577</v>
      </c>
      <c r="B102" s="4" t="s">
        <v>578</v>
      </c>
      <c r="C102" s="4" t="s">
        <v>533</v>
      </c>
      <c r="D102" s="4" t="s">
        <v>99</v>
      </c>
      <c r="E102" s="8" t="s">
        <v>579</v>
      </c>
    </row>
    <row r="103">
      <c r="A103" s="4" t="s">
        <v>580</v>
      </c>
      <c r="B103" s="4" t="s">
        <v>581</v>
      </c>
      <c r="C103" s="4" t="s">
        <v>533</v>
      </c>
      <c r="D103" s="4" t="s">
        <v>16</v>
      </c>
      <c r="E103" s="8" t="s">
        <v>582</v>
      </c>
    </row>
    <row r="104">
      <c r="A104" s="4" t="s">
        <v>583</v>
      </c>
      <c r="B104" s="4" t="s">
        <v>584</v>
      </c>
      <c r="C104" s="4" t="s">
        <v>533</v>
      </c>
      <c r="D104" s="4" t="s">
        <v>16</v>
      </c>
      <c r="E104" s="8" t="s">
        <v>585</v>
      </c>
    </row>
    <row r="105">
      <c r="A105" s="4" t="s">
        <v>586</v>
      </c>
      <c r="B105" s="4" t="s">
        <v>587</v>
      </c>
      <c r="C105" s="4" t="s">
        <v>533</v>
      </c>
      <c r="D105" s="4" t="s">
        <v>99</v>
      </c>
      <c r="E105" s="8" t="s">
        <v>588</v>
      </c>
    </row>
    <row r="106">
      <c r="A106" s="4" t="s">
        <v>589</v>
      </c>
      <c r="B106" s="4" t="s">
        <v>590</v>
      </c>
      <c r="C106" s="4" t="s">
        <v>533</v>
      </c>
      <c r="D106" s="4" t="s">
        <v>99</v>
      </c>
      <c r="E106" s="8" t="s">
        <v>591</v>
      </c>
    </row>
    <row r="107">
      <c r="A107" s="4" t="s">
        <v>592</v>
      </c>
      <c r="B107" s="4" t="s">
        <v>593</v>
      </c>
      <c r="C107" s="4" t="s">
        <v>594</v>
      </c>
      <c r="D107" s="4" t="s">
        <v>16</v>
      </c>
      <c r="E107" s="8" t="s">
        <v>595</v>
      </c>
    </row>
    <row r="108">
      <c r="A108" s="4" t="s">
        <v>596</v>
      </c>
      <c r="B108" s="4" t="s">
        <v>597</v>
      </c>
      <c r="C108" s="4" t="s">
        <v>594</v>
      </c>
      <c r="D108" s="4" t="s">
        <v>16</v>
      </c>
      <c r="E108" s="8" t="s">
        <v>598</v>
      </c>
    </row>
    <row r="109">
      <c r="A109" s="4" t="s">
        <v>599</v>
      </c>
      <c r="B109" s="4" t="s">
        <v>600</v>
      </c>
      <c r="C109" s="4" t="s">
        <v>594</v>
      </c>
      <c r="D109" s="4" t="s">
        <v>99</v>
      </c>
      <c r="E109" s="8" t="s">
        <v>601</v>
      </c>
    </row>
    <row r="110">
      <c r="A110" s="4" t="s">
        <v>602</v>
      </c>
      <c r="B110" s="4" t="s">
        <v>603</v>
      </c>
      <c r="C110" s="4" t="s">
        <v>594</v>
      </c>
      <c r="D110" s="4" t="s">
        <v>99</v>
      </c>
      <c r="E110" s="8" t="s">
        <v>604</v>
      </c>
    </row>
    <row r="111">
      <c r="A111" s="4" t="s">
        <v>605</v>
      </c>
      <c r="B111" s="4" t="s">
        <v>606</v>
      </c>
      <c r="C111" s="4" t="s">
        <v>594</v>
      </c>
      <c r="D111" s="4" t="s">
        <v>16</v>
      </c>
      <c r="E111" s="8" t="s">
        <v>607</v>
      </c>
    </row>
    <row r="112">
      <c r="A112" s="4" t="s">
        <v>608</v>
      </c>
      <c r="B112" s="4" t="s">
        <v>609</v>
      </c>
      <c r="C112" s="4" t="s">
        <v>594</v>
      </c>
      <c r="D112" s="4" t="s">
        <v>99</v>
      </c>
      <c r="E112" s="8" t="s">
        <v>610</v>
      </c>
    </row>
    <row r="113">
      <c r="A113" s="4" t="s">
        <v>611</v>
      </c>
      <c r="B113" s="4" t="s">
        <v>612</v>
      </c>
      <c r="C113" s="4" t="s">
        <v>594</v>
      </c>
      <c r="D113" s="4" t="s">
        <v>99</v>
      </c>
      <c r="E113" s="8" t="s">
        <v>613</v>
      </c>
    </row>
    <row r="114">
      <c r="A114" s="4" t="s">
        <v>614</v>
      </c>
      <c r="B114" s="4" t="s">
        <v>615</v>
      </c>
      <c r="C114" s="4" t="s">
        <v>594</v>
      </c>
      <c r="D114" s="4" t="s">
        <v>16</v>
      </c>
      <c r="E114" s="8" t="s">
        <v>616</v>
      </c>
    </row>
    <row r="115">
      <c r="A115" s="4" t="s">
        <v>617</v>
      </c>
      <c r="B115" s="4" t="s">
        <v>618</v>
      </c>
      <c r="C115" s="4" t="s">
        <v>594</v>
      </c>
      <c r="D115" s="4" t="s">
        <v>246</v>
      </c>
      <c r="E115" s="8" t="s">
        <v>619</v>
      </c>
    </row>
    <row r="116">
      <c r="A116" s="4" t="s">
        <v>620</v>
      </c>
      <c r="B116" s="4" t="s">
        <v>621</v>
      </c>
      <c r="C116" s="4" t="s">
        <v>594</v>
      </c>
      <c r="D116" s="4" t="s">
        <v>246</v>
      </c>
      <c r="E116" s="8" t="s">
        <v>622</v>
      </c>
    </row>
    <row r="117">
      <c r="A117" s="4" t="s">
        <v>623</v>
      </c>
      <c r="B117" s="4" t="s">
        <v>624</v>
      </c>
      <c r="C117" s="4" t="s">
        <v>594</v>
      </c>
      <c r="D117" s="4" t="s">
        <v>246</v>
      </c>
      <c r="E117" s="8" t="s">
        <v>625</v>
      </c>
    </row>
    <row r="118">
      <c r="A118" s="4" t="s">
        <v>626</v>
      </c>
      <c r="B118" s="4" t="s">
        <v>627</v>
      </c>
      <c r="C118" s="4" t="s">
        <v>594</v>
      </c>
      <c r="D118" s="4" t="s">
        <v>99</v>
      </c>
      <c r="E118" s="8" t="s">
        <v>628</v>
      </c>
    </row>
    <row r="119">
      <c r="A119" s="4" t="s">
        <v>629</v>
      </c>
      <c r="B119" s="4" t="s">
        <v>630</v>
      </c>
      <c r="C119" s="4" t="s">
        <v>594</v>
      </c>
      <c r="D119" s="4" t="s">
        <v>99</v>
      </c>
      <c r="E119" s="8" t="s">
        <v>631</v>
      </c>
    </row>
    <row r="120">
      <c r="A120" s="4" t="s">
        <v>632</v>
      </c>
      <c r="B120" s="4" t="s">
        <v>633</v>
      </c>
      <c r="C120" s="4" t="s">
        <v>594</v>
      </c>
      <c r="D120" s="4" t="s">
        <v>99</v>
      </c>
      <c r="E120" s="8" t="s">
        <v>634</v>
      </c>
    </row>
    <row r="121">
      <c r="A121" s="4" t="s">
        <v>635</v>
      </c>
      <c r="B121" s="4" t="s">
        <v>636</v>
      </c>
      <c r="C121" s="4" t="s">
        <v>594</v>
      </c>
      <c r="D121" s="4" t="s">
        <v>99</v>
      </c>
      <c r="E121" s="8" t="s">
        <v>637</v>
      </c>
    </row>
    <row r="122">
      <c r="A122" s="4" t="s">
        <v>638</v>
      </c>
      <c r="B122" s="4" t="s">
        <v>639</v>
      </c>
      <c r="C122" s="4" t="s">
        <v>594</v>
      </c>
      <c r="D122" s="4" t="s">
        <v>246</v>
      </c>
      <c r="E122" s="8" t="s">
        <v>640</v>
      </c>
    </row>
    <row r="123">
      <c r="A123" s="4" t="s">
        <v>641</v>
      </c>
      <c r="B123" s="4" t="s">
        <v>642</v>
      </c>
      <c r="C123" s="4" t="s">
        <v>594</v>
      </c>
      <c r="D123" s="4" t="s">
        <v>99</v>
      </c>
      <c r="E123" s="8" t="s">
        <v>643</v>
      </c>
    </row>
    <row r="124">
      <c r="A124" s="4" t="s">
        <v>644</v>
      </c>
      <c r="B124" s="4" t="s">
        <v>645</v>
      </c>
      <c r="C124" s="4" t="s">
        <v>594</v>
      </c>
      <c r="D124" s="4" t="s">
        <v>246</v>
      </c>
      <c r="E124" s="8" t="s">
        <v>646</v>
      </c>
    </row>
    <row r="125">
      <c r="A125" s="4" t="s">
        <v>647</v>
      </c>
      <c r="B125" s="4" t="s">
        <v>648</v>
      </c>
      <c r="C125" s="4" t="s">
        <v>594</v>
      </c>
      <c r="D125" s="4" t="s">
        <v>99</v>
      </c>
      <c r="E125" s="8" t="s">
        <v>649</v>
      </c>
    </row>
    <row r="126">
      <c r="A126" s="4" t="s">
        <v>650</v>
      </c>
      <c r="B126" s="4" t="s">
        <v>651</v>
      </c>
      <c r="C126" s="4" t="s">
        <v>594</v>
      </c>
      <c r="D126" s="4" t="s">
        <v>246</v>
      </c>
      <c r="E126" s="8" t="s">
        <v>652</v>
      </c>
    </row>
    <row r="127">
      <c r="A127" s="4" t="s">
        <v>653</v>
      </c>
      <c r="B127" s="4" t="s">
        <v>654</v>
      </c>
      <c r="C127" s="4" t="s">
        <v>594</v>
      </c>
      <c r="D127" s="4" t="s">
        <v>99</v>
      </c>
      <c r="E127" s="8" t="s">
        <v>655</v>
      </c>
    </row>
    <row r="128">
      <c r="A128" s="4" t="s">
        <v>656</v>
      </c>
      <c r="B128" s="4" t="s">
        <v>657</v>
      </c>
      <c r="C128" s="4" t="s">
        <v>594</v>
      </c>
      <c r="D128" s="4" t="s">
        <v>246</v>
      </c>
      <c r="E128" s="8" t="s">
        <v>658</v>
      </c>
    </row>
    <row r="129">
      <c r="A129" s="4" t="s">
        <v>659</v>
      </c>
      <c r="B129" s="4" t="s">
        <v>660</v>
      </c>
      <c r="C129" s="4" t="s">
        <v>594</v>
      </c>
      <c r="D129" s="4" t="s">
        <v>246</v>
      </c>
      <c r="E129" s="8" t="s">
        <v>661</v>
      </c>
    </row>
    <row r="130">
      <c r="A130" s="4" t="s">
        <v>662</v>
      </c>
      <c r="B130" s="4" t="s">
        <v>663</v>
      </c>
      <c r="C130" s="4" t="s">
        <v>594</v>
      </c>
      <c r="D130" s="4" t="s">
        <v>246</v>
      </c>
      <c r="E130" s="8" t="s">
        <v>664</v>
      </c>
    </row>
    <row r="131">
      <c r="A131" s="4" t="s">
        <v>665</v>
      </c>
      <c r="B131" s="4" t="s">
        <v>666</v>
      </c>
      <c r="C131" s="4" t="s">
        <v>594</v>
      </c>
      <c r="D131" s="4" t="s">
        <v>99</v>
      </c>
      <c r="E131" s="8" t="s">
        <v>667</v>
      </c>
    </row>
    <row r="132">
      <c r="A132" s="4" t="s">
        <v>668</v>
      </c>
      <c r="B132" s="4" t="s">
        <v>669</v>
      </c>
      <c r="C132" s="4" t="s">
        <v>594</v>
      </c>
      <c r="D132" s="4" t="s">
        <v>246</v>
      </c>
      <c r="E132" s="8" t="s">
        <v>670</v>
      </c>
    </row>
    <row r="133">
      <c r="A133" s="4" t="s">
        <v>671</v>
      </c>
      <c r="B133" s="4" t="s">
        <v>672</v>
      </c>
      <c r="C133" s="4" t="s">
        <v>594</v>
      </c>
      <c r="D133" s="4" t="s">
        <v>246</v>
      </c>
      <c r="E133" s="8" t="s">
        <v>673</v>
      </c>
    </row>
    <row r="134">
      <c r="A134" s="4" t="s">
        <v>674</v>
      </c>
      <c r="B134" s="4" t="s">
        <v>675</v>
      </c>
      <c r="C134" s="4" t="s">
        <v>594</v>
      </c>
      <c r="D134" s="4" t="s">
        <v>99</v>
      </c>
      <c r="E134" s="8" t="s">
        <v>676</v>
      </c>
    </row>
    <row r="135">
      <c r="A135" s="4" t="s">
        <v>677</v>
      </c>
      <c r="B135" s="4" t="s">
        <v>678</v>
      </c>
      <c r="C135" s="4" t="s">
        <v>594</v>
      </c>
      <c r="D135" s="4" t="s">
        <v>99</v>
      </c>
      <c r="E135" s="8" t="s">
        <v>679</v>
      </c>
    </row>
    <row r="136">
      <c r="A136" s="4" t="s">
        <v>680</v>
      </c>
      <c r="B136" s="4" t="s">
        <v>681</v>
      </c>
      <c r="C136" s="4" t="s">
        <v>594</v>
      </c>
      <c r="D136" s="4" t="s">
        <v>99</v>
      </c>
      <c r="E136" s="8" t="s">
        <v>682</v>
      </c>
    </row>
    <row r="137">
      <c r="A137" s="4" t="s">
        <v>683</v>
      </c>
      <c r="B137" s="4" t="s">
        <v>684</v>
      </c>
      <c r="C137" s="4" t="s">
        <v>685</v>
      </c>
      <c r="D137" s="4" t="s">
        <v>16</v>
      </c>
      <c r="E137" s="8" t="s">
        <v>686</v>
      </c>
    </row>
    <row r="138">
      <c r="A138" s="4" t="s">
        <v>687</v>
      </c>
      <c r="B138" s="4" t="s">
        <v>688</v>
      </c>
      <c r="C138" s="4" t="s">
        <v>685</v>
      </c>
      <c r="D138" s="4" t="s">
        <v>99</v>
      </c>
      <c r="E138" s="8" t="s">
        <v>689</v>
      </c>
    </row>
    <row r="139">
      <c r="A139" s="4" t="s">
        <v>690</v>
      </c>
      <c r="B139" s="4" t="s">
        <v>691</v>
      </c>
      <c r="C139" s="4" t="s">
        <v>685</v>
      </c>
      <c r="D139" s="4" t="s">
        <v>16</v>
      </c>
      <c r="E139" s="8" t="s">
        <v>692</v>
      </c>
    </row>
    <row r="140">
      <c r="A140" s="4" t="s">
        <v>693</v>
      </c>
      <c r="B140" s="4" t="s">
        <v>694</v>
      </c>
      <c r="C140" s="4" t="s">
        <v>685</v>
      </c>
      <c r="D140" s="4" t="s">
        <v>16</v>
      </c>
      <c r="E140" s="8" t="s">
        <v>695</v>
      </c>
    </row>
    <row r="141">
      <c r="A141" s="4" t="s">
        <v>696</v>
      </c>
      <c r="B141" s="4" t="s">
        <v>697</v>
      </c>
      <c r="C141" s="4" t="s">
        <v>685</v>
      </c>
      <c r="D141" s="4" t="s">
        <v>16</v>
      </c>
      <c r="E141" s="8" t="s">
        <v>698</v>
      </c>
    </row>
    <row r="142">
      <c r="A142" s="4" t="s">
        <v>699</v>
      </c>
      <c r="B142" s="4" t="s">
        <v>700</v>
      </c>
      <c r="C142" s="4" t="s">
        <v>685</v>
      </c>
      <c r="D142" s="4" t="s">
        <v>16</v>
      </c>
      <c r="E142" s="8" t="s">
        <v>701</v>
      </c>
    </row>
    <row r="143">
      <c r="A143" s="4" t="s">
        <v>702</v>
      </c>
      <c r="B143" s="4" t="s">
        <v>703</v>
      </c>
      <c r="C143" s="4" t="s">
        <v>685</v>
      </c>
      <c r="D143" s="4" t="s">
        <v>99</v>
      </c>
      <c r="E143" s="8" t="s">
        <v>704</v>
      </c>
    </row>
    <row r="144">
      <c r="A144" s="4" t="s">
        <v>705</v>
      </c>
      <c r="B144" s="4" t="s">
        <v>706</v>
      </c>
      <c r="C144" s="4" t="s">
        <v>685</v>
      </c>
      <c r="D144" s="4" t="s">
        <v>16</v>
      </c>
      <c r="E144" s="8" t="s">
        <v>707</v>
      </c>
    </row>
    <row r="145">
      <c r="A145" s="4" t="s">
        <v>708</v>
      </c>
      <c r="B145" s="4" t="s">
        <v>709</v>
      </c>
      <c r="C145" s="4" t="s">
        <v>685</v>
      </c>
      <c r="D145" s="4" t="s">
        <v>16</v>
      </c>
      <c r="E145" s="8" t="s">
        <v>710</v>
      </c>
    </row>
    <row r="146">
      <c r="A146" s="4" t="s">
        <v>711</v>
      </c>
      <c r="B146" s="4" t="s">
        <v>712</v>
      </c>
      <c r="C146" s="4" t="s">
        <v>685</v>
      </c>
      <c r="D146" s="4" t="s">
        <v>16</v>
      </c>
      <c r="E146" s="8" t="s">
        <v>713</v>
      </c>
    </row>
    <row r="147">
      <c r="A147" s="4" t="s">
        <v>714</v>
      </c>
      <c r="B147" s="4" t="s">
        <v>715</v>
      </c>
      <c r="C147" s="4" t="s">
        <v>685</v>
      </c>
      <c r="D147" s="4" t="s">
        <v>16</v>
      </c>
      <c r="E147" s="8" t="s">
        <v>716</v>
      </c>
    </row>
    <row r="148">
      <c r="A148" s="4" t="s">
        <v>717</v>
      </c>
      <c r="B148" s="4" t="s">
        <v>718</v>
      </c>
      <c r="C148" s="4" t="s">
        <v>685</v>
      </c>
      <c r="D148" s="4" t="s">
        <v>99</v>
      </c>
      <c r="E148" s="8" t="s">
        <v>719</v>
      </c>
    </row>
    <row r="149">
      <c r="A149" s="4" t="s">
        <v>720</v>
      </c>
      <c r="B149" s="4" t="s">
        <v>721</v>
      </c>
      <c r="C149" s="4" t="s">
        <v>685</v>
      </c>
      <c r="D149" s="4" t="s">
        <v>99</v>
      </c>
      <c r="E149" s="8" t="s">
        <v>722</v>
      </c>
    </row>
    <row r="150">
      <c r="A150" s="4" t="s">
        <v>723</v>
      </c>
      <c r="B150" s="4" t="s">
        <v>724</v>
      </c>
      <c r="C150" s="4" t="s">
        <v>685</v>
      </c>
      <c r="D150" s="4" t="s">
        <v>99</v>
      </c>
      <c r="E150" s="8" t="s">
        <v>725</v>
      </c>
    </row>
    <row r="151">
      <c r="A151" s="4" t="s">
        <v>726</v>
      </c>
      <c r="B151" s="4" t="s">
        <v>727</v>
      </c>
      <c r="C151" s="4" t="s">
        <v>685</v>
      </c>
      <c r="D151" s="4" t="s">
        <v>99</v>
      </c>
      <c r="E151" s="8" t="s">
        <v>728</v>
      </c>
    </row>
    <row r="152">
      <c r="A152" s="4" t="s">
        <v>729</v>
      </c>
      <c r="B152" s="4" t="s">
        <v>730</v>
      </c>
      <c r="C152" s="4" t="s">
        <v>685</v>
      </c>
      <c r="D152" s="4" t="s">
        <v>99</v>
      </c>
      <c r="E152" s="8" t="s">
        <v>731</v>
      </c>
    </row>
    <row r="153">
      <c r="A153" s="4" t="s">
        <v>732</v>
      </c>
      <c r="B153" s="4" t="s">
        <v>733</v>
      </c>
      <c r="C153" s="4" t="s">
        <v>685</v>
      </c>
      <c r="D153" s="4" t="s">
        <v>246</v>
      </c>
      <c r="E153" s="8" t="s">
        <v>734</v>
      </c>
    </row>
    <row r="154">
      <c r="A154" s="4" t="s">
        <v>735</v>
      </c>
      <c r="B154" s="4" t="s">
        <v>736</v>
      </c>
      <c r="C154" s="4" t="s">
        <v>685</v>
      </c>
      <c r="D154" s="4" t="s">
        <v>246</v>
      </c>
      <c r="E154" s="8" t="s">
        <v>737</v>
      </c>
    </row>
    <row r="155">
      <c r="A155" s="4" t="s">
        <v>738</v>
      </c>
      <c r="B155" s="4" t="s">
        <v>739</v>
      </c>
      <c r="C155" s="4" t="s">
        <v>685</v>
      </c>
      <c r="D155" s="4" t="s">
        <v>99</v>
      </c>
      <c r="E155" s="8" t="s">
        <v>740</v>
      </c>
    </row>
    <row r="156">
      <c r="A156" s="4" t="s">
        <v>741</v>
      </c>
      <c r="B156" s="4" t="s">
        <v>742</v>
      </c>
      <c r="C156" s="4" t="s">
        <v>685</v>
      </c>
      <c r="D156" s="4" t="s">
        <v>246</v>
      </c>
      <c r="E156" s="8" t="s">
        <v>743</v>
      </c>
    </row>
    <row r="157">
      <c r="A157" s="4" t="s">
        <v>744</v>
      </c>
      <c r="B157" s="4" t="s">
        <v>745</v>
      </c>
      <c r="C157" s="4" t="s">
        <v>685</v>
      </c>
      <c r="D157" s="4" t="s">
        <v>246</v>
      </c>
      <c r="E157" s="8" t="s">
        <v>746</v>
      </c>
    </row>
    <row r="158">
      <c r="A158" s="4" t="s">
        <v>747</v>
      </c>
      <c r="B158" s="4" t="s">
        <v>748</v>
      </c>
      <c r="C158" s="4" t="s">
        <v>685</v>
      </c>
      <c r="D158" s="4" t="s">
        <v>99</v>
      </c>
      <c r="E158" s="8" t="s">
        <v>749</v>
      </c>
    </row>
    <row r="159">
      <c r="A159" s="4" t="s">
        <v>750</v>
      </c>
      <c r="B159" s="4" t="s">
        <v>751</v>
      </c>
      <c r="C159" s="4" t="s">
        <v>685</v>
      </c>
      <c r="D159" s="4" t="s">
        <v>246</v>
      </c>
      <c r="E159" s="8" t="s">
        <v>752</v>
      </c>
    </row>
    <row r="160">
      <c r="A160" s="4" t="s">
        <v>753</v>
      </c>
      <c r="B160" s="4" t="s">
        <v>754</v>
      </c>
      <c r="C160" s="4" t="s">
        <v>685</v>
      </c>
      <c r="D160" s="4" t="s">
        <v>246</v>
      </c>
      <c r="E160" s="8" t="s">
        <v>755</v>
      </c>
    </row>
    <row r="161">
      <c r="A161" s="4" t="s">
        <v>756</v>
      </c>
      <c r="B161" s="4" t="s">
        <v>757</v>
      </c>
      <c r="C161" s="4" t="s">
        <v>685</v>
      </c>
      <c r="D161" s="4" t="s">
        <v>246</v>
      </c>
      <c r="E161" s="8" t="s">
        <v>758</v>
      </c>
    </row>
    <row r="162">
      <c r="A162" s="4" t="s">
        <v>759</v>
      </c>
      <c r="B162" s="4" t="s">
        <v>760</v>
      </c>
      <c r="C162" s="4" t="s">
        <v>685</v>
      </c>
      <c r="D162" s="4" t="s">
        <v>99</v>
      </c>
      <c r="E162" s="8" t="s">
        <v>761</v>
      </c>
    </row>
    <row r="163">
      <c r="A163" s="4" t="s">
        <v>762</v>
      </c>
      <c r="B163" s="4" t="s">
        <v>763</v>
      </c>
      <c r="C163" s="4" t="s">
        <v>685</v>
      </c>
      <c r="D163" s="4" t="s">
        <v>246</v>
      </c>
      <c r="E163" s="8" t="s">
        <v>764</v>
      </c>
    </row>
    <row r="164">
      <c r="A164" s="4" t="s">
        <v>765</v>
      </c>
      <c r="B164" s="4" t="s">
        <v>766</v>
      </c>
      <c r="C164" s="4" t="s">
        <v>685</v>
      </c>
      <c r="D164" s="4" t="s">
        <v>246</v>
      </c>
      <c r="E164" s="8" t="s">
        <v>767</v>
      </c>
    </row>
    <row r="165">
      <c r="A165" s="4" t="s">
        <v>768</v>
      </c>
      <c r="B165" s="4" t="s">
        <v>769</v>
      </c>
      <c r="C165" s="4" t="s">
        <v>685</v>
      </c>
      <c r="D165" s="4" t="s">
        <v>246</v>
      </c>
      <c r="E165" s="8" t="s">
        <v>770</v>
      </c>
    </row>
    <row r="166">
      <c r="A166" s="4" t="s">
        <v>771</v>
      </c>
      <c r="B166" s="4" t="s">
        <v>772</v>
      </c>
      <c r="C166" s="4" t="s">
        <v>685</v>
      </c>
      <c r="D166" s="4" t="s">
        <v>246</v>
      </c>
      <c r="E166" s="8" t="s">
        <v>773</v>
      </c>
    </row>
    <row r="167">
      <c r="A167" s="4" t="s">
        <v>774</v>
      </c>
      <c r="B167" s="4" t="s">
        <v>775</v>
      </c>
      <c r="C167" s="4" t="s">
        <v>685</v>
      </c>
      <c r="D167" s="4" t="s">
        <v>246</v>
      </c>
      <c r="E167" s="8" t="s">
        <v>776</v>
      </c>
    </row>
    <row r="168">
      <c r="A168" s="4" t="s">
        <v>777</v>
      </c>
      <c r="B168" s="4" t="s">
        <v>778</v>
      </c>
      <c r="C168" s="4" t="s">
        <v>685</v>
      </c>
      <c r="D168" s="4" t="s">
        <v>99</v>
      </c>
      <c r="E168" s="8" t="s">
        <v>779</v>
      </c>
    </row>
    <row r="169">
      <c r="A169" s="4" t="s">
        <v>780</v>
      </c>
      <c r="B169" s="4" t="s">
        <v>781</v>
      </c>
      <c r="C169" s="4" t="s">
        <v>685</v>
      </c>
      <c r="D169" s="4" t="s">
        <v>246</v>
      </c>
      <c r="E169" s="8" t="s">
        <v>782</v>
      </c>
    </row>
    <row r="170">
      <c r="A170" s="4" t="s">
        <v>783</v>
      </c>
      <c r="B170" s="4" t="s">
        <v>784</v>
      </c>
      <c r="C170" s="4" t="s">
        <v>685</v>
      </c>
      <c r="D170" s="4" t="s">
        <v>246</v>
      </c>
      <c r="E170" s="8" t="s">
        <v>785</v>
      </c>
    </row>
    <row r="171">
      <c r="A171" s="4" t="s">
        <v>786</v>
      </c>
      <c r="B171" s="4" t="s">
        <v>787</v>
      </c>
      <c r="C171" s="4" t="s">
        <v>685</v>
      </c>
      <c r="D171" s="4" t="s">
        <v>246</v>
      </c>
      <c r="E171" s="8" t="s">
        <v>788</v>
      </c>
    </row>
    <row r="172">
      <c r="A172" s="4" t="s">
        <v>789</v>
      </c>
      <c r="B172" s="4" t="s">
        <v>790</v>
      </c>
      <c r="C172" s="4" t="s">
        <v>791</v>
      </c>
      <c r="D172" s="4" t="s">
        <v>16</v>
      </c>
      <c r="E172" s="8" t="s">
        <v>792</v>
      </c>
    </row>
    <row r="173">
      <c r="A173" s="4" t="s">
        <v>793</v>
      </c>
      <c r="B173" s="4" t="s">
        <v>794</v>
      </c>
      <c r="C173" s="4" t="s">
        <v>791</v>
      </c>
      <c r="D173" s="4" t="s">
        <v>246</v>
      </c>
      <c r="E173" s="8" t="s">
        <v>795</v>
      </c>
    </row>
    <row r="174">
      <c r="A174" s="4" t="s">
        <v>796</v>
      </c>
      <c r="B174" s="4" t="s">
        <v>797</v>
      </c>
      <c r="C174" s="4" t="s">
        <v>791</v>
      </c>
      <c r="D174" s="4" t="s">
        <v>99</v>
      </c>
      <c r="E174" s="8" t="s">
        <v>798</v>
      </c>
    </row>
    <row r="175">
      <c r="A175" s="4" t="s">
        <v>799</v>
      </c>
      <c r="B175" s="4" t="s">
        <v>800</v>
      </c>
      <c r="C175" s="4" t="s">
        <v>791</v>
      </c>
      <c r="D175" s="4" t="s">
        <v>99</v>
      </c>
      <c r="E175" s="8" t="s">
        <v>801</v>
      </c>
    </row>
    <row r="176">
      <c r="A176" s="4" t="s">
        <v>802</v>
      </c>
      <c r="B176" s="4" t="s">
        <v>803</v>
      </c>
      <c r="C176" s="4" t="s">
        <v>791</v>
      </c>
      <c r="D176" s="4" t="s">
        <v>99</v>
      </c>
      <c r="E176" s="8" t="s">
        <v>804</v>
      </c>
    </row>
    <row r="177">
      <c r="A177" s="4" t="s">
        <v>805</v>
      </c>
      <c r="B177" s="4" t="s">
        <v>806</v>
      </c>
      <c r="C177" s="4" t="s">
        <v>791</v>
      </c>
      <c r="D177" s="4" t="s">
        <v>99</v>
      </c>
      <c r="E177" s="8" t="s">
        <v>807</v>
      </c>
    </row>
    <row r="178">
      <c r="A178" s="4" t="s">
        <v>808</v>
      </c>
      <c r="B178" s="4" t="s">
        <v>809</v>
      </c>
      <c r="C178" s="4" t="s">
        <v>791</v>
      </c>
      <c r="D178" s="4" t="s">
        <v>99</v>
      </c>
      <c r="E178" s="8" t="s">
        <v>810</v>
      </c>
    </row>
    <row r="179">
      <c r="A179" s="4" t="s">
        <v>811</v>
      </c>
      <c r="B179" s="4" t="s">
        <v>812</v>
      </c>
      <c r="C179" s="4" t="s">
        <v>791</v>
      </c>
      <c r="D179" s="4" t="s">
        <v>246</v>
      </c>
      <c r="E179" s="8" t="s">
        <v>813</v>
      </c>
    </row>
    <row r="180">
      <c r="A180" s="4" t="s">
        <v>814</v>
      </c>
      <c r="B180" s="4" t="s">
        <v>815</v>
      </c>
      <c r="C180" s="4" t="s">
        <v>791</v>
      </c>
      <c r="D180" s="4" t="s">
        <v>99</v>
      </c>
      <c r="E180" s="8" t="s">
        <v>816</v>
      </c>
    </row>
    <row r="181">
      <c r="A181" s="4" t="s">
        <v>817</v>
      </c>
      <c r="B181" s="4" t="s">
        <v>818</v>
      </c>
      <c r="C181" s="4" t="s">
        <v>791</v>
      </c>
      <c r="D181" s="4" t="s">
        <v>16</v>
      </c>
      <c r="E181" s="8" t="s">
        <v>819</v>
      </c>
    </row>
    <row r="182">
      <c r="A182" s="4" t="s">
        <v>820</v>
      </c>
      <c r="B182" s="4" t="s">
        <v>821</v>
      </c>
      <c r="C182" s="4" t="s">
        <v>791</v>
      </c>
      <c r="D182" s="4" t="s">
        <v>99</v>
      </c>
      <c r="E182" s="8" t="s">
        <v>822</v>
      </c>
    </row>
    <row r="183">
      <c r="A183" s="4" t="s">
        <v>823</v>
      </c>
      <c r="B183" s="4" t="s">
        <v>824</v>
      </c>
      <c r="C183" s="4" t="s">
        <v>791</v>
      </c>
      <c r="D183" s="4" t="s">
        <v>246</v>
      </c>
      <c r="E183" s="8" t="s">
        <v>825</v>
      </c>
    </row>
    <row r="184">
      <c r="A184" s="4" t="s">
        <v>826</v>
      </c>
      <c r="B184" s="4" t="s">
        <v>827</v>
      </c>
      <c r="C184" s="4" t="s">
        <v>791</v>
      </c>
      <c r="D184" s="4" t="s">
        <v>99</v>
      </c>
      <c r="E184" s="8" t="s">
        <v>828</v>
      </c>
    </row>
    <row r="185">
      <c r="A185" s="4" t="s">
        <v>829</v>
      </c>
      <c r="B185" s="4" t="s">
        <v>830</v>
      </c>
      <c r="C185" s="4" t="s">
        <v>791</v>
      </c>
      <c r="D185" s="4" t="s">
        <v>99</v>
      </c>
      <c r="E185" s="8" t="s">
        <v>831</v>
      </c>
    </row>
    <row r="186">
      <c r="A186" s="4" t="s">
        <v>832</v>
      </c>
      <c r="B186" s="4" t="s">
        <v>833</v>
      </c>
      <c r="C186" s="4" t="s">
        <v>791</v>
      </c>
      <c r="D186" s="4" t="s">
        <v>246</v>
      </c>
      <c r="E186" s="8" t="s">
        <v>834</v>
      </c>
    </row>
    <row r="187">
      <c r="A187" s="4" t="s">
        <v>835</v>
      </c>
      <c r="B187" s="4" t="s">
        <v>836</v>
      </c>
      <c r="C187" s="4" t="s">
        <v>791</v>
      </c>
      <c r="D187" s="4" t="s">
        <v>246</v>
      </c>
      <c r="E187" s="8" t="s">
        <v>837</v>
      </c>
    </row>
    <row r="188">
      <c r="A188" s="4" t="s">
        <v>838</v>
      </c>
      <c r="B188" s="4" t="s">
        <v>839</v>
      </c>
      <c r="C188" s="4" t="s">
        <v>791</v>
      </c>
      <c r="D188" s="4" t="s">
        <v>246</v>
      </c>
      <c r="E188" s="8" t="s">
        <v>840</v>
      </c>
    </row>
    <row r="189">
      <c r="A189" s="4" t="s">
        <v>841</v>
      </c>
      <c r="B189" s="4" t="s">
        <v>842</v>
      </c>
      <c r="C189" s="4" t="s">
        <v>791</v>
      </c>
      <c r="D189" s="4" t="s">
        <v>246</v>
      </c>
      <c r="E189" s="8" t="s">
        <v>843</v>
      </c>
    </row>
    <row r="190">
      <c r="A190" s="4" t="s">
        <v>844</v>
      </c>
      <c r="B190" s="4" t="s">
        <v>845</v>
      </c>
      <c r="C190" s="4" t="s">
        <v>791</v>
      </c>
      <c r="D190" s="4" t="s">
        <v>99</v>
      </c>
      <c r="E190" s="8" t="s">
        <v>846</v>
      </c>
    </row>
    <row r="191">
      <c r="A191" s="4" t="s">
        <v>847</v>
      </c>
      <c r="B191" s="4" t="s">
        <v>848</v>
      </c>
      <c r="C191" s="4" t="s">
        <v>791</v>
      </c>
      <c r="D191" s="4" t="s">
        <v>246</v>
      </c>
      <c r="E191" s="8" t="s">
        <v>849</v>
      </c>
    </row>
    <row r="192">
      <c r="A192" s="4" t="s">
        <v>850</v>
      </c>
      <c r="B192" s="4" t="s">
        <v>851</v>
      </c>
      <c r="C192" s="4" t="s">
        <v>791</v>
      </c>
      <c r="D192" s="4" t="s">
        <v>99</v>
      </c>
      <c r="E192" s="8" t="s">
        <v>852</v>
      </c>
    </row>
    <row r="193">
      <c r="A193" s="4" t="s">
        <v>853</v>
      </c>
      <c r="B193" s="4" t="s">
        <v>854</v>
      </c>
      <c r="C193" s="4" t="s">
        <v>791</v>
      </c>
      <c r="D193" s="4" t="s">
        <v>99</v>
      </c>
      <c r="E193" s="8" t="s">
        <v>855</v>
      </c>
    </row>
    <row r="194">
      <c r="A194" s="4" t="s">
        <v>856</v>
      </c>
      <c r="B194" s="4" t="s">
        <v>857</v>
      </c>
      <c r="C194" s="4" t="s">
        <v>791</v>
      </c>
      <c r="D194" s="4" t="s">
        <v>99</v>
      </c>
      <c r="E194" s="8" t="s">
        <v>858</v>
      </c>
    </row>
    <row r="195">
      <c r="A195" s="4" t="s">
        <v>859</v>
      </c>
      <c r="B195" s="4" t="s">
        <v>860</v>
      </c>
      <c r="C195" s="4" t="s">
        <v>791</v>
      </c>
      <c r="D195" s="4" t="s">
        <v>16</v>
      </c>
      <c r="E195" s="8" t="s">
        <v>861</v>
      </c>
    </row>
    <row r="196">
      <c r="A196" s="4" t="s">
        <v>862</v>
      </c>
      <c r="B196" s="4" t="s">
        <v>863</v>
      </c>
      <c r="C196" s="4" t="s">
        <v>791</v>
      </c>
      <c r="D196" s="4" t="s">
        <v>246</v>
      </c>
      <c r="E196" s="8" t="s">
        <v>864</v>
      </c>
    </row>
    <row r="197">
      <c r="A197" s="4" t="s">
        <v>865</v>
      </c>
      <c r="B197" s="4" t="s">
        <v>866</v>
      </c>
      <c r="C197" s="4" t="s">
        <v>867</v>
      </c>
      <c r="D197" s="4" t="s">
        <v>16</v>
      </c>
      <c r="E197" s="8" t="s">
        <v>868</v>
      </c>
    </row>
    <row r="198">
      <c r="A198" s="4" t="s">
        <v>869</v>
      </c>
      <c r="B198" s="4" t="s">
        <v>870</v>
      </c>
      <c r="C198" s="4" t="s">
        <v>867</v>
      </c>
      <c r="D198" s="4" t="s">
        <v>16</v>
      </c>
      <c r="E198" s="8" t="s">
        <v>871</v>
      </c>
    </row>
    <row r="199">
      <c r="A199" s="4" t="s">
        <v>872</v>
      </c>
      <c r="B199" s="4" t="s">
        <v>873</v>
      </c>
      <c r="C199" s="4" t="s">
        <v>867</v>
      </c>
      <c r="D199" s="4" t="s">
        <v>99</v>
      </c>
      <c r="E199" s="8" t="s">
        <v>874</v>
      </c>
    </row>
    <row r="200">
      <c r="A200" s="4" t="s">
        <v>875</v>
      </c>
      <c r="B200" s="4" t="s">
        <v>876</v>
      </c>
      <c r="C200" s="4" t="s">
        <v>867</v>
      </c>
      <c r="D200" s="4" t="s">
        <v>16</v>
      </c>
      <c r="E200" s="8" t="s">
        <v>877</v>
      </c>
    </row>
    <row r="201">
      <c r="A201" s="4" t="s">
        <v>878</v>
      </c>
      <c r="B201" s="4" t="s">
        <v>879</v>
      </c>
      <c r="C201" s="4" t="s">
        <v>867</v>
      </c>
      <c r="D201" s="4" t="s">
        <v>16</v>
      </c>
      <c r="E201" s="8" t="s">
        <v>880</v>
      </c>
    </row>
    <row r="202">
      <c r="A202" s="5" t="s">
        <v>881</v>
      </c>
      <c r="B202" s="5" t="s">
        <v>882</v>
      </c>
      <c r="C202" s="5" t="s">
        <v>867</v>
      </c>
      <c r="D202" s="5" t="s">
        <v>99</v>
      </c>
      <c r="E202" s="9" t="s">
        <v>883</v>
      </c>
    </row>
    <row r="203">
      <c r="A203" s="5" t="s">
        <v>884</v>
      </c>
      <c r="B203" s="5" t="s">
        <v>885</v>
      </c>
      <c r="C203" s="5" t="s">
        <v>867</v>
      </c>
      <c r="D203" s="5" t="s">
        <v>246</v>
      </c>
      <c r="E203" s="9" t="s">
        <v>886</v>
      </c>
    </row>
    <row r="204">
      <c r="A204" s="5" t="s">
        <v>887</v>
      </c>
      <c r="B204" s="5" t="s">
        <v>888</v>
      </c>
      <c r="C204" s="5" t="s">
        <v>867</v>
      </c>
      <c r="D204" s="5" t="s">
        <v>99</v>
      </c>
      <c r="E204" s="9" t="s">
        <v>889</v>
      </c>
    </row>
    <row r="205">
      <c r="A205" s="5" t="s">
        <v>890</v>
      </c>
      <c r="B205" s="5" t="s">
        <v>891</v>
      </c>
      <c r="C205" s="5" t="s">
        <v>867</v>
      </c>
      <c r="D205" s="5" t="s">
        <v>99</v>
      </c>
      <c r="E205" s="9" t="s">
        <v>892</v>
      </c>
    </row>
    <row r="206">
      <c r="A206" s="5" t="s">
        <v>893</v>
      </c>
      <c r="B206" s="5" t="s">
        <v>894</v>
      </c>
      <c r="C206" s="5" t="s">
        <v>867</v>
      </c>
      <c r="D206" s="5" t="s">
        <v>99</v>
      </c>
      <c r="E206" s="9" t="s">
        <v>895</v>
      </c>
    </row>
    <row r="207">
      <c r="A207" s="5" t="s">
        <v>896</v>
      </c>
      <c r="B207" s="5" t="s">
        <v>897</v>
      </c>
      <c r="C207" s="5" t="s">
        <v>867</v>
      </c>
      <c r="D207" s="5" t="s">
        <v>99</v>
      </c>
      <c r="E207" s="9" t="s">
        <v>898</v>
      </c>
    </row>
    <row r="208">
      <c r="A208" s="5" t="s">
        <v>899</v>
      </c>
      <c r="B208" s="5" t="s">
        <v>900</v>
      </c>
      <c r="C208" s="5" t="s">
        <v>867</v>
      </c>
      <c r="D208" s="5" t="s">
        <v>246</v>
      </c>
      <c r="E208" s="9" t="s">
        <v>901</v>
      </c>
    </row>
    <row r="209">
      <c r="A209" s="5" t="s">
        <v>902</v>
      </c>
      <c r="B209" s="5" t="s">
        <v>903</v>
      </c>
      <c r="C209" s="5" t="s">
        <v>867</v>
      </c>
      <c r="D209" s="5" t="s">
        <v>246</v>
      </c>
      <c r="E209" s="9" t="s">
        <v>904</v>
      </c>
    </row>
    <row r="210">
      <c r="A210" s="5" t="s">
        <v>905</v>
      </c>
      <c r="B210" s="5" t="s">
        <v>906</v>
      </c>
      <c r="C210" s="5" t="s">
        <v>867</v>
      </c>
      <c r="D210" s="5" t="s">
        <v>99</v>
      </c>
      <c r="E210" s="9" t="s">
        <v>907</v>
      </c>
    </row>
    <row r="211">
      <c r="A211" s="5" t="s">
        <v>908</v>
      </c>
      <c r="B211" s="5" t="s">
        <v>909</v>
      </c>
      <c r="C211" s="5" t="s">
        <v>867</v>
      </c>
      <c r="D211" s="5" t="s">
        <v>99</v>
      </c>
      <c r="E211" s="9" t="s">
        <v>910</v>
      </c>
    </row>
    <row r="212">
      <c r="A212" s="5" t="s">
        <v>911</v>
      </c>
      <c r="B212" s="5" t="s">
        <v>912</v>
      </c>
      <c r="C212" s="5" t="s">
        <v>867</v>
      </c>
      <c r="D212" s="5" t="s">
        <v>246</v>
      </c>
      <c r="E212" s="9" t="s">
        <v>913</v>
      </c>
    </row>
    <row r="213">
      <c r="A213" s="5" t="s">
        <v>914</v>
      </c>
      <c r="B213" s="5" t="s">
        <v>915</v>
      </c>
      <c r="C213" s="5" t="s">
        <v>867</v>
      </c>
      <c r="D213" s="5" t="s">
        <v>246</v>
      </c>
      <c r="E213" s="9" t="s">
        <v>916</v>
      </c>
    </row>
    <row r="214">
      <c r="A214" s="5" t="s">
        <v>917</v>
      </c>
      <c r="B214" s="5" t="s">
        <v>918</v>
      </c>
      <c r="C214" s="5" t="s">
        <v>867</v>
      </c>
      <c r="D214" s="5" t="s">
        <v>246</v>
      </c>
      <c r="E214" s="9" t="s">
        <v>919</v>
      </c>
    </row>
    <row r="215">
      <c r="A215" s="5" t="s">
        <v>920</v>
      </c>
      <c r="B215" s="5" t="s">
        <v>921</v>
      </c>
      <c r="C215" s="5" t="s">
        <v>867</v>
      </c>
      <c r="D215" s="5" t="s">
        <v>99</v>
      </c>
      <c r="E215" s="9" t="s">
        <v>922</v>
      </c>
    </row>
    <row r="216">
      <c r="A216" s="5" t="s">
        <v>923</v>
      </c>
      <c r="B216" s="5" t="s">
        <v>924</v>
      </c>
      <c r="C216" s="5" t="s">
        <v>867</v>
      </c>
      <c r="D216" s="5" t="s">
        <v>99</v>
      </c>
      <c r="E216" s="9" t="s">
        <v>925</v>
      </c>
    </row>
    <row r="217">
      <c r="A217" s="5" t="s">
        <v>926</v>
      </c>
      <c r="B217" s="5" t="s">
        <v>927</v>
      </c>
      <c r="C217" s="5" t="s">
        <v>867</v>
      </c>
      <c r="D217" s="5" t="s">
        <v>246</v>
      </c>
      <c r="E217" s="9" t="s">
        <v>928</v>
      </c>
    </row>
    <row r="218">
      <c r="A218" s="5" t="s">
        <v>929</v>
      </c>
      <c r="B218" s="5" t="s">
        <v>930</v>
      </c>
      <c r="C218" s="5" t="s">
        <v>867</v>
      </c>
      <c r="D218" s="5" t="s">
        <v>99</v>
      </c>
      <c r="E218" s="9" t="s">
        <v>931</v>
      </c>
    </row>
    <row r="219">
      <c r="A219" s="5" t="s">
        <v>932</v>
      </c>
      <c r="B219" s="5" t="s">
        <v>933</v>
      </c>
      <c r="C219" s="5" t="s">
        <v>867</v>
      </c>
      <c r="D219" s="5" t="s">
        <v>99</v>
      </c>
      <c r="E219" s="9" t="s">
        <v>934</v>
      </c>
    </row>
    <row r="220">
      <c r="A220" s="5" t="s">
        <v>935</v>
      </c>
      <c r="B220" s="5" t="s">
        <v>936</v>
      </c>
      <c r="C220" s="5" t="s">
        <v>867</v>
      </c>
      <c r="D220" s="5" t="s">
        <v>16</v>
      </c>
      <c r="E220" s="9" t="s">
        <v>937</v>
      </c>
    </row>
    <row r="221">
      <c r="A221" s="5" t="s">
        <v>938</v>
      </c>
      <c r="B221" s="5" t="s">
        <v>939</v>
      </c>
      <c r="C221" s="5" t="s">
        <v>867</v>
      </c>
      <c r="D221" s="5" t="s">
        <v>246</v>
      </c>
      <c r="E221" s="9" t="s">
        <v>940</v>
      </c>
    </row>
    <row r="222">
      <c r="A222" s="5" t="s">
        <v>941</v>
      </c>
      <c r="B222" s="5" t="s">
        <v>942</v>
      </c>
      <c r="C222" s="5" t="s">
        <v>943</v>
      </c>
      <c r="D222" s="5" t="s">
        <v>99</v>
      </c>
      <c r="E222" s="9" t="s">
        <v>944</v>
      </c>
    </row>
    <row r="223">
      <c r="A223" s="5" t="s">
        <v>945</v>
      </c>
      <c r="B223" s="5" t="s">
        <v>946</v>
      </c>
      <c r="C223" s="5" t="s">
        <v>943</v>
      </c>
      <c r="D223" s="5" t="s">
        <v>99</v>
      </c>
      <c r="E223" s="9" t="s">
        <v>947</v>
      </c>
    </row>
    <row r="224">
      <c r="A224" s="5" t="s">
        <v>948</v>
      </c>
      <c r="B224" s="5" t="s">
        <v>949</v>
      </c>
      <c r="C224" s="5" t="s">
        <v>943</v>
      </c>
      <c r="D224" s="5" t="s">
        <v>99</v>
      </c>
      <c r="E224" s="9" t="s">
        <v>950</v>
      </c>
    </row>
    <row r="225">
      <c r="A225" s="5" t="s">
        <v>951</v>
      </c>
      <c r="B225" s="5" t="s">
        <v>952</v>
      </c>
      <c r="C225" s="5" t="s">
        <v>943</v>
      </c>
      <c r="D225" s="5" t="s">
        <v>99</v>
      </c>
      <c r="E225" s="9" t="s">
        <v>953</v>
      </c>
    </row>
    <row r="226">
      <c r="A226" s="5" t="s">
        <v>954</v>
      </c>
      <c r="B226" s="5" t="s">
        <v>955</v>
      </c>
      <c r="C226" s="5" t="s">
        <v>943</v>
      </c>
      <c r="D226" s="5" t="s">
        <v>99</v>
      </c>
      <c r="E226" s="9" t="s">
        <v>956</v>
      </c>
    </row>
    <row r="227">
      <c r="A227" s="5" t="s">
        <v>957</v>
      </c>
      <c r="B227" s="5" t="s">
        <v>958</v>
      </c>
      <c r="C227" s="5" t="s">
        <v>943</v>
      </c>
      <c r="D227" s="5" t="s">
        <v>99</v>
      </c>
      <c r="E227" s="9" t="s">
        <v>959</v>
      </c>
    </row>
    <row r="228">
      <c r="A228" s="5" t="s">
        <v>960</v>
      </c>
      <c r="B228" s="5" t="s">
        <v>961</v>
      </c>
      <c r="C228" s="5" t="s">
        <v>943</v>
      </c>
      <c r="D228" s="5" t="s">
        <v>16</v>
      </c>
      <c r="E228" s="9" t="s">
        <v>962</v>
      </c>
    </row>
    <row r="229">
      <c r="A229" s="5" t="s">
        <v>963</v>
      </c>
      <c r="B229" s="5" t="s">
        <v>964</v>
      </c>
      <c r="C229" s="5" t="s">
        <v>943</v>
      </c>
      <c r="D229" s="5" t="s">
        <v>99</v>
      </c>
      <c r="E229" s="9" t="s">
        <v>965</v>
      </c>
    </row>
    <row r="230">
      <c r="A230" s="5" t="s">
        <v>966</v>
      </c>
      <c r="B230" s="5" t="s">
        <v>967</v>
      </c>
      <c r="C230" s="5" t="s">
        <v>943</v>
      </c>
      <c r="D230" s="5" t="s">
        <v>246</v>
      </c>
      <c r="E230" s="9" t="s">
        <v>968</v>
      </c>
    </row>
    <row r="231">
      <c r="A231" s="5" t="s">
        <v>969</v>
      </c>
      <c r="B231" s="5" t="s">
        <v>970</v>
      </c>
      <c r="C231" s="5" t="s">
        <v>943</v>
      </c>
      <c r="D231" s="5" t="s">
        <v>246</v>
      </c>
      <c r="E231" s="9" t="s">
        <v>971</v>
      </c>
    </row>
    <row r="232">
      <c r="A232" s="5" t="s">
        <v>972</v>
      </c>
      <c r="B232" s="5" t="s">
        <v>973</v>
      </c>
      <c r="C232" s="5" t="s">
        <v>943</v>
      </c>
      <c r="D232" s="5" t="s">
        <v>246</v>
      </c>
      <c r="E232" s="9" t="s">
        <v>974</v>
      </c>
    </row>
    <row r="233">
      <c r="A233" s="5" t="s">
        <v>975</v>
      </c>
      <c r="B233" s="5" t="s">
        <v>976</v>
      </c>
      <c r="C233" s="5" t="s">
        <v>166</v>
      </c>
      <c r="D233" s="5" t="s">
        <v>99</v>
      </c>
      <c r="E233" s="9" t="s">
        <v>977</v>
      </c>
    </row>
    <row r="234">
      <c r="A234" s="5" t="s">
        <v>978</v>
      </c>
      <c r="B234" s="5" t="s">
        <v>979</v>
      </c>
      <c r="C234" s="5" t="s">
        <v>166</v>
      </c>
      <c r="D234" s="5" t="s">
        <v>16</v>
      </c>
      <c r="E234" s="9" t="s">
        <v>980</v>
      </c>
    </row>
    <row r="235">
      <c r="A235" s="5" t="s">
        <v>981</v>
      </c>
      <c r="B235" s="5" t="s">
        <v>982</v>
      </c>
      <c r="C235" s="5" t="s">
        <v>166</v>
      </c>
      <c r="D235" s="5" t="s">
        <v>246</v>
      </c>
      <c r="E235" s="9" t="s">
        <v>983</v>
      </c>
    </row>
    <row r="236">
      <c r="A236" s="5" t="s">
        <v>984</v>
      </c>
      <c r="B236" s="5" t="s">
        <v>985</v>
      </c>
      <c r="C236" s="5" t="s">
        <v>166</v>
      </c>
      <c r="D236" s="5" t="s">
        <v>99</v>
      </c>
      <c r="E236" s="9" t="s">
        <v>986</v>
      </c>
    </row>
    <row r="237">
      <c r="A237" s="5" t="s">
        <v>987</v>
      </c>
      <c r="B237" s="5" t="s">
        <v>988</v>
      </c>
      <c r="C237" s="5" t="s">
        <v>166</v>
      </c>
      <c r="D237" s="5" t="s">
        <v>99</v>
      </c>
      <c r="E237" s="9" t="s">
        <v>989</v>
      </c>
    </row>
    <row r="238">
      <c r="A238" s="5" t="s">
        <v>990</v>
      </c>
      <c r="B238" s="5" t="s">
        <v>991</v>
      </c>
      <c r="C238" s="5" t="s">
        <v>992</v>
      </c>
      <c r="D238" s="5" t="s">
        <v>16</v>
      </c>
      <c r="E238" s="9" t="s">
        <v>993</v>
      </c>
    </row>
    <row r="239">
      <c r="A239" s="5" t="s">
        <v>994</v>
      </c>
      <c r="B239" s="5" t="s">
        <v>995</v>
      </c>
      <c r="C239" s="5" t="s">
        <v>992</v>
      </c>
      <c r="D239" s="5" t="s">
        <v>246</v>
      </c>
      <c r="E239" s="9" t="s">
        <v>996</v>
      </c>
    </row>
    <row r="240">
      <c r="A240" s="5" t="s">
        <v>997</v>
      </c>
      <c r="B240" s="5" t="s">
        <v>998</v>
      </c>
      <c r="C240" s="5" t="s">
        <v>992</v>
      </c>
      <c r="D240" s="5" t="s">
        <v>99</v>
      </c>
      <c r="E240" s="9" t="s">
        <v>999</v>
      </c>
    </row>
    <row r="241">
      <c r="A241" s="5" t="s">
        <v>1000</v>
      </c>
      <c r="B241" s="5" t="s">
        <v>1001</v>
      </c>
      <c r="C241" s="5" t="s">
        <v>992</v>
      </c>
      <c r="D241" s="5" t="s">
        <v>99</v>
      </c>
      <c r="E241" s="9" t="s">
        <v>1002</v>
      </c>
    </row>
    <row r="242">
      <c r="A242" s="5" t="s">
        <v>1003</v>
      </c>
      <c r="B242" s="5" t="s">
        <v>1004</v>
      </c>
      <c r="C242" s="5" t="s">
        <v>992</v>
      </c>
      <c r="D242" s="5" t="s">
        <v>99</v>
      </c>
      <c r="E242" s="9" t="s">
        <v>1005</v>
      </c>
    </row>
    <row r="243">
      <c r="A243" s="5" t="s">
        <v>1006</v>
      </c>
      <c r="B243" s="5" t="s">
        <v>1007</v>
      </c>
      <c r="C243" s="5" t="s">
        <v>992</v>
      </c>
      <c r="D243" s="5" t="s">
        <v>16</v>
      </c>
      <c r="E243" s="9" t="s">
        <v>1008</v>
      </c>
    </row>
    <row r="244">
      <c r="A244" s="5" t="s">
        <v>1009</v>
      </c>
      <c r="B244" s="5" t="s">
        <v>1010</v>
      </c>
      <c r="C244" s="5" t="s">
        <v>1011</v>
      </c>
      <c r="D244" s="5" t="s">
        <v>246</v>
      </c>
      <c r="E244" s="9" t="s">
        <v>1012</v>
      </c>
    </row>
    <row r="245">
      <c r="A245" s="5" t="s">
        <v>1013</v>
      </c>
      <c r="B245" s="5" t="s">
        <v>1014</v>
      </c>
      <c r="C245" s="5" t="s">
        <v>1011</v>
      </c>
      <c r="D245" s="5" t="s">
        <v>246</v>
      </c>
      <c r="E245" s="9" t="s">
        <v>1015</v>
      </c>
    </row>
    <row r="246">
      <c r="A246" s="5" t="s">
        <v>1016</v>
      </c>
      <c r="B246" s="5" t="s">
        <v>1017</v>
      </c>
      <c r="C246" s="5" t="s">
        <v>1011</v>
      </c>
      <c r="D246" s="5" t="s">
        <v>246</v>
      </c>
      <c r="E246" s="9" t="s">
        <v>1018</v>
      </c>
    </row>
    <row r="247">
      <c r="A247" s="5" t="s">
        <v>1019</v>
      </c>
      <c r="B247" s="5" t="s">
        <v>1020</v>
      </c>
      <c r="C247" s="5" t="s">
        <v>1011</v>
      </c>
      <c r="D247" s="5" t="s">
        <v>16</v>
      </c>
      <c r="E247" s="9" t="s">
        <v>1021</v>
      </c>
    </row>
    <row r="248">
      <c r="A248" s="5" t="s">
        <v>1022</v>
      </c>
      <c r="B248" s="5" t="s">
        <v>1023</v>
      </c>
      <c r="C248" s="5" t="s">
        <v>1011</v>
      </c>
      <c r="D248" s="5" t="s">
        <v>16</v>
      </c>
      <c r="E248" s="9" t="s">
        <v>1024</v>
      </c>
    </row>
    <row r="249">
      <c r="A249" s="5" t="s">
        <v>1025</v>
      </c>
      <c r="B249" s="5" t="s">
        <v>1026</v>
      </c>
      <c r="C249" s="5" t="s">
        <v>1011</v>
      </c>
      <c r="D249" s="5" t="s">
        <v>99</v>
      </c>
      <c r="E249" s="9" t="s">
        <v>1027</v>
      </c>
    </row>
    <row r="250">
      <c r="A250" s="5" t="s">
        <v>1028</v>
      </c>
      <c r="B250" s="5" t="s">
        <v>1029</v>
      </c>
      <c r="C250" s="5" t="s">
        <v>1011</v>
      </c>
      <c r="D250" s="5" t="s">
        <v>99</v>
      </c>
      <c r="E250" s="9" t="s">
        <v>1030</v>
      </c>
    </row>
    <row r="251">
      <c r="A251" s="5" t="s">
        <v>1031</v>
      </c>
      <c r="B251" s="5" t="s">
        <v>1032</v>
      </c>
      <c r="C251" s="5" t="s">
        <v>1011</v>
      </c>
      <c r="D251" s="5" t="s">
        <v>246</v>
      </c>
      <c r="E251" s="9" t="s">
        <v>1033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</hyperlinks>
  <drawing r:id="rId251"/>
  <tableParts count="1">
    <tablePart r:id="rId25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33.5"/>
    <col customWidth="1" min="3" max="3" width="6.0"/>
    <col customWidth="1" min="4" max="4" width="68.13"/>
  </cols>
  <sheetData>
    <row r="1">
      <c r="A1" s="1" t="s">
        <v>1</v>
      </c>
      <c r="B1" s="1" t="s">
        <v>2</v>
      </c>
      <c r="C1" s="3" t="s">
        <v>0</v>
      </c>
      <c r="D1" s="3" t="s">
        <v>6</v>
      </c>
    </row>
    <row r="2">
      <c r="A2" s="6" t="str">
        <f>IFERROR(__xludf.DUMMYFUNCTION("ARRAYFORMULA(LET(raw, TOCOL(SPLIT(Roles!A2:A61 &amp; ""|"" &amp; Roles!B2:B61 &amp; ""|"" &amp; SUBSTITUTE(Roles!F2:F61, "","", "","" &amp; Roles!A2:A61 &amp; ""|"" &amp; Roles!B2:B61 &amp; ""|""), "","", TRUE, TRUE), 1), parsed, SPLIT(raw, ""|""), HSTACK(parsed, IFERROR(VLOOKUP(INDEX(p"&amp;"arsed, 0, 3), Skills!A2:B251, 2, FALSE), """"))))"),"R01")</f>
        <v>R01</v>
      </c>
      <c r="B2" s="6" t="str">
        <f>IFERROR(__xludf.DUMMYFUNCTION("""COMPUTED_VALUE"""),"Frontend Developer")</f>
        <v>Frontend Developer</v>
      </c>
      <c r="C2" s="7" t="str">
        <f>IFERROR(__xludf.DUMMYFUNCTION("""COMPUTED_VALUE"""),"S006")</f>
        <v>S006</v>
      </c>
      <c r="D2" s="7" t="str">
        <f>IFERROR(__xludf.DUMMYFUNCTION("""COMPUTED_VALUE"""),"Basic Data Structures (Arrays, Lists, Stacks, Queues)")</f>
        <v>Basic Data Structures (Arrays, Lists, Stacks, Queues)</v>
      </c>
    </row>
    <row r="3">
      <c r="A3" s="6" t="str">
        <f>IFERROR(__xludf.DUMMYFUNCTION("""COMPUTED_VALUE"""),"R01")</f>
        <v>R01</v>
      </c>
      <c r="B3" s="6" t="str">
        <f>IFERROR(__xludf.DUMMYFUNCTION("""COMPUTED_VALUE"""),"Frontend Developer")</f>
        <v>Frontend Developer</v>
      </c>
      <c r="C3" s="7" t="str">
        <f>IFERROR(__xludf.DUMMYFUNCTION("""COMPUTED_VALUE"""),"S010")</f>
        <v>S010</v>
      </c>
      <c r="D3" s="7" t="str">
        <f>IFERROR(__xludf.DUMMYFUNCTION("""COMPUTED_VALUE"""),"Sorting &amp; Searching Algorithms")</f>
        <v>Sorting &amp; Searching Algorithms</v>
      </c>
    </row>
    <row r="4">
      <c r="A4" s="6" t="str">
        <f>IFERROR(__xludf.DUMMYFUNCTION("""COMPUTED_VALUE"""),"R01")</f>
        <v>R01</v>
      </c>
      <c r="B4" s="6" t="str">
        <f>IFERROR(__xludf.DUMMYFUNCTION("""COMPUTED_VALUE"""),"Frontend Developer")</f>
        <v>Frontend Developer</v>
      </c>
      <c r="C4" s="7" t="str">
        <f>IFERROR(__xludf.DUMMYFUNCTION("""COMPUTED_VALUE"""),"S012")</f>
        <v>S012</v>
      </c>
      <c r="D4" s="7" t="str">
        <f>IFERROR(__xludf.DUMMYFUNCTION("""COMPUTED_VALUE"""),"Time &amp; Space Complexity (Big-O Analysis)")</f>
        <v>Time &amp; Space Complexity (Big-O Analysis)</v>
      </c>
    </row>
    <row r="5">
      <c r="A5" s="6" t="str">
        <f>IFERROR(__xludf.DUMMYFUNCTION("""COMPUTED_VALUE"""),"R01")</f>
        <v>R01</v>
      </c>
      <c r="B5" s="6" t="str">
        <f>IFERROR(__xludf.DUMMYFUNCTION("""COMPUTED_VALUE"""),"Frontend Developer")</f>
        <v>Frontend Developer</v>
      </c>
      <c r="C5" s="7" t="str">
        <f>IFERROR(__xludf.DUMMYFUNCTION("""COMPUTED_VALUE"""),"S013")</f>
        <v>S013</v>
      </c>
      <c r="D5" s="7" t="str">
        <f>IFERROR(__xludf.DUMMYFUNCTION("""COMPUTED_VALUE"""),"Object-Oriented Programming (OOP)")</f>
        <v>Object-Oriented Programming (OOP)</v>
      </c>
    </row>
    <row r="6">
      <c r="A6" s="6" t="str">
        <f>IFERROR(__xludf.DUMMYFUNCTION("""COMPUTED_VALUE"""),"R01")</f>
        <v>R01</v>
      </c>
      <c r="B6" s="6" t="str">
        <f>IFERROR(__xludf.DUMMYFUNCTION("""COMPUTED_VALUE"""),"Frontend Developer")</f>
        <v>Frontend Developer</v>
      </c>
      <c r="C6" s="7" t="str">
        <f>IFERROR(__xludf.DUMMYFUNCTION("""COMPUTED_VALUE"""),"S014")</f>
        <v>S014</v>
      </c>
      <c r="D6" s="7" t="str">
        <f>IFERROR(__xludf.DUMMYFUNCTION("""COMPUTED_VALUE"""),"Functional Programming Concepts")</f>
        <v>Functional Programming Concepts</v>
      </c>
    </row>
    <row r="7">
      <c r="A7" s="6" t="str">
        <f>IFERROR(__xludf.DUMMYFUNCTION("""COMPUTED_VALUE"""),"R01")</f>
        <v>R01</v>
      </c>
      <c r="B7" s="6" t="str">
        <f>IFERROR(__xludf.DUMMYFUNCTION("""COMPUTED_VALUE"""),"Frontend Developer")</f>
        <v>Frontend Developer</v>
      </c>
      <c r="C7" s="7" t="str">
        <f>IFERROR(__xludf.DUMMYFUNCTION("""COMPUTED_VALUE"""),"S016")</f>
        <v>S016</v>
      </c>
      <c r="D7" s="7" t="str">
        <f>IFERROR(__xludf.DUMMYFUNCTION("""COMPUTED_VALUE"""),"SOLID Principles &amp; Clean Code")</f>
        <v>SOLID Principles &amp; Clean Code</v>
      </c>
    </row>
    <row r="8">
      <c r="A8" s="6" t="str">
        <f>IFERROR(__xludf.DUMMYFUNCTION("""COMPUTED_VALUE"""),"R01")</f>
        <v>R01</v>
      </c>
      <c r="B8" s="6" t="str">
        <f>IFERROR(__xludf.DUMMYFUNCTION("""COMPUTED_VALUE"""),"Frontend Developer")</f>
        <v>Frontend Developer</v>
      </c>
      <c r="C8" s="7" t="str">
        <f>IFERROR(__xludf.DUMMYFUNCTION("""COMPUTED_VALUE"""),"S017")</f>
        <v>S017</v>
      </c>
      <c r="D8" s="7" t="str">
        <f>IFERROR(__xludf.DUMMYFUNCTION("""COMPUTED_VALUE"""),"Git Version Control Fundamentals")</f>
        <v>Git Version Control Fundamentals</v>
      </c>
    </row>
    <row r="9">
      <c r="A9" s="6" t="str">
        <f>IFERROR(__xludf.DUMMYFUNCTION("""COMPUTED_VALUE"""),"R01")</f>
        <v>R01</v>
      </c>
      <c r="B9" s="6" t="str">
        <f>IFERROR(__xludf.DUMMYFUNCTION("""COMPUTED_VALUE"""),"Frontend Developer")</f>
        <v>Frontend Developer</v>
      </c>
      <c r="C9" s="7" t="str">
        <f>IFERROR(__xludf.DUMMYFUNCTION("""COMPUTED_VALUE"""),"S018")</f>
        <v>S018</v>
      </c>
      <c r="D9" s="7" t="str">
        <f>IFERROR(__xludf.DUMMYFUNCTION("""COMPUTED_VALUE"""),"GitHub / GitLab Workflows &amp; Pull Requests")</f>
        <v>GitHub / GitLab Workflows &amp; Pull Requests</v>
      </c>
    </row>
    <row r="10">
      <c r="A10" s="6" t="str">
        <f>IFERROR(__xludf.DUMMYFUNCTION("""COMPUTED_VALUE"""),"R01")</f>
        <v>R01</v>
      </c>
      <c r="B10" s="6" t="str">
        <f>IFERROR(__xludf.DUMMYFUNCTION("""COMPUTED_VALUE"""),"Frontend Developer")</f>
        <v>Frontend Developer</v>
      </c>
      <c r="C10" s="7" t="str">
        <f>IFERROR(__xludf.DUMMYFUNCTION("""COMPUTED_VALUE"""),"S023")</f>
        <v>S023</v>
      </c>
      <c r="D10" s="7" t="str">
        <f>IFERROR(__xludf.DUMMYFUNCTION("""COMPUTED_VALUE"""),"HTTP/HTTPS Protocols &amp; Status Codes")</f>
        <v>HTTP/HTTPS Protocols &amp; Status Codes</v>
      </c>
    </row>
    <row r="11">
      <c r="A11" s="6" t="str">
        <f>IFERROR(__xludf.DUMMYFUNCTION("""COMPUTED_VALUE"""),"R01")</f>
        <v>R01</v>
      </c>
      <c r="B11" s="6" t="str">
        <f>IFERROR(__xludf.DUMMYFUNCTION("""COMPUTED_VALUE"""),"Frontend Developer")</f>
        <v>Frontend Developer</v>
      </c>
      <c r="C11" s="7" t="str">
        <f>IFERROR(__xludf.DUMMYFUNCTION("""COMPUTED_VALUE"""),"S025")</f>
        <v>S025</v>
      </c>
      <c r="D11" s="7" t="str">
        <f>IFERROR(__xludf.DUMMYFUNCTION("""COMPUTED_VALUE"""),"Regular Expressions (Regex)")</f>
        <v>Regular Expressions (Regex)</v>
      </c>
    </row>
    <row r="12">
      <c r="A12" s="6" t="str">
        <f>IFERROR(__xludf.DUMMYFUNCTION("""COMPUTED_VALUE"""),"R01")</f>
        <v>R01</v>
      </c>
      <c r="B12" s="6" t="str">
        <f>IFERROR(__xludf.DUMMYFUNCTION("""COMPUTED_VALUE"""),"Frontend Developer")</f>
        <v>Frontend Developer</v>
      </c>
      <c r="C12" s="7" t="str">
        <f>IFERROR(__xludf.DUMMYFUNCTION("""COMPUTED_VALUE"""),"S026")</f>
        <v>S026</v>
      </c>
      <c r="D12" s="7" t="str">
        <f>IFERROR(__xludf.DUMMYFUNCTION("""COMPUTED_VALUE"""),"Data Serialization (JSON, XML, YAML, Protobuf)")</f>
        <v>Data Serialization (JSON, XML, YAML, Protobuf)</v>
      </c>
    </row>
    <row r="13">
      <c r="A13" s="6" t="str">
        <f>IFERROR(__xludf.DUMMYFUNCTION("""COMPUTED_VALUE"""),"R01")</f>
        <v>R01</v>
      </c>
      <c r="B13" s="6" t="str">
        <f>IFERROR(__xludf.DUMMYFUNCTION("""COMPUTED_VALUE"""),"Frontend Developer")</f>
        <v>Frontend Developer</v>
      </c>
      <c r="C13" s="7" t="str">
        <f>IFERROR(__xludf.DUMMYFUNCTION("""COMPUTED_VALUE"""),"S028")</f>
        <v>S028</v>
      </c>
      <c r="D13" s="7" t="str">
        <f>IFERROR(__xludf.DUMMYFUNCTION("""COMPUTED_VALUE"""),"Technical Writing &amp; Markdown Documentation")</f>
        <v>Technical Writing &amp; Markdown Documentation</v>
      </c>
    </row>
    <row r="14">
      <c r="A14" s="6" t="str">
        <f>IFERROR(__xludf.DUMMYFUNCTION("""COMPUTED_VALUE"""),"R01")</f>
        <v>R01</v>
      </c>
      <c r="B14" s="6" t="str">
        <f>IFERROR(__xludf.DUMMYFUNCTION("""COMPUTED_VALUE"""),"Frontend Developer")</f>
        <v>Frontend Developer</v>
      </c>
      <c r="C14" s="7" t="str">
        <f>IFERROR(__xludf.DUMMYFUNCTION("""COMPUTED_VALUE"""),"S029")</f>
        <v>S029</v>
      </c>
      <c r="D14" s="7" t="str">
        <f>IFERROR(__xludf.DUMMYFUNCTION("""COMPUTED_VALUE"""),"Debugging, Profiling &amp; Root Cause Analysis")</f>
        <v>Debugging, Profiling &amp; Root Cause Analysis</v>
      </c>
    </row>
    <row r="15">
      <c r="A15" s="6" t="str">
        <f>IFERROR(__xludf.DUMMYFUNCTION("""COMPUTED_VALUE"""),"R01")</f>
        <v>R01</v>
      </c>
      <c r="B15" s="6" t="str">
        <f>IFERROR(__xludf.DUMMYFUNCTION("""COMPUTED_VALUE"""),"Frontend Developer")</f>
        <v>Frontend Developer</v>
      </c>
      <c r="C15" s="7" t="str">
        <f>IFERROR(__xludf.DUMMYFUNCTION("""COMPUTED_VALUE"""),"S031")</f>
        <v>S031</v>
      </c>
      <c r="D15" s="7" t="str">
        <f>IFERROR(__xludf.DUMMYFUNCTION("""COMPUTED_VALUE"""),"Semantic HTML5")</f>
        <v>Semantic HTML5</v>
      </c>
    </row>
    <row r="16">
      <c r="A16" s="6" t="str">
        <f>IFERROR(__xludf.DUMMYFUNCTION("""COMPUTED_VALUE"""),"R01")</f>
        <v>R01</v>
      </c>
      <c r="B16" s="6" t="str">
        <f>IFERROR(__xludf.DUMMYFUNCTION("""COMPUTED_VALUE"""),"Frontend Developer")</f>
        <v>Frontend Developer</v>
      </c>
      <c r="C16" s="7" t="str">
        <f>IFERROR(__xludf.DUMMYFUNCTION("""COMPUTED_VALUE"""),"S032")</f>
        <v>S032</v>
      </c>
      <c r="D16" s="7" t="str">
        <f>IFERROR(__xludf.DUMMYFUNCTION("""COMPUTED_VALUE"""),"CSS3 Fundamentals &amp; Box Model")</f>
        <v>CSS3 Fundamentals &amp; Box Model</v>
      </c>
    </row>
    <row r="17">
      <c r="A17" s="6" t="str">
        <f>IFERROR(__xludf.DUMMYFUNCTION("""COMPUTED_VALUE"""),"R01")</f>
        <v>R01</v>
      </c>
      <c r="B17" s="6" t="str">
        <f>IFERROR(__xludf.DUMMYFUNCTION("""COMPUTED_VALUE"""),"Frontend Developer")</f>
        <v>Frontend Developer</v>
      </c>
      <c r="C17" s="7" t="str">
        <f>IFERROR(__xludf.DUMMYFUNCTION("""COMPUTED_VALUE"""),"S033")</f>
        <v>S033</v>
      </c>
      <c r="D17" s="7" t="str">
        <f>IFERROR(__xludf.DUMMYFUNCTION("""COMPUTED_VALUE"""),"Responsive Web Design (Flexbox &amp; CSS Grid)")</f>
        <v>Responsive Web Design (Flexbox &amp; CSS Grid)</v>
      </c>
    </row>
    <row r="18">
      <c r="A18" s="6" t="str">
        <f>IFERROR(__xludf.DUMMYFUNCTION("""COMPUTED_VALUE"""),"R01")</f>
        <v>R01</v>
      </c>
      <c r="B18" s="6" t="str">
        <f>IFERROR(__xludf.DUMMYFUNCTION("""COMPUTED_VALUE"""),"Frontend Developer")</f>
        <v>Frontend Developer</v>
      </c>
      <c r="C18" s="7" t="str">
        <f>IFERROR(__xludf.DUMMYFUNCTION("""COMPUTED_VALUE"""),"S034")</f>
        <v>S034</v>
      </c>
      <c r="D18" s="7" t="str">
        <f>IFERROR(__xludf.DUMMYFUNCTION("""COMPUTED_VALUE"""),"JavaScript Fundamentals (ES6+)")</f>
        <v>JavaScript Fundamentals (ES6+)</v>
      </c>
    </row>
    <row r="19">
      <c r="A19" s="6" t="str">
        <f>IFERROR(__xludf.DUMMYFUNCTION("""COMPUTED_VALUE"""),"R01")</f>
        <v>R01</v>
      </c>
      <c r="B19" s="6" t="str">
        <f>IFERROR(__xludf.DUMMYFUNCTION("""COMPUTED_VALUE"""),"Frontend Developer")</f>
        <v>Frontend Developer</v>
      </c>
      <c r="C19" s="7" t="str">
        <f>IFERROR(__xludf.DUMMYFUNCTION("""COMPUTED_VALUE"""),"S035")</f>
        <v>S035</v>
      </c>
      <c r="D19" s="7" t="str">
        <f>IFERROR(__xludf.DUMMYFUNCTION("""COMPUTED_VALUE"""),"Asynchronous JavaScript (Promises, Async/Await)")</f>
        <v>Asynchronous JavaScript (Promises, Async/Await)</v>
      </c>
    </row>
    <row r="20">
      <c r="A20" s="6" t="str">
        <f>IFERROR(__xludf.DUMMYFUNCTION("""COMPUTED_VALUE"""),"R01")</f>
        <v>R01</v>
      </c>
      <c r="B20" s="6" t="str">
        <f>IFERROR(__xludf.DUMMYFUNCTION("""COMPUTED_VALUE"""),"Frontend Developer")</f>
        <v>Frontend Developer</v>
      </c>
      <c r="C20" s="7" t="str">
        <f>IFERROR(__xludf.DUMMYFUNCTION("""COMPUTED_VALUE"""),"S036")</f>
        <v>S036</v>
      </c>
      <c r="D20" s="7" t="str">
        <f>IFERROR(__xludf.DUMMYFUNCTION("""COMPUTED_VALUE"""),"DOM Manipulation &amp; Browser Events")</f>
        <v>DOM Manipulation &amp; Browser Events</v>
      </c>
    </row>
    <row r="21">
      <c r="A21" s="6" t="str">
        <f>IFERROR(__xludf.DUMMYFUNCTION("""COMPUTED_VALUE"""),"R01")</f>
        <v>R01</v>
      </c>
      <c r="B21" s="6" t="str">
        <f>IFERROR(__xludf.DUMMYFUNCTION("""COMPUTED_VALUE"""),"Frontend Developer")</f>
        <v>Frontend Developer</v>
      </c>
      <c r="C21" s="7" t="str">
        <f>IFERROR(__xludf.DUMMYFUNCTION("""COMPUTED_VALUE"""),"S037")</f>
        <v>S037</v>
      </c>
      <c r="D21" s="7" t="str">
        <f>IFERROR(__xludf.DUMMYFUNCTION("""COMPUTED_VALUE"""),"Browser Storage (LocalStorage, SessionStorage, IndexedDB)")</f>
        <v>Browser Storage (LocalStorage, SessionStorage, IndexedDB)</v>
      </c>
    </row>
    <row r="22">
      <c r="A22" s="6" t="str">
        <f>IFERROR(__xludf.DUMMYFUNCTION("""COMPUTED_VALUE"""),"R01")</f>
        <v>R01</v>
      </c>
      <c r="B22" s="6" t="str">
        <f>IFERROR(__xludf.DUMMYFUNCTION("""COMPUTED_VALUE"""),"Frontend Developer")</f>
        <v>Frontend Developer</v>
      </c>
      <c r="C22" s="7" t="str">
        <f>IFERROR(__xludf.DUMMYFUNCTION("""COMPUTED_VALUE"""),"S038")</f>
        <v>S038</v>
      </c>
      <c r="D22" s="7" t="str">
        <f>IFERROR(__xludf.DUMMYFUNCTION("""COMPUTED_VALUE"""),"TypeScript &amp; Static Typing")</f>
        <v>TypeScript &amp; Static Typing</v>
      </c>
    </row>
    <row r="23">
      <c r="A23" s="6" t="str">
        <f>IFERROR(__xludf.DUMMYFUNCTION("""COMPUTED_VALUE"""),"R01")</f>
        <v>R01</v>
      </c>
      <c r="B23" s="6" t="str">
        <f>IFERROR(__xludf.DUMMYFUNCTION("""COMPUTED_VALUE"""),"Frontend Developer")</f>
        <v>Frontend Developer</v>
      </c>
      <c r="C23" s="7" t="str">
        <f>IFERROR(__xludf.DUMMYFUNCTION("""COMPUTED_VALUE"""),"S039")</f>
        <v>S039</v>
      </c>
      <c r="D23" s="7" t="str">
        <f>IFERROR(__xludf.DUMMYFUNCTION("""COMPUTED_VALUE"""),"React.js &amp; Hooks Architecture")</f>
        <v>React.js &amp; Hooks Architecture</v>
      </c>
    </row>
    <row r="24">
      <c r="A24" s="6" t="str">
        <f>IFERROR(__xludf.DUMMYFUNCTION("""COMPUTED_VALUE"""),"R01")</f>
        <v>R01</v>
      </c>
      <c r="B24" s="6" t="str">
        <f>IFERROR(__xludf.DUMMYFUNCTION("""COMPUTED_VALUE"""),"Frontend Developer")</f>
        <v>Frontend Developer</v>
      </c>
      <c r="C24" s="7" t="str">
        <f>IFERROR(__xludf.DUMMYFUNCTION("""COMPUTED_VALUE"""),"S045")</f>
        <v>S045</v>
      </c>
      <c r="D24" s="7" t="str">
        <f>IFERROR(__xludf.DUMMYFUNCTION("""COMPUTED_VALUE"""),"Frontend State Management (Redux Toolkit, Zustand, MobX)")</f>
        <v>Frontend State Management (Redux Toolkit, Zustand, MobX)</v>
      </c>
    </row>
    <row r="25">
      <c r="A25" s="6" t="str">
        <f>IFERROR(__xludf.DUMMYFUNCTION("""COMPUTED_VALUE"""),"R01")</f>
        <v>R01</v>
      </c>
      <c r="B25" s="6" t="str">
        <f>IFERROR(__xludf.DUMMYFUNCTION("""COMPUTED_VALUE"""),"Frontend Developer")</f>
        <v>Frontend Developer</v>
      </c>
      <c r="C25" s="7" t="str">
        <f>IFERROR(__xludf.DUMMYFUNCTION("""COMPUTED_VALUE"""),"S046")</f>
        <v>S046</v>
      </c>
      <c r="D25" s="7" t="str">
        <f>IFERROR(__xludf.DUMMYFUNCTION("""COMPUTED_VALUE"""),"Data Fetching &amp; Caching (TanStack React Query, SWR)")</f>
        <v>Data Fetching &amp; Caching (TanStack React Query, SWR)</v>
      </c>
    </row>
    <row r="26">
      <c r="A26" s="6" t="str">
        <f>IFERROR(__xludf.DUMMYFUNCTION("""COMPUTED_VALUE"""),"R01")</f>
        <v>R01</v>
      </c>
      <c r="B26" s="6" t="str">
        <f>IFERROR(__xludf.DUMMYFUNCTION("""COMPUTED_VALUE"""),"Frontend Developer")</f>
        <v>Frontend Developer</v>
      </c>
      <c r="C26" s="7" t="str">
        <f>IFERROR(__xludf.DUMMYFUNCTION("""COMPUTED_VALUE"""),"S047")</f>
        <v>S047</v>
      </c>
      <c r="D26" s="7" t="str">
        <f>IFERROR(__xludf.DUMMYFUNCTION("""COMPUTED_VALUE"""),"Tailwind CSS Utility Styling")</f>
        <v>Tailwind CSS Utility Styling</v>
      </c>
    </row>
    <row r="27">
      <c r="A27" s="6" t="str">
        <f>IFERROR(__xludf.DUMMYFUNCTION("""COMPUTED_VALUE"""),"R01")</f>
        <v>R01</v>
      </c>
      <c r="B27" s="6" t="str">
        <f>IFERROR(__xludf.DUMMYFUNCTION("""COMPUTED_VALUE"""),"Frontend Developer")</f>
        <v>Frontend Developer</v>
      </c>
      <c r="C27" s="7" t="str">
        <f>IFERROR(__xludf.DUMMYFUNCTION("""COMPUTED_VALUE"""),"S048")</f>
        <v>S048</v>
      </c>
      <c r="D27" s="7" t="str">
        <f>IFERROR(__xludf.DUMMYFUNCTION("""COMPUTED_VALUE"""),"CSS Preprocessors (Sass / SCSS)")</f>
        <v>CSS Preprocessors (Sass / SCSS)</v>
      </c>
    </row>
    <row r="28">
      <c r="A28" s="6" t="str">
        <f>IFERROR(__xludf.DUMMYFUNCTION("""COMPUTED_VALUE"""),"R01")</f>
        <v>R01</v>
      </c>
      <c r="B28" s="6" t="str">
        <f>IFERROR(__xludf.DUMMYFUNCTION("""COMPUTED_VALUE"""),"Frontend Developer")</f>
        <v>Frontend Developer</v>
      </c>
      <c r="C28" s="7" t="str">
        <f>IFERROR(__xludf.DUMMYFUNCTION("""COMPUTED_VALUE"""),"S049")</f>
        <v>S049</v>
      </c>
      <c r="D28" s="7" t="str">
        <f>IFERROR(__xludf.DUMMYFUNCTION("""COMPUTED_VALUE"""),"Component Libraries (Material UI, Shadcn UI, Bootstrap)")</f>
        <v>Component Libraries (Material UI, Shadcn UI, Bootstrap)</v>
      </c>
    </row>
    <row r="29">
      <c r="A29" s="6" t="str">
        <f>IFERROR(__xludf.DUMMYFUNCTION("""COMPUTED_VALUE"""),"R01")</f>
        <v>R01</v>
      </c>
      <c r="B29" s="6" t="str">
        <f>IFERROR(__xludf.DUMMYFUNCTION("""COMPUTED_VALUE"""),"Frontend Developer")</f>
        <v>Frontend Developer</v>
      </c>
      <c r="C29" s="7" t="str">
        <f>IFERROR(__xludf.DUMMYFUNCTION("""COMPUTED_VALUE"""),"S050")</f>
        <v>S050</v>
      </c>
      <c r="D29" s="7" t="str">
        <f>IFERROR(__xludf.DUMMYFUNCTION("""COMPUTED_VALUE"""),"Module Bundlers &amp; Build Tools (Vite, Webpack, Rollup)")</f>
        <v>Module Bundlers &amp; Build Tools (Vite, Webpack, Rollup)</v>
      </c>
    </row>
    <row r="30">
      <c r="A30" s="6" t="str">
        <f>IFERROR(__xludf.DUMMYFUNCTION("""COMPUTED_VALUE"""),"R01")</f>
        <v>R01</v>
      </c>
      <c r="B30" s="6" t="str">
        <f>IFERROR(__xludf.DUMMYFUNCTION("""COMPUTED_VALUE"""),"Frontend Developer")</f>
        <v>Frontend Developer</v>
      </c>
      <c r="C30" s="7" t="str">
        <f>IFERROR(__xludf.DUMMYFUNCTION("""COMPUTED_VALUE"""),"S051")</f>
        <v>S051</v>
      </c>
      <c r="D30" s="7" t="str">
        <f>IFERROR(__xludf.DUMMYFUNCTION("""COMPUTED_VALUE"""),"Package Managers (npm, yarn, pnpm)")</f>
        <v>Package Managers (npm, yarn, pnpm)</v>
      </c>
    </row>
    <row r="31">
      <c r="A31" s="6" t="str">
        <f>IFERROR(__xludf.DUMMYFUNCTION("""COMPUTED_VALUE"""),"R01")</f>
        <v>R01</v>
      </c>
      <c r="B31" s="6" t="str">
        <f>IFERROR(__xludf.DUMMYFUNCTION("""COMPUTED_VALUE"""),"Frontend Developer")</f>
        <v>Frontend Developer</v>
      </c>
      <c r="C31" s="7" t="str">
        <f>IFERROR(__xludf.DUMMYFUNCTION("""COMPUTED_VALUE"""),"S053")</f>
        <v>S053</v>
      </c>
      <c r="D31" s="7" t="str">
        <f>IFERROR(__xludf.DUMMYFUNCTION("""COMPUTED_VALUE"""),"Web Accessibility (WCAG / ARIA / a11y)")</f>
        <v>Web Accessibility (WCAG / ARIA / a11y)</v>
      </c>
    </row>
    <row r="32">
      <c r="A32" s="6" t="str">
        <f>IFERROR(__xludf.DUMMYFUNCTION("""COMPUTED_VALUE"""),"R01")</f>
        <v>R01</v>
      </c>
      <c r="B32" s="6" t="str">
        <f>IFERROR(__xludf.DUMMYFUNCTION("""COMPUTED_VALUE"""),"Frontend Developer")</f>
        <v>Frontend Developer</v>
      </c>
      <c r="C32" s="7" t="str">
        <f>IFERROR(__xludf.DUMMYFUNCTION("""COMPUTED_VALUE"""),"S059")</f>
        <v>S059</v>
      </c>
      <c r="D32" s="7" t="str">
        <f>IFERROR(__xludf.DUMMYFUNCTION("""COMPUTED_VALUE"""),"Frontend Unit &amp; Component Testing (Jest, Vitest, RTL)")</f>
        <v>Frontend Unit &amp; Component Testing (Jest, Vitest, RTL)</v>
      </c>
    </row>
    <row r="33">
      <c r="A33" s="6" t="str">
        <f>IFERROR(__xludf.DUMMYFUNCTION("""COMPUTED_VALUE"""),"R01")</f>
        <v>R01</v>
      </c>
      <c r="B33" s="6" t="str">
        <f>IFERROR(__xludf.DUMMYFUNCTION("""COMPUTED_VALUE"""),"Frontend Developer")</f>
        <v>Frontend Developer</v>
      </c>
      <c r="C33" s="7" t="str">
        <f>IFERROR(__xludf.DUMMYFUNCTION("""COMPUTED_VALUE"""),"S061")</f>
        <v>S061</v>
      </c>
      <c r="D33" s="7" t="str">
        <f>IFERROR(__xludf.DUMMYFUNCTION("""COMPUTED_VALUE"""),"UI/UX Design Fundamentals &amp; Color Theory")</f>
        <v>UI/UX Design Fundamentals &amp; Color Theory</v>
      </c>
    </row>
    <row r="34">
      <c r="A34" s="6" t="str">
        <f>IFERROR(__xludf.DUMMYFUNCTION("""COMPUTED_VALUE"""),"R01")</f>
        <v>R01</v>
      </c>
      <c r="B34" s="6" t="str">
        <f>IFERROR(__xludf.DUMMYFUNCTION("""COMPUTED_VALUE"""),"Frontend Developer")</f>
        <v>Frontend Developer</v>
      </c>
      <c r="C34" s="7" t="str">
        <f>IFERROR(__xludf.DUMMYFUNCTION("""COMPUTED_VALUE"""),"S062")</f>
        <v>S062</v>
      </c>
      <c r="D34" s="7" t="str">
        <f>IFERROR(__xludf.DUMMYFUNCTION("""COMPUTED_VALUE"""),"Wireframing &amp; Interactive Prototyping (Figma)")</f>
        <v>Wireframing &amp; Interactive Prototyping (Figma)</v>
      </c>
    </row>
    <row r="35">
      <c r="A35" s="6" t="str">
        <f>IFERROR(__xludf.DUMMYFUNCTION("""COMPUTED_VALUE"""),"R01")</f>
        <v>R01</v>
      </c>
      <c r="B35" s="6" t="str">
        <f>IFERROR(__xludf.DUMMYFUNCTION("""COMPUTED_VALUE"""),"Frontend Developer")</f>
        <v>Frontend Developer</v>
      </c>
      <c r="C35" s="7" t="str">
        <f>IFERROR(__xludf.DUMMYFUNCTION("""COMPUTED_VALUE"""),"S086")</f>
        <v>S086</v>
      </c>
      <c r="D35" s="7" t="str">
        <f>IFERROR(__xludf.DUMMYFUNCTION("""COMPUTED_VALUE"""),"RESTful API Design &amp; OpenAPI/Swagger")</f>
        <v>RESTful API Design &amp; OpenAPI/Swagger</v>
      </c>
    </row>
    <row r="36">
      <c r="A36" s="6" t="str">
        <f>IFERROR(__xludf.DUMMYFUNCTION("""COMPUTED_VALUE"""),"R01")</f>
        <v>R01</v>
      </c>
      <c r="B36" s="6" t="str">
        <f>IFERROR(__xludf.DUMMYFUNCTION("""COMPUTED_VALUE"""),"Frontend Developer")</f>
        <v>Frontend Developer</v>
      </c>
      <c r="C36" s="7" t="str">
        <f>IFERROR(__xludf.DUMMYFUNCTION("""COMPUTED_VALUE"""),"S246")</f>
        <v>S246</v>
      </c>
      <c r="D36" s="7" t="str">
        <f>IFERROR(__xludf.DUMMYFUNCTION("""COMPUTED_VALUE"""),"Agile Methodologies, Scrum Framework &amp; Kanban")</f>
        <v>Agile Methodologies, Scrum Framework &amp; Kanban</v>
      </c>
    </row>
    <row r="37">
      <c r="A37" s="6" t="str">
        <f>IFERROR(__xludf.DUMMYFUNCTION("""COMPUTED_VALUE"""),"R01")</f>
        <v>R01</v>
      </c>
      <c r="B37" s="6" t="str">
        <f>IFERROR(__xludf.DUMMYFUNCTION("""COMPUTED_VALUE"""),"Frontend Developer")</f>
        <v>Frontend Developer</v>
      </c>
      <c r="C37" s="7" t="str">
        <f>IFERROR(__xludf.DUMMYFUNCTION("""COMPUTED_VALUE"""),"S247")</f>
        <v>S247</v>
      </c>
      <c r="D37" s="7" t="str">
        <f>IFERROR(__xludf.DUMMYFUNCTION("""COMPUTED_VALUE"""),"Project Tracking &amp; Documentation Tools (Jira, Confluence, Linear)")</f>
        <v>Project Tracking &amp; Documentation Tools (Jira, Confluence, Linear)</v>
      </c>
    </row>
    <row r="38">
      <c r="A38" s="6" t="str">
        <f>IFERROR(__xludf.DUMMYFUNCTION("""COMPUTED_VALUE"""),"R02")</f>
        <v>R02</v>
      </c>
      <c r="B38" s="6" t="str">
        <f>IFERROR(__xludf.DUMMYFUNCTION("""COMPUTED_VALUE"""),"Backend Developer")</f>
        <v>Backend Developer</v>
      </c>
      <c r="C38" s="7" t="str">
        <f>IFERROR(__xludf.DUMMYFUNCTION("""COMPUTED_VALUE"""),"S002")</f>
        <v>S002</v>
      </c>
      <c r="D38" s="7" t="str">
        <f>IFERROR(__xludf.DUMMYFUNCTION("""COMPUTED_VALUE"""),"Operating Systems Concepts")</f>
        <v>Operating Systems Concepts</v>
      </c>
    </row>
    <row r="39">
      <c r="A39" s="6" t="str">
        <f>IFERROR(__xludf.DUMMYFUNCTION("""COMPUTED_VALUE"""),"R02")</f>
        <v>R02</v>
      </c>
      <c r="B39" s="6" t="str">
        <f>IFERROR(__xludf.DUMMYFUNCTION("""COMPUTED_VALUE"""),"Backend Developer")</f>
        <v>Backend Developer</v>
      </c>
      <c r="C39" s="7" t="str">
        <f>IFERROR(__xludf.DUMMYFUNCTION("""COMPUTED_VALUE"""),"S003")</f>
        <v>S003</v>
      </c>
      <c r="D39" s="7" t="str">
        <f>IFERROR(__xludf.DUMMYFUNCTION("""COMPUTED_VALUE"""),"Process &amp; Thread Management")</f>
        <v>Process &amp; Thread Management</v>
      </c>
    </row>
    <row r="40">
      <c r="A40" s="6" t="str">
        <f>IFERROR(__xludf.DUMMYFUNCTION("""COMPUTED_VALUE"""),"R02")</f>
        <v>R02</v>
      </c>
      <c r="B40" s="6" t="str">
        <f>IFERROR(__xludf.DUMMYFUNCTION("""COMPUTED_VALUE"""),"Backend Developer")</f>
        <v>Backend Developer</v>
      </c>
      <c r="C40" s="7" t="str">
        <f>IFERROR(__xludf.DUMMYFUNCTION("""COMPUTED_VALUE"""),"S006")</f>
        <v>S006</v>
      </c>
      <c r="D40" s="7" t="str">
        <f>IFERROR(__xludf.DUMMYFUNCTION("""COMPUTED_VALUE"""),"Basic Data Structures (Arrays, Lists, Stacks, Queues)")</f>
        <v>Basic Data Structures (Arrays, Lists, Stacks, Queues)</v>
      </c>
    </row>
    <row r="41">
      <c r="A41" s="6" t="str">
        <f>IFERROR(__xludf.DUMMYFUNCTION("""COMPUTED_VALUE"""),"R02")</f>
        <v>R02</v>
      </c>
      <c r="B41" s="6" t="str">
        <f>IFERROR(__xludf.DUMMYFUNCTION("""COMPUTED_VALUE"""),"Backend Developer")</f>
        <v>Backend Developer</v>
      </c>
      <c r="C41" s="7" t="str">
        <f>IFERROR(__xludf.DUMMYFUNCTION("""COMPUTED_VALUE"""),"S007")</f>
        <v>S007</v>
      </c>
      <c r="D41" s="7" t="str">
        <f>IFERROR(__xludf.DUMMYFUNCTION("""COMPUTED_VALUE"""),"Trees &amp; Binary Search Trees")</f>
        <v>Trees &amp; Binary Search Trees</v>
      </c>
    </row>
    <row r="42">
      <c r="A42" s="6" t="str">
        <f>IFERROR(__xludf.DUMMYFUNCTION("""COMPUTED_VALUE"""),"R02")</f>
        <v>R02</v>
      </c>
      <c r="B42" s="6" t="str">
        <f>IFERROR(__xludf.DUMMYFUNCTION("""COMPUTED_VALUE"""),"Backend Developer")</f>
        <v>Backend Developer</v>
      </c>
      <c r="C42" s="7" t="str">
        <f>IFERROR(__xludf.DUMMYFUNCTION("""COMPUTED_VALUE"""),"S008")</f>
        <v>S008</v>
      </c>
      <c r="D42" s="7" t="str">
        <f>IFERROR(__xludf.DUMMYFUNCTION("""COMPUTED_VALUE"""),"Heaps, Priority Queues &amp; Hashing")</f>
        <v>Heaps, Priority Queues &amp; Hashing</v>
      </c>
    </row>
    <row r="43">
      <c r="A43" s="6" t="str">
        <f>IFERROR(__xludf.DUMMYFUNCTION("""COMPUTED_VALUE"""),"R02")</f>
        <v>R02</v>
      </c>
      <c r="B43" s="6" t="str">
        <f>IFERROR(__xludf.DUMMYFUNCTION("""COMPUTED_VALUE"""),"Backend Developer")</f>
        <v>Backend Developer</v>
      </c>
      <c r="C43" s="7" t="str">
        <f>IFERROR(__xludf.DUMMYFUNCTION("""COMPUTED_VALUE"""),"S010")</f>
        <v>S010</v>
      </c>
      <c r="D43" s="7" t="str">
        <f>IFERROR(__xludf.DUMMYFUNCTION("""COMPUTED_VALUE"""),"Sorting &amp; Searching Algorithms")</f>
        <v>Sorting &amp; Searching Algorithms</v>
      </c>
    </row>
    <row r="44">
      <c r="A44" s="6" t="str">
        <f>IFERROR(__xludf.DUMMYFUNCTION("""COMPUTED_VALUE"""),"R02")</f>
        <v>R02</v>
      </c>
      <c r="B44" s="6" t="str">
        <f>IFERROR(__xludf.DUMMYFUNCTION("""COMPUTED_VALUE"""),"Backend Developer")</f>
        <v>Backend Developer</v>
      </c>
      <c r="C44" s="7" t="str">
        <f>IFERROR(__xludf.DUMMYFUNCTION("""COMPUTED_VALUE"""),"S012")</f>
        <v>S012</v>
      </c>
      <c r="D44" s="7" t="str">
        <f>IFERROR(__xludf.DUMMYFUNCTION("""COMPUTED_VALUE"""),"Time &amp; Space Complexity (Big-O Analysis)")</f>
        <v>Time &amp; Space Complexity (Big-O Analysis)</v>
      </c>
    </row>
    <row r="45">
      <c r="A45" s="6" t="str">
        <f>IFERROR(__xludf.DUMMYFUNCTION("""COMPUTED_VALUE"""),"R02")</f>
        <v>R02</v>
      </c>
      <c r="B45" s="6" t="str">
        <f>IFERROR(__xludf.DUMMYFUNCTION("""COMPUTED_VALUE"""),"Backend Developer")</f>
        <v>Backend Developer</v>
      </c>
      <c r="C45" s="7" t="str">
        <f>IFERROR(__xludf.DUMMYFUNCTION("""COMPUTED_VALUE"""),"S013")</f>
        <v>S013</v>
      </c>
      <c r="D45" s="7" t="str">
        <f>IFERROR(__xludf.DUMMYFUNCTION("""COMPUTED_VALUE"""),"Object-Oriented Programming (OOP)")</f>
        <v>Object-Oriented Programming (OOP)</v>
      </c>
    </row>
    <row r="46">
      <c r="A46" s="6" t="str">
        <f>IFERROR(__xludf.DUMMYFUNCTION("""COMPUTED_VALUE"""),"R02")</f>
        <v>R02</v>
      </c>
      <c r="B46" s="6" t="str">
        <f>IFERROR(__xludf.DUMMYFUNCTION("""COMPUTED_VALUE"""),"Backend Developer")</f>
        <v>Backend Developer</v>
      </c>
      <c r="C46" s="7" t="str">
        <f>IFERROR(__xludf.DUMMYFUNCTION("""COMPUTED_VALUE"""),"S015")</f>
        <v>S015</v>
      </c>
      <c r="D46" s="7" t="str">
        <f>IFERROR(__xludf.DUMMYFUNCTION("""COMPUTED_VALUE"""),"Software Design Patterns (GoF)")</f>
        <v>Software Design Patterns (GoF)</v>
      </c>
    </row>
    <row r="47">
      <c r="A47" s="6" t="str">
        <f>IFERROR(__xludf.DUMMYFUNCTION("""COMPUTED_VALUE"""),"R02")</f>
        <v>R02</v>
      </c>
      <c r="B47" s="6" t="str">
        <f>IFERROR(__xludf.DUMMYFUNCTION("""COMPUTED_VALUE"""),"Backend Developer")</f>
        <v>Backend Developer</v>
      </c>
      <c r="C47" s="7" t="str">
        <f>IFERROR(__xludf.DUMMYFUNCTION("""COMPUTED_VALUE"""),"S016")</f>
        <v>S016</v>
      </c>
      <c r="D47" s="7" t="str">
        <f>IFERROR(__xludf.DUMMYFUNCTION("""COMPUTED_VALUE"""),"SOLID Principles &amp; Clean Code")</f>
        <v>SOLID Principles &amp; Clean Code</v>
      </c>
    </row>
    <row r="48">
      <c r="A48" s="6" t="str">
        <f>IFERROR(__xludf.DUMMYFUNCTION("""COMPUTED_VALUE"""),"R02")</f>
        <v>R02</v>
      </c>
      <c r="B48" s="6" t="str">
        <f>IFERROR(__xludf.DUMMYFUNCTION("""COMPUTED_VALUE"""),"Backend Developer")</f>
        <v>Backend Developer</v>
      </c>
      <c r="C48" s="7" t="str">
        <f>IFERROR(__xludf.DUMMYFUNCTION("""COMPUTED_VALUE"""),"S017")</f>
        <v>S017</v>
      </c>
      <c r="D48" s="7" t="str">
        <f>IFERROR(__xludf.DUMMYFUNCTION("""COMPUTED_VALUE"""),"Git Version Control Fundamentals")</f>
        <v>Git Version Control Fundamentals</v>
      </c>
    </row>
    <row r="49">
      <c r="A49" s="6" t="str">
        <f>IFERROR(__xludf.DUMMYFUNCTION("""COMPUTED_VALUE"""),"R02")</f>
        <v>R02</v>
      </c>
      <c r="B49" s="6" t="str">
        <f>IFERROR(__xludf.DUMMYFUNCTION("""COMPUTED_VALUE"""),"Backend Developer")</f>
        <v>Backend Developer</v>
      </c>
      <c r="C49" s="7" t="str">
        <f>IFERROR(__xludf.DUMMYFUNCTION("""COMPUTED_VALUE"""),"S018")</f>
        <v>S018</v>
      </c>
      <c r="D49" s="7" t="str">
        <f>IFERROR(__xludf.DUMMYFUNCTION("""COMPUTED_VALUE"""),"GitHub / GitLab Workflows &amp; Pull Requests")</f>
        <v>GitHub / GitLab Workflows &amp; Pull Requests</v>
      </c>
    </row>
    <row r="50">
      <c r="A50" s="6" t="str">
        <f>IFERROR(__xludf.DUMMYFUNCTION("""COMPUTED_VALUE"""),"R02")</f>
        <v>R02</v>
      </c>
      <c r="B50" s="6" t="str">
        <f>IFERROR(__xludf.DUMMYFUNCTION("""COMPUTED_VALUE"""),"Backend Developer")</f>
        <v>Backend Developer</v>
      </c>
      <c r="C50" s="7" t="str">
        <f>IFERROR(__xludf.DUMMYFUNCTION("""COMPUTED_VALUE"""),"S019")</f>
        <v>S019</v>
      </c>
      <c r="D50" s="7" t="str">
        <f>IFERROR(__xludf.DUMMYFUNCTION("""COMPUTED_VALUE"""),"Linux Command Line &amp; File Permissions")</f>
        <v>Linux Command Line &amp; File Permissions</v>
      </c>
    </row>
    <row r="51">
      <c r="A51" s="6" t="str">
        <f>IFERROR(__xludf.DUMMYFUNCTION("""COMPUTED_VALUE"""),"R02")</f>
        <v>R02</v>
      </c>
      <c r="B51" s="6" t="str">
        <f>IFERROR(__xludf.DUMMYFUNCTION("""COMPUTED_VALUE"""),"Backend Developer")</f>
        <v>Backend Developer</v>
      </c>
      <c r="C51" s="7" t="str">
        <f>IFERROR(__xludf.DUMMYFUNCTION("""COMPUTED_VALUE"""),"S020")</f>
        <v>S020</v>
      </c>
      <c r="D51" s="7" t="str">
        <f>IFERROR(__xludf.DUMMYFUNCTION("""COMPUTED_VALUE"""),"Bash &amp; Shell Scripting")</f>
        <v>Bash &amp; Shell Scripting</v>
      </c>
    </row>
    <row r="52">
      <c r="A52" s="6" t="str">
        <f>IFERROR(__xludf.DUMMYFUNCTION("""COMPUTED_VALUE"""),"R02")</f>
        <v>R02</v>
      </c>
      <c r="B52" s="6" t="str">
        <f>IFERROR(__xludf.DUMMYFUNCTION("""COMPUTED_VALUE"""),"Backend Developer")</f>
        <v>Backend Developer</v>
      </c>
      <c r="C52" s="7" t="str">
        <f>IFERROR(__xludf.DUMMYFUNCTION("""COMPUTED_VALUE"""),"S022")</f>
        <v>S022</v>
      </c>
      <c r="D52" s="7" t="str">
        <f>IFERROR(__xludf.DUMMYFUNCTION("""COMPUTED_VALUE"""),"Computer Networking &amp; OSI Model")</f>
        <v>Computer Networking &amp; OSI Model</v>
      </c>
    </row>
    <row r="53">
      <c r="A53" s="6" t="str">
        <f>IFERROR(__xludf.DUMMYFUNCTION("""COMPUTED_VALUE"""),"R02")</f>
        <v>R02</v>
      </c>
      <c r="B53" s="6" t="str">
        <f>IFERROR(__xludf.DUMMYFUNCTION("""COMPUTED_VALUE"""),"Backend Developer")</f>
        <v>Backend Developer</v>
      </c>
      <c r="C53" s="7" t="str">
        <f>IFERROR(__xludf.DUMMYFUNCTION("""COMPUTED_VALUE"""),"S023")</f>
        <v>S023</v>
      </c>
      <c r="D53" s="7" t="str">
        <f>IFERROR(__xludf.DUMMYFUNCTION("""COMPUTED_VALUE"""),"HTTP/HTTPS Protocols &amp; Status Codes")</f>
        <v>HTTP/HTTPS Protocols &amp; Status Codes</v>
      </c>
    </row>
    <row r="54">
      <c r="A54" s="6" t="str">
        <f>IFERROR(__xludf.DUMMYFUNCTION("""COMPUTED_VALUE"""),"R02")</f>
        <v>R02</v>
      </c>
      <c r="B54" s="6" t="str">
        <f>IFERROR(__xludf.DUMMYFUNCTION("""COMPUTED_VALUE"""),"Backend Developer")</f>
        <v>Backend Developer</v>
      </c>
      <c r="C54" s="7" t="str">
        <f>IFERROR(__xludf.DUMMYFUNCTION("""COMPUTED_VALUE"""),"S024")</f>
        <v>S024</v>
      </c>
      <c r="D54" s="7" t="str">
        <f>IFERROR(__xludf.DUMMYFUNCTION("""COMPUTED_VALUE"""),"DNS, Domain Routing &amp; SSL/TLS")</f>
        <v>DNS, Domain Routing &amp; SSL/TLS</v>
      </c>
    </row>
    <row r="55">
      <c r="A55" s="6" t="str">
        <f>IFERROR(__xludf.DUMMYFUNCTION("""COMPUTED_VALUE"""),"R02")</f>
        <v>R02</v>
      </c>
      <c r="B55" s="6" t="str">
        <f>IFERROR(__xludf.DUMMYFUNCTION("""COMPUTED_VALUE"""),"Backend Developer")</f>
        <v>Backend Developer</v>
      </c>
      <c r="C55" s="7" t="str">
        <f>IFERROR(__xludf.DUMMYFUNCTION("""COMPUTED_VALUE"""),"S025")</f>
        <v>S025</v>
      </c>
      <c r="D55" s="7" t="str">
        <f>IFERROR(__xludf.DUMMYFUNCTION("""COMPUTED_VALUE"""),"Regular Expressions (Regex)")</f>
        <v>Regular Expressions (Regex)</v>
      </c>
    </row>
    <row r="56">
      <c r="A56" s="6" t="str">
        <f>IFERROR(__xludf.DUMMYFUNCTION("""COMPUTED_VALUE"""),"R02")</f>
        <v>R02</v>
      </c>
      <c r="B56" s="6" t="str">
        <f>IFERROR(__xludf.DUMMYFUNCTION("""COMPUTED_VALUE"""),"Backend Developer")</f>
        <v>Backend Developer</v>
      </c>
      <c r="C56" s="7" t="str">
        <f>IFERROR(__xludf.DUMMYFUNCTION("""COMPUTED_VALUE"""),"S026")</f>
        <v>S026</v>
      </c>
      <c r="D56" s="7" t="str">
        <f>IFERROR(__xludf.DUMMYFUNCTION("""COMPUTED_VALUE"""),"Data Serialization (JSON, XML, YAML, Protobuf)")</f>
        <v>Data Serialization (JSON, XML, YAML, Protobuf)</v>
      </c>
    </row>
    <row r="57">
      <c r="A57" s="6" t="str">
        <f>IFERROR(__xludf.DUMMYFUNCTION("""COMPUTED_VALUE"""),"R02")</f>
        <v>R02</v>
      </c>
      <c r="B57" s="6" t="str">
        <f>IFERROR(__xludf.DUMMYFUNCTION("""COMPUTED_VALUE"""),"Backend Developer")</f>
        <v>Backend Developer</v>
      </c>
      <c r="C57" s="7" t="str">
        <f>IFERROR(__xludf.DUMMYFUNCTION("""COMPUTED_VALUE"""),"S028")</f>
        <v>S028</v>
      </c>
      <c r="D57" s="7" t="str">
        <f>IFERROR(__xludf.DUMMYFUNCTION("""COMPUTED_VALUE"""),"Technical Writing &amp; Markdown Documentation")</f>
        <v>Technical Writing &amp; Markdown Documentation</v>
      </c>
    </row>
    <row r="58">
      <c r="A58" s="6" t="str">
        <f>IFERROR(__xludf.DUMMYFUNCTION("""COMPUTED_VALUE"""),"R02")</f>
        <v>R02</v>
      </c>
      <c r="B58" s="6" t="str">
        <f>IFERROR(__xludf.DUMMYFUNCTION("""COMPUTED_VALUE"""),"Backend Developer")</f>
        <v>Backend Developer</v>
      </c>
      <c r="C58" s="7" t="str">
        <f>IFERROR(__xludf.DUMMYFUNCTION("""COMPUTED_VALUE"""),"S029")</f>
        <v>S029</v>
      </c>
      <c r="D58" s="7" t="str">
        <f>IFERROR(__xludf.DUMMYFUNCTION("""COMPUTED_VALUE"""),"Debugging, Profiling &amp; Root Cause Analysis")</f>
        <v>Debugging, Profiling &amp; Root Cause Analysis</v>
      </c>
    </row>
    <row r="59">
      <c r="A59" s="6" t="str">
        <f>IFERROR(__xludf.DUMMYFUNCTION("""COMPUTED_VALUE"""),"R02")</f>
        <v>R02</v>
      </c>
      <c r="B59" s="6" t="str">
        <f>IFERROR(__xludf.DUMMYFUNCTION("""COMPUTED_VALUE"""),"Backend Developer")</f>
        <v>Backend Developer</v>
      </c>
      <c r="C59" s="7" t="str">
        <f>IFERROR(__xludf.DUMMYFUNCTION("""COMPUTED_VALUE"""),"S066")</f>
        <v>S066</v>
      </c>
      <c r="D59" s="7" t="str">
        <f>IFERROR(__xludf.DUMMYFUNCTION("""COMPUTED_VALUE"""),"Java Programming &amp; JVM Internals")</f>
        <v>Java Programming &amp; JVM Internals</v>
      </c>
    </row>
    <row r="60">
      <c r="A60" s="6" t="str">
        <f>IFERROR(__xludf.DUMMYFUNCTION("""COMPUTED_VALUE"""),"R02")</f>
        <v>R02</v>
      </c>
      <c r="B60" s="6" t="str">
        <f>IFERROR(__xludf.DUMMYFUNCTION("""COMPUTED_VALUE"""),"Backend Developer")</f>
        <v>Backend Developer</v>
      </c>
      <c r="C60" s="7" t="str">
        <f>IFERROR(__xludf.DUMMYFUNCTION("""COMPUTED_VALUE"""),"S067")</f>
        <v>S067</v>
      </c>
      <c r="D60" s="7" t="str">
        <f>IFERROR(__xludf.DUMMYFUNCTION("""COMPUTED_VALUE"""),"Spring Framework &amp; Spring Boot")</f>
        <v>Spring Framework &amp; Spring Boot</v>
      </c>
    </row>
    <row r="61">
      <c r="A61" s="6" t="str">
        <f>IFERROR(__xludf.DUMMYFUNCTION("""COMPUTED_VALUE"""),"R02")</f>
        <v>R02</v>
      </c>
      <c r="B61" s="6" t="str">
        <f>IFERROR(__xludf.DUMMYFUNCTION("""COMPUTED_VALUE"""),"Backend Developer")</f>
        <v>Backend Developer</v>
      </c>
      <c r="C61" s="7" t="str">
        <f>IFERROR(__xludf.DUMMYFUNCTION("""COMPUTED_VALUE"""),"S068")</f>
        <v>S068</v>
      </c>
      <c r="D61" s="7" t="str">
        <f>IFERROR(__xludf.DUMMYFUNCTION("""COMPUTED_VALUE"""),"Python Programming Fundamentals")</f>
        <v>Python Programming Fundamentals</v>
      </c>
    </row>
    <row r="62">
      <c r="A62" s="6" t="str">
        <f>IFERROR(__xludf.DUMMYFUNCTION("""COMPUTED_VALUE"""),"R02")</f>
        <v>R02</v>
      </c>
      <c r="B62" s="6" t="str">
        <f>IFERROR(__xludf.DUMMYFUNCTION("""COMPUTED_VALUE"""),"Backend Developer")</f>
        <v>Backend Developer</v>
      </c>
      <c r="C62" s="7" t="str">
        <f>IFERROR(__xludf.DUMMYFUNCTION("""COMPUTED_VALUE"""),"S070")</f>
        <v>S070</v>
      </c>
      <c r="D62" s="7" t="str">
        <f>IFERROR(__xludf.DUMMYFUNCTION("""COMPUTED_VALUE"""),"FastAPI High-Performance APIs")</f>
        <v>FastAPI High-Performance APIs</v>
      </c>
    </row>
    <row r="63">
      <c r="A63" s="6" t="str">
        <f>IFERROR(__xludf.DUMMYFUNCTION("""COMPUTED_VALUE"""),"R02")</f>
        <v>R02</v>
      </c>
      <c r="B63" s="6" t="str">
        <f>IFERROR(__xludf.DUMMYFUNCTION("""COMPUTED_VALUE"""),"Backend Developer")</f>
        <v>Backend Developer</v>
      </c>
      <c r="C63" s="7" t="str">
        <f>IFERROR(__xludf.DUMMYFUNCTION("""COMPUTED_VALUE"""),"S072")</f>
        <v>S072</v>
      </c>
      <c r="D63" s="7" t="str">
        <f>IFERROR(__xludf.DUMMYFUNCTION("""COMPUTED_VALUE"""),"Node.js Runtime &amp; Event Loop")</f>
        <v>Node.js Runtime &amp; Event Loop</v>
      </c>
    </row>
    <row r="64">
      <c r="A64" s="6" t="str">
        <f>IFERROR(__xludf.DUMMYFUNCTION("""COMPUTED_VALUE"""),"R02")</f>
        <v>R02</v>
      </c>
      <c r="B64" s="6" t="str">
        <f>IFERROR(__xludf.DUMMYFUNCTION("""COMPUTED_VALUE"""),"Backend Developer")</f>
        <v>Backend Developer</v>
      </c>
      <c r="C64" s="7" t="str">
        <f>IFERROR(__xludf.DUMMYFUNCTION("""COMPUTED_VALUE"""),"S073")</f>
        <v>S073</v>
      </c>
      <c r="D64" s="7" t="str">
        <f>IFERROR(__xludf.DUMMYFUNCTION("""COMPUTED_VALUE"""),"Express.js Web Framework")</f>
        <v>Express.js Web Framework</v>
      </c>
    </row>
    <row r="65">
      <c r="A65" s="6" t="str">
        <f>IFERROR(__xludf.DUMMYFUNCTION("""COMPUTED_VALUE"""),"R02")</f>
        <v>R02</v>
      </c>
      <c r="B65" s="6" t="str">
        <f>IFERROR(__xludf.DUMMYFUNCTION("""COMPUTED_VALUE"""),"Backend Developer")</f>
        <v>Backend Developer</v>
      </c>
      <c r="C65" s="7" t="str">
        <f>IFERROR(__xludf.DUMMYFUNCTION("""COMPUTED_VALUE"""),"S086")</f>
        <v>S086</v>
      </c>
      <c r="D65" s="7" t="str">
        <f>IFERROR(__xludf.DUMMYFUNCTION("""COMPUTED_VALUE"""),"RESTful API Design &amp; OpenAPI/Swagger")</f>
        <v>RESTful API Design &amp; OpenAPI/Swagger</v>
      </c>
    </row>
    <row r="66">
      <c r="A66" s="6" t="str">
        <f>IFERROR(__xludf.DUMMYFUNCTION("""COMPUTED_VALUE"""),"R02")</f>
        <v>R02</v>
      </c>
      <c r="B66" s="6" t="str">
        <f>IFERROR(__xludf.DUMMYFUNCTION("""COMPUTED_VALUE"""),"Backend Developer")</f>
        <v>Backend Developer</v>
      </c>
      <c r="C66" s="7" t="str">
        <f>IFERROR(__xludf.DUMMYFUNCTION("""COMPUTED_VALUE"""),"S089")</f>
        <v>S089</v>
      </c>
      <c r="D66" s="7" t="str">
        <f>IFERROR(__xludf.DUMMYFUNCTION("""COMPUTED_VALUE"""),"WebSockets &amp; Real-Time Communication (Socket.io)")</f>
        <v>WebSockets &amp; Real-Time Communication (Socket.io)</v>
      </c>
    </row>
    <row r="67">
      <c r="A67" s="6" t="str">
        <f>IFERROR(__xludf.DUMMYFUNCTION("""COMPUTED_VALUE"""),"R02")</f>
        <v>R02</v>
      </c>
      <c r="B67" s="6" t="str">
        <f>IFERROR(__xludf.DUMMYFUNCTION("""COMPUTED_VALUE"""),"Backend Developer")</f>
        <v>Backend Developer</v>
      </c>
      <c r="C67" s="7" t="str">
        <f>IFERROR(__xludf.DUMMYFUNCTION("""COMPUTED_VALUE"""),"S091")</f>
        <v>S091</v>
      </c>
      <c r="D67" s="7" t="str">
        <f>IFERROR(__xludf.DUMMYFUNCTION("""COMPUTED_VALUE"""),"Authentication &amp; Session Management (JWT, Cookies)")</f>
        <v>Authentication &amp; Session Management (JWT, Cookies)</v>
      </c>
    </row>
    <row r="68">
      <c r="A68" s="6" t="str">
        <f>IFERROR(__xludf.DUMMYFUNCTION("""COMPUTED_VALUE"""),"R02")</f>
        <v>R02</v>
      </c>
      <c r="B68" s="6" t="str">
        <f>IFERROR(__xludf.DUMMYFUNCTION("""COMPUTED_VALUE"""),"Backend Developer")</f>
        <v>Backend Developer</v>
      </c>
      <c r="C68" s="7" t="str">
        <f>IFERROR(__xludf.DUMMYFUNCTION("""COMPUTED_VALUE"""),"S092")</f>
        <v>S092</v>
      </c>
      <c r="D68" s="7" t="str">
        <f>IFERROR(__xludf.DUMMYFUNCTION("""COMPUTED_VALUE"""),"OAuth 2.0, OpenID Connect (OIDC) &amp; SSO")</f>
        <v>OAuth 2.0, OpenID Connect (OIDC) &amp; SSO</v>
      </c>
    </row>
    <row r="69">
      <c r="A69" s="6" t="str">
        <f>IFERROR(__xludf.DUMMYFUNCTION("""COMPUTED_VALUE"""),"R02")</f>
        <v>R02</v>
      </c>
      <c r="B69" s="6" t="str">
        <f>IFERROR(__xludf.DUMMYFUNCTION("""COMPUTED_VALUE"""),"Backend Developer")</f>
        <v>Backend Developer</v>
      </c>
      <c r="C69" s="7" t="str">
        <f>IFERROR(__xludf.DUMMYFUNCTION("""COMPUTED_VALUE"""),"S093")</f>
        <v>S093</v>
      </c>
      <c r="D69" s="7" t="str">
        <f>IFERROR(__xludf.DUMMYFUNCTION("""COMPUTED_VALUE"""),"Role-Based &amp; Attribute-Based Access Control (RBAC/ABAC)")</f>
        <v>Role-Based &amp; Attribute-Based Access Control (RBAC/ABAC)</v>
      </c>
    </row>
    <row r="70">
      <c r="A70" s="6" t="str">
        <f>IFERROR(__xludf.DUMMYFUNCTION("""COMPUTED_VALUE"""),"R02")</f>
        <v>R02</v>
      </c>
      <c r="B70" s="6" t="str">
        <f>IFERROR(__xludf.DUMMYFUNCTION("""COMPUTED_VALUE"""),"Backend Developer")</f>
        <v>Backend Developer</v>
      </c>
      <c r="C70" s="7" t="str">
        <f>IFERROR(__xludf.DUMMYFUNCTION("""COMPUTED_VALUE"""),"S097")</f>
        <v>S097</v>
      </c>
      <c r="D70" s="7" t="str">
        <f>IFERROR(__xludf.DUMMYFUNCTION("""COMPUTED_VALUE"""),"Message Brokers &amp; Queues (RabbitMQ, ActiveMQ)")</f>
        <v>Message Brokers &amp; Queues (RabbitMQ, ActiveMQ)</v>
      </c>
    </row>
    <row r="71">
      <c r="A71" s="6" t="str">
        <f>IFERROR(__xludf.DUMMYFUNCTION("""COMPUTED_VALUE"""),"R02")</f>
        <v>R02</v>
      </c>
      <c r="B71" s="6" t="str">
        <f>IFERROR(__xludf.DUMMYFUNCTION("""COMPUTED_VALUE"""),"Backend Developer")</f>
        <v>Backend Developer</v>
      </c>
      <c r="C71" s="7" t="str">
        <f>IFERROR(__xludf.DUMMYFUNCTION("""COMPUTED_VALUE"""),"S099")</f>
        <v>S099</v>
      </c>
      <c r="D71" s="7" t="str">
        <f>IFERROR(__xludf.DUMMYFUNCTION("""COMPUTED_VALUE"""),"Backend Caching Strategies (In-Memory, CDN, Write-Through)")</f>
        <v>Backend Caching Strategies (In-Memory, CDN, Write-Through)</v>
      </c>
    </row>
    <row r="72">
      <c r="A72" s="6" t="str">
        <f>IFERROR(__xludf.DUMMYFUNCTION("""COMPUTED_VALUE"""),"R02")</f>
        <v>R02</v>
      </c>
      <c r="B72" s="6" t="str">
        <f>IFERROR(__xludf.DUMMYFUNCTION("""COMPUTED_VALUE"""),"Backend Developer")</f>
        <v>Backend Developer</v>
      </c>
      <c r="C72" s="7" t="str">
        <f>IFERROR(__xludf.DUMMYFUNCTION("""COMPUTED_VALUE"""),"S101")</f>
        <v>S101</v>
      </c>
      <c r="D72" s="7" t="str">
        <f>IFERROR(__xludf.DUMMYFUNCTION("""COMPUTED_VALUE"""),"Background Jobs &amp; Task Queues (Celery, BullMQ)")</f>
        <v>Background Jobs &amp; Task Queues (Celery, BullMQ)</v>
      </c>
    </row>
    <row r="73">
      <c r="A73" s="6" t="str">
        <f>IFERROR(__xludf.DUMMYFUNCTION("""COMPUTED_VALUE"""),"R02")</f>
        <v>R02</v>
      </c>
      <c r="B73" s="6" t="str">
        <f>IFERROR(__xludf.DUMMYFUNCTION("""COMPUTED_VALUE"""),"Backend Developer")</f>
        <v>Backend Developer</v>
      </c>
      <c r="C73" s="7" t="str">
        <f>IFERROR(__xludf.DUMMYFUNCTION("""COMPUTED_VALUE"""),"S102")</f>
        <v>S102</v>
      </c>
      <c r="D73" s="7" t="str">
        <f>IFERROR(__xludf.DUMMYFUNCTION("""COMPUTED_VALUE"""),"Backend Unit &amp; Integration Testing (JUnit, PyTest, Mocha)")</f>
        <v>Backend Unit &amp; Integration Testing (JUnit, PyTest, Mocha)</v>
      </c>
    </row>
    <row r="74">
      <c r="A74" s="6" t="str">
        <f>IFERROR(__xludf.DUMMYFUNCTION("""COMPUTED_VALUE"""),"R02")</f>
        <v>R02</v>
      </c>
      <c r="B74" s="6" t="str">
        <f>IFERROR(__xludf.DUMMYFUNCTION("""COMPUTED_VALUE"""),"Backend Developer")</f>
        <v>Backend Developer</v>
      </c>
      <c r="C74" s="7" t="str">
        <f>IFERROR(__xludf.DUMMYFUNCTION("""COMPUTED_VALUE"""),"S103")</f>
        <v>S103</v>
      </c>
      <c r="D74" s="7" t="str">
        <f>IFERROR(__xludf.DUMMYFUNCTION("""COMPUTED_VALUE"""),"API Testing &amp; Contract Testing (Postman, Pact, Insomnia)")</f>
        <v>API Testing &amp; Contract Testing (Postman, Pact, Insomnia)</v>
      </c>
    </row>
    <row r="75">
      <c r="A75" s="6" t="str">
        <f>IFERROR(__xludf.DUMMYFUNCTION("""COMPUTED_VALUE"""),"R02")</f>
        <v>R02</v>
      </c>
      <c r="B75" s="6" t="str">
        <f>IFERROR(__xludf.DUMMYFUNCTION("""COMPUTED_VALUE"""),"Backend Developer")</f>
        <v>Backend Developer</v>
      </c>
      <c r="C75" s="7" t="str">
        <f>IFERROR(__xludf.DUMMYFUNCTION("""COMPUTED_VALUE"""),"S106")</f>
        <v>S106</v>
      </c>
      <c r="D75" s="7" t="str">
        <f>IFERROR(__xludf.DUMMYFUNCTION("""COMPUTED_VALUE"""),"Relational Database Design &amp; Normalization (1NF-3NF)")</f>
        <v>Relational Database Design &amp; Normalization (1NF-3NF)</v>
      </c>
    </row>
    <row r="76">
      <c r="A76" s="6" t="str">
        <f>IFERROR(__xludf.DUMMYFUNCTION("""COMPUTED_VALUE"""),"R02")</f>
        <v>R02</v>
      </c>
      <c r="B76" s="6" t="str">
        <f>IFERROR(__xludf.DUMMYFUNCTION("""COMPUTED_VALUE"""),"Backend Developer")</f>
        <v>Backend Developer</v>
      </c>
      <c r="C76" s="7" t="str">
        <f>IFERROR(__xludf.DUMMYFUNCTION("""COMPUTED_VALUE"""),"S107")</f>
        <v>S107</v>
      </c>
      <c r="D76" s="7" t="str">
        <f>IFERROR(__xludf.DUMMYFUNCTION("""COMPUTED_VALUE"""),"SQL Querying (Joins, Aggregations, Subqueries)")</f>
        <v>SQL Querying (Joins, Aggregations, Subqueries)</v>
      </c>
    </row>
    <row r="77">
      <c r="A77" s="6" t="str">
        <f>IFERROR(__xludf.DUMMYFUNCTION("""COMPUTED_VALUE"""),"R02")</f>
        <v>R02</v>
      </c>
      <c r="B77" s="6" t="str">
        <f>IFERROR(__xludf.DUMMYFUNCTION("""COMPUTED_VALUE"""),"Backend Developer")</f>
        <v>Backend Developer</v>
      </c>
      <c r="C77" s="7" t="str">
        <f>IFERROR(__xludf.DUMMYFUNCTION("""COMPUTED_VALUE"""),"S108")</f>
        <v>S108</v>
      </c>
      <c r="D77" s="7" t="str">
        <f>IFERROR(__xludf.DUMMYFUNCTION("""COMPUTED_VALUE"""),"Advanced SQL (Window Functions, CTEs, Stored Procedures)")</f>
        <v>Advanced SQL (Window Functions, CTEs, Stored Procedures)</v>
      </c>
    </row>
    <row r="78">
      <c r="A78" s="6" t="str">
        <f>IFERROR(__xludf.DUMMYFUNCTION("""COMPUTED_VALUE"""),"R02")</f>
        <v>R02</v>
      </c>
      <c r="B78" s="6" t="str">
        <f>IFERROR(__xludf.DUMMYFUNCTION("""COMPUTED_VALUE"""),"Backend Developer")</f>
        <v>Backend Developer</v>
      </c>
      <c r="C78" s="7" t="str">
        <f>IFERROR(__xludf.DUMMYFUNCTION("""COMPUTED_VALUE"""),"S109")</f>
        <v>S109</v>
      </c>
      <c r="D78" s="7" t="str">
        <f>IFERROR(__xludf.DUMMYFUNCTION("""COMPUTED_VALUE"""),"PostgreSQL Administration &amp; Development")</f>
        <v>PostgreSQL Administration &amp; Development</v>
      </c>
    </row>
    <row r="79">
      <c r="A79" s="6" t="str">
        <f>IFERROR(__xludf.DUMMYFUNCTION("""COMPUTED_VALUE"""),"R02")</f>
        <v>R02</v>
      </c>
      <c r="B79" s="6" t="str">
        <f>IFERROR(__xludf.DUMMYFUNCTION("""COMPUTED_VALUE"""),"Backend Developer")</f>
        <v>Backend Developer</v>
      </c>
      <c r="C79" s="7" t="str">
        <f>IFERROR(__xludf.DUMMYFUNCTION("""COMPUTED_VALUE"""),"S110")</f>
        <v>S110</v>
      </c>
      <c r="D79" s="7" t="str">
        <f>IFERROR(__xludf.DUMMYFUNCTION("""COMPUTED_VALUE"""),"MySQL &amp; MariaDB Management")</f>
        <v>MySQL &amp; MariaDB Management</v>
      </c>
    </row>
    <row r="80">
      <c r="A80" s="6" t="str">
        <f>IFERROR(__xludf.DUMMYFUNCTION("""COMPUTED_VALUE"""),"R02")</f>
        <v>R02</v>
      </c>
      <c r="B80" s="6" t="str">
        <f>IFERROR(__xludf.DUMMYFUNCTION("""COMPUTED_VALUE"""),"Backend Developer")</f>
        <v>Backend Developer</v>
      </c>
      <c r="C80" s="7" t="str">
        <f>IFERROR(__xludf.DUMMYFUNCTION("""COMPUTED_VALUE"""),"S114")</f>
        <v>S114</v>
      </c>
      <c r="D80" s="7" t="str">
        <f>IFERROR(__xludf.DUMMYFUNCTION("""COMPUTED_VALUE"""),"Database Indexing, Query Plans &amp; Optimization")</f>
        <v>Database Indexing, Query Plans &amp; Optimization</v>
      </c>
    </row>
    <row r="81">
      <c r="A81" s="6" t="str">
        <f>IFERROR(__xludf.DUMMYFUNCTION("""COMPUTED_VALUE"""),"R02")</f>
        <v>R02</v>
      </c>
      <c r="B81" s="6" t="str">
        <f>IFERROR(__xludf.DUMMYFUNCTION("""COMPUTED_VALUE"""),"Backend Developer")</f>
        <v>Backend Developer</v>
      </c>
      <c r="C81" s="7" t="str">
        <f>IFERROR(__xludf.DUMMYFUNCTION("""COMPUTED_VALUE"""),"S115")</f>
        <v>S115</v>
      </c>
      <c r="D81" s="7" t="str">
        <f>IFERROR(__xludf.DUMMYFUNCTION("""COMPUTED_VALUE"""),"ACID Transactions, Locking &amp; Isolation Levels")</f>
        <v>ACID Transactions, Locking &amp; Isolation Levels</v>
      </c>
    </row>
    <row r="82">
      <c r="A82" s="6" t="str">
        <f>IFERROR(__xludf.DUMMYFUNCTION("""COMPUTED_VALUE"""),"R02")</f>
        <v>R02</v>
      </c>
      <c r="B82" s="6" t="str">
        <f>IFERROR(__xludf.DUMMYFUNCTION("""COMPUTED_VALUE"""),"Backend Developer")</f>
        <v>Backend Developer</v>
      </c>
      <c r="C82" s="7" t="str">
        <f>IFERROR(__xludf.DUMMYFUNCTION("""COMPUTED_VALUE"""),"S118")</f>
        <v>S118</v>
      </c>
      <c r="D82" s="7" t="str">
        <f>IFERROR(__xludf.DUMMYFUNCTION("""COMPUTED_VALUE"""),"Object-Relational Mapping (ORM: Hibernate, JPA, Prisma, SQLAlchemy)")</f>
        <v>Object-Relational Mapping (ORM: Hibernate, JPA, Prisma, SQLAlchemy)</v>
      </c>
    </row>
    <row r="83">
      <c r="A83" s="6" t="str">
        <f>IFERROR(__xludf.DUMMYFUNCTION("""COMPUTED_VALUE"""),"R02")</f>
        <v>R02</v>
      </c>
      <c r="B83" s="6" t="str">
        <f>IFERROR(__xludf.DUMMYFUNCTION("""COMPUTED_VALUE"""),"Backend Developer")</f>
        <v>Backend Developer</v>
      </c>
      <c r="C83" s="7" t="str">
        <f>IFERROR(__xludf.DUMMYFUNCTION("""COMPUTED_VALUE"""),"S119")</f>
        <v>S119</v>
      </c>
      <c r="D83" s="7" t="str">
        <f>IFERROR(__xludf.DUMMYFUNCTION("""COMPUTED_VALUE"""),"Document Databases (MongoDB)")</f>
        <v>Document Databases (MongoDB)</v>
      </c>
    </row>
    <row r="84">
      <c r="A84" s="6" t="str">
        <f>IFERROR(__xludf.DUMMYFUNCTION("""COMPUTED_VALUE"""),"R02")</f>
        <v>R02</v>
      </c>
      <c r="B84" s="6" t="str">
        <f>IFERROR(__xludf.DUMMYFUNCTION("""COMPUTED_VALUE"""),"Backend Developer")</f>
        <v>Backend Developer</v>
      </c>
      <c r="C84" s="7" t="str">
        <f>IFERROR(__xludf.DUMMYFUNCTION("""COMPUTED_VALUE"""),"S120")</f>
        <v>S120</v>
      </c>
      <c r="D84" s="7" t="str">
        <f>IFERROR(__xludf.DUMMYFUNCTION("""COMPUTED_VALUE"""),"Key-Value Stores &amp; In-Memory DBs (Redis, Memcached)")</f>
        <v>Key-Value Stores &amp; In-Memory DBs (Redis, Memcached)</v>
      </c>
    </row>
    <row r="85">
      <c r="A85" s="6" t="str">
        <f>IFERROR(__xludf.DUMMYFUNCTION("""COMPUTED_VALUE"""),"R02")</f>
        <v>R02</v>
      </c>
      <c r="B85" s="6" t="str">
        <f>IFERROR(__xludf.DUMMYFUNCTION("""COMPUTED_VALUE"""),"Backend Developer")</f>
        <v>Backend Developer</v>
      </c>
      <c r="C85" s="7" t="str">
        <f>IFERROR(__xludf.DUMMYFUNCTION("""COMPUTED_VALUE"""),"S171")</f>
        <v>S171</v>
      </c>
      <c r="D85" s="7" t="str">
        <f>IFERROR(__xludf.DUMMYFUNCTION("""COMPUTED_VALUE"""),"Containerization with Docker")</f>
        <v>Containerization with Docker</v>
      </c>
    </row>
    <row r="86">
      <c r="A86" s="6" t="str">
        <f>IFERROR(__xludf.DUMMYFUNCTION("""COMPUTED_VALUE"""),"R02")</f>
        <v>R02</v>
      </c>
      <c r="B86" s="6" t="str">
        <f>IFERROR(__xludf.DUMMYFUNCTION("""COMPUTED_VALUE"""),"Backend Developer")</f>
        <v>Backend Developer</v>
      </c>
      <c r="C86" s="7" t="str">
        <f>IFERROR(__xludf.DUMMYFUNCTION("""COMPUTED_VALUE"""),"S180")</f>
        <v>S180</v>
      </c>
      <c r="D86" s="7" t="str">
        <f>IFERROR(__xludf.DUMMYFUNCTION("""COMPUTED_VALUE"""),"CI/CD Pipelines with GitHub Actions")</f>
        <v>CI/CD Pipelines with GitHub Actions</v>
      </c>
    </row>
    <row r="87">
      <c r="A87" s="6" t="str">
        <f>IFERROR(__xludf.DUMMYFUNCTION("""COMPUTED_VALUE"""),"R02")</f>
        <v>R02</v>
      </c>
      <c r="B87" s="6" t="str">
        <f>IFERROR(__xludf.DUMMYFUNCTION("""COMPUTED_VALUE"""),"Backend Developer")</f>
        <v>Backend Developer</v>
      </c>
      <c r="C87" s="7" t="str">
        <f>IFERROR(__xludf.DUMMYFUNCTION("""COMPUTED_VALUE"""),"S200")</f>
        <v>S200</v>
      </c>
      <c r="D87" s="7" t="str">
        <f>IFERROR(__xludf.DUMMYFUNCTION("""COMPUTED_VALUE"""),"Web Application Security &amp; OWASP Top 10")</f>
        <v>Web Application Security &amp; OWASP Top 10</v>
      </c>
    </row>
    <row r="88">
      <c r="A88" s="6" t="str">
        <f>IFERROR(__xludf.DUMMYFUNCTION("""COMPUTED_VALUE"""),"R02")</f>
        <v>R02</v>
      </c>
      <c r="B88" s="6" t="str">
        <f>IFERROR(__xludf.DUMMYFUNCTION("""COMPUTED_VALUE"""),"Backend Developer")</f>
        <v>Backend Developer</v>
      </c>
      <c r="C88" s="7" t="str">
        <f>IFERROR(__xludf.DUMMYFUNCTION("""COMPUTED_VALUE"""),"S219")</f>
        <v>S219</v>
      </c>
      <c r="D88" s="7" t="str">
        <f>IFERROR(__xludf.DUMMYFUNCTION("""COMPUTED_VALUE"""),"Secure Coding Practices &amp; Threat Mitigation")</f>
        <v>Secure Coding Practices &amp; Threat Mitigation</v>
      </c>
    </row>
    <row r="89">
      <c r="A89" s="6" t="str">
        <f>IFERROR(__xludf.DUMMYFUNCTION("""COMPUTED_VALUE"""),"R02")</f>
        <v>R02</v>
      </c>
      <c r="B89" s="6" t="str">
        <f>IFERROR(__xludf.DUMMYFUNCTION("""COMPUTED_VALUE"""),"Backend Developer")</f>
        <v>Backend Developer</v>
      </c>
      <c r="C89" s="7" t="str">
        <f>IFERROR(__xludf.DUMMYFUNCTION("""COMPUTED_VALUE"""),"S246")</f>
        <v>S246</v>
      </c>
      <c r="D89" s="7" t="str">
        <f>IFERROR(__xludf.DUMMYFUNCTION("""COMPUTED_VALUE"""),"Agile Methodologies, Scrum Framework &amp; Kanban")</f>
        <v>Agile Methodologies, Scrum Framework &amp; Kanban</v>
      </c>
    </row>
    <row r="90">
      <c r="A90" s="6" t="str">
        <f>IFERROR(__xludf.DUMMYFUNCTION("""COMPUTED_VALUE"""),"R02")</f>
        <v>R02</v>
      </c>
      <c r="B90" s="6" t="str">
        <f>IFERROR(__xludf.DUMMYFUNCTION("""COMPUTED_VALUE"""),"Backend Developer")</f>
        <v>Backend Developer</v>
      </c>
      <c r="C90" s="7" t="str">
        <f>IFERROR(__xludf.DUMMYFUNCTION("""COMPUTED_VALUE"""),"S247")</f>
        <v>S247</v>
      </c>
      <c r="D90" s="7" t="str">
        <f>IFERROR(__xludf.DUMMYFUNCTION("""COMPUTED_VALUE"""),"Project Tracking &amp; Documentation Tools (Jira, Confluence, Linear)")</f>
        <v>Project Tracking &amp; Documentation Tools (Jira, Confluence, Linear)</v>
      </c>
    </row>
    <row r="91">
      <c r="A91" s="6" t="str">
        <f>IFERROR(__xludf.DUMMYFUNCTION("""COMPUTED_VALUE"""),"R03")</f>
        <v>R03</v>
      </c>
      <c r="B91" s="6" t="str">
        <f>IFERROR(__xludf.DUMMYFUNCTION("""COMPUTED_VALUE"""),"Full Stack Developer")</f>
        <v>Full Stack Developer</v>
      </c>
      <c r="C91" s="7" t="str">
        <f>IFERROR(__xludf.DUMMYFUNCTION("""COMPUTED_VALUE"""),"S006")</f>
        <v>S006</v>
      </c>
      <c r="D91" s="7" t="str">
        <f>IFERROR(__xludf.DUMMYFUNCTION("""COMPUTED_VALUE"""),"Basic Data Structures (Arrays, Lists, Stacks, Queues)")</f>
        <v>Basic Data Structures (Arrays, Lists, Stacks, Queues)</v>
      </c>
    </row>
    <row r="92">
      <c r="A92" s="6" t="str">
        <f>IFERROR(__xludf.DUMMYFUNCTION("""COMPUTED_VALUE"""),"R03")</f>
        <v>R03</v>
      </c>
      <c r="B92" s="6" t="str">
        <f>IFERROR(__xludf.DUMMYFUNCTION("""COMPUTED_VALUE"""),"Full Stack Developer")</f>
        <v>Full Stack Developer</v>
      </c>
      <c r="C92" s="7" t="str">
        <f>IFERROR(__xludf.DUMMYFUNCTION("""COMPUTED_VALUE"""),"S010")</f>
        <v>S010</v>
      </c>
      <c r="D92" s="7" t="str">
        <f>IFERROR(__xludf.DUMMYFUNCTION("""COMPUTED_VALUE"""),"Sorting &amp; Searching Algorithms")</f>
        <v>Sorting &amp; Searching Algorithms</v>
      </c>
    </row>
    <row r="93">
      <c r="A93" s="6" t="str">
        <f>IFERROR(__xludf.DUMMYFUNCTION("""COMPUTED_VALUE"""),"R03")</f>
        <v>R03</v>
      </c>
      <c r="B93" s="6" t="str">
        <f>IFERROR(__xludf.DUMMYFUNCTION("""COMPUTED_VALUE"""),"Full Stack Developer")</f>
        <v>Full Stack Developer</v>
      </c>
      <c r="C93" s="7" t="str">
        <f>IFERROR(__xludf.DUMMYFUNCTION("""COMPUTED_VALUE"""),"S012")</f>
        <v>S012</v>
      </c>
      <c r="D93" s="7" t="str">
        <f>IFERROR(__xludf.DUMMYFUNCTION("""COMPUTED_VALUE"""),"Time &amp; Space Complexity (Big-O Analysis)")</f>
        <v>Time &amp; Space Complexity (Big-O Analysis)</v>
      </c>
    </row>
    <row r="94">
      <c r="A94" s="6" t="str">
        <f>IFERROR(__xludf.DUMMYFUNCTION("""COMPUTED_VALUE"""),"R03")</f>
        <v>R03</v>
      </c>
      <c r="B94" s="6" t="str">
        <f>IFERROR(__xludf.DUMMYFUNCTION("""COMPUTED_VALUE"""),"Full Stack Developer")</f>
        <v>Full Stack Developer</v>
      </c>
      <c r="C94" s="7" t="str">
        <f>IFERROR(__xludf.DUMMYFUNCTION("""COMPUTED_VALUE"""),"S013")</f>
        <v>S013</v>
      </c>
      <c r="D94" s="7" t="str">
        <f>IFERROR(__xludf.DUMMYFUNCTION("""COMPUTED_VALUE"""),"Object-Oriented Programming (OOP)")</f>
        <v>Object-Oriented Programming (OOP)</v>
      </c>
    </row>
    <row r="95">
      <c r="A95" s="6" t="str">
        <f>IFERROR(__xludf.DUMMYFUNCTION("""COMPUTED_VALUE"""),"R03")</f>
        <v>R03</v>
      </c>
      <c r="B95" s="6" t="str">
        <f>IFERROR(__xludf.DUMMYFUNCTION("""COMPUTED_VALUE"""),"Full Stack Developer")</f>
        <v>Full Stack Developer</v>
      </c>
      <c r="C95" s="7" t="str">
        <f>IFERROR(__xludf.DUMMYFUNCTION("""COMPUTED_VALUE"""),"S016")</f>
        <v>S016</v>
      </c>
      <c r="D95" s="7" t="str">
        <f>IFERROR(__xludf.DUMMYFUNCTION("""COMPUTED_VALUE"""),"SOLID Principles &amp; Clean Code")</f>
        <v>SOLID Principles &amp; Clean Code</v>
      </c>
    </row>
    <row r="96">
      <c r="A96" s="6" t="str">
        <f>IFERROR(__xludf.DUMMYFUNCTION("""COMPUTED_VALUE"""),"R03")</f>
        <v>R03</v>
      </c>
      <c r="B96" s="6" t="str">
        <f>IFERROR(__xludf.DUMMYFUNCTION("""COMPUTED_VALUE"""),"Full Stack Developer")</f>
        <v>Full Stack Developer</v>
      </c>
      <c r="C96" s="7" t="str">
        <f>IFERROR(__xludf.DUMMYFUNCTION("""COMPUTED_VALUE"""),"S017")</f>
        <v>S017</v>
      </c>
      <c r="D96" s="7" t="str">
        <f>IFERROR(__xludf.DUMMYFUNCTION("""COMPUTED_VALUE"""),"Git Version Control Fundamentals")</f>
        <v>Git Version Control Fundamentals</v>
      </c>
    </row>
    <row r="97">
      <c r="A97" s="6" t="str">
        <f>IFERROR(__xludf.DUMMYFUNCTION("""COMPUTED_VALUE"""),"R03")</f>
        <v>R03</v>
      </c>
      <c r="B97" s="6" t="str">
        <f>IFERROR(__xludf.DUMMYFUNCTION("""COMPUTED_VALUE"""),"Full Stack Developer")</f>
        <v>Full Stack Developer</v>
      </c>
      <c r="C97" s="7" t="str">
        <f>IFERROR(__xludf.DUMMYFUNCTION("""COMPUTED_VALUE"""),"S018")</f>
        <v>S018</v>
      </c>
      <c r="D97" s="7" t="str">
        <f>IFERROR(__xludf.DUMMYFUNCTION("""COMPUTED_VALUE"""),"GitHub / GitLab Workflows &amp; Pull Requests")</f>
        <v>GitHub / GitLab Workflows &amp; Pull Requests</v>
      </c>
    </row>
    <row r="98">
      <c r="A98" s="6" t="str">
        <f>IFERROR(__xludf.DUMMYFUNCTION("""COMPUTED_VALUE"""),"R03")</f>
        <v>R03</v>
      </c>
      <c r="B98" s="6" t="str">
        <f>IFERROR(__xludf.DUMMYFUNCTION("""COMPUTED_VALUE"""),"Full Stack Developer")</f>
        <v>Full Stack Developer</v>
      </c>
      <c r="C98" s="7" t="str">
        <f>IFERROR(__xludf.DUMMYFUNCTION("""COMPUTED_VALUE"""),"S019")</f>
        <v>S019</v>
      </c>
      <c r="D98" s="7" t="str">
        <f>IFERROR(__xludf.DUMMYFUNCTION("""COMPUTED_VALUE"""),"Linux Command Line &amp; File Permissions")</f>
        <v>Linux Command Line &amp; File Permissions</v>
      </c>
    </row>
    <row r="99">
      <c r="A99" s="6" t="str">
        <f>IFERROR(__xludf.DUMMYFUNCTION("""COMPUTED_VALUE"""),"R03")</f>
        <v>R03</v>
      </c>
      <c r="B99" s="6" t="str">
        <f>IFERROR(__xludf.DUMMYFUNCTION("""COMPUTED_VALUE"""),"Full Stack Developer")</f>
        <v>Full Stack Developer</v>
      </c>
      <c r="C99" s="7" t="str">
        <f>IFERROR(__xludf.DUMMYFUNCTION("""COMPUTED_VALUE"""),"S023")</f>
        <v>S023</v>
      </c>
      <c r="D99" s="7" t="str">
        <f>IFERROR(__xludf.DUMMYFUNCTION("""COMPUTED_VALUE"""),"HTTP/HTTPS Protocols &amp; Status Codes")</f>
        <v>HTTP/HTTPS Protocols &amp; Status Codes</v>
      </c>
    </row>
    <row r="100">
      <c r="A100" s="6" t="str">
        <f>IFERROR(__xludf.DUMMYFUNCTION("""COMPUTED_VALUE"""),"R03")</f>
        <v>R03</v>
      </c>
      <c r="B100" s="6" t="str">
        <f>IFERROR(__xludf.DUMMYFUNCTION("""COMPUTED_VALUE"""),"Full Stack Developer")</f>
        <v>Full Stack Developer</v>
      </c>
      <c r="C100" s="7" t="str">
        <f>IFERROR(__xludf.DUMMYFUNCTION("""COMPUTED_VALUE"""),"S024")</f>
        <v>S024</v>
      </c>
      <c r="D100" s="7" t="str">
        <f>IFERROR(__xludf.DUMMYFUNCTION("""COMPUTED_VALUE"""),"DNS, Domain Routing &amp; SSL/TLS")</f>
        <v>DNS, Domain Routing &amp; SSL/TLS</v>
      </c>
    </row>
    <row r="101">
      <c r="A101" s="6" t="str">
        <f>IFERROR(__xludf.DUMMYFUNCTION("""COMPUTED_VALUE"""),"R03")</f>
        <v>R03</v>
      </c>
      <c r="B101" s="6" t="str">
        <f>IFERROR(__xludf.DUMMYFUNCTION("""COMPUTED_VALUE"""),"Full Stack Developer")</f>
        <v>Full Stack Developer</v>
      </c>
      <c r="C101" s="7" t="str">
        <f>IFERROR(__xludf.DUMMYFUNCTION("""COMPUTED_VALUE"""),"S026")</f>
        <v>S026</v>
      </c>
      <c r="D101" s="7" t="str">
        <f>IFERROR(__xludf.DUMMYFUNCTION("""COMPUTED_VALUE"""),"Data Serialization (JSON, XML, YAML, Protobuf)")</f>
        <v>Data Serialization (JSON, XML, YAML, Protobuf)</v>
      </c>
    </row>
    <row r="102">
      <c r="A102" s="6" t="str">
        <f>IFERROR(__xludf.DUMMYFUNCTION("""COMPUTED_VALUE"""),"R03")</f>
        <v>R03</v>
      </c>
      <c r="B102" s="6" t="str">
        <f>IFERROR(__xludf.DUMMYFUNCTION("""COMPUTED_VALUE"""),"Full Stack Developer")</f>
        <v>Full Stack Developer</v>
      </c>
      <c r="C102" s="7" t="str">
        <f>IFERROR(__xludf.DUMMYFUNCTION("""COMPUTED_VALUE"""),"S028")</f>
        <v>S028</v>
      </c>
      <c r="D102" s="7" t="str">
        <f>IFERROR(__xludf.DUMMYFUNCTION("""COMPUTED_VALUE"""),"Technical Writing &amp; Markdown Documentation")</f>
        <v>Technical Writing &amp; Markdown Documentation</v>
      </c>
    </row>
    <row r="103">
      <c r="A103" s="6" t="str">
        <f>IFERROR(__xludf.DUMMYFUNCTION("""COMPUTED_VALUE"""),"R03")</f>
        <v>R03</v>
      </c>
      <c r="B103" s="6" t="str">
        <f>IFERROR(__xludf.DUMMYFUNCTION("""COMPUTED_VALUE"""),"Full Stack Developer")</f>
        <v>Full Stack Developer</v>
      </c>
      <c r="C103" s="7" t="str">
        <f>IFERROR(__xludf.DUMMYFUNCTION("""COMPUTED_VALUE"""),"S029")</f>
        <v>S029</v>
      </c>
      <c r="D103" s="7" t="str">
        <f>IFERROR(__xludf.DUMMYFUNCTION("""COMPUTED_VALUE"""),"Debugging, Profiling &amp; Root Cause Analysis")</f>
        <v>Debugging, Profiling &amp; Root Cause Analysis</v>
      </c>
    </row>
    <row r="104">
      <c r="A104" s="6" t="str">
        <f>IFERROR(__xludf.DUMMYFUNCTION("""COMPUTED_VALUE"""),"R03")</f>
        <v>R03</v>
      </c>
      <c r="B104" s="6" t="str">
        <f>IFERROR(__xludf.DUMMYFUNCTION("""COMPUTED_VALUE"""),"Full Stack Developer")</f>
        <v>Full Stack Developer</v>
      </c>
      <c r="C104" s="7" t="str">
        <f>IFERROR(__xludf.DUMMYFUNCTION("""COMPUTED_VALUE"""),"S031")</f>
        <v>S031</v>
      </c>
      <c r="D104" s="7" t="str">
        <f>IFERROR(__xludf.DUMMYFUNCTION("""COMPUTED_VALUE"""),"Semantic HTML5")</f>
        <v>Semantic HTML5</v>
      </c>
    </row>
    <row r="105">
      <c r="A105" s="7" t="str">
        <f>IFERROR(__xludf.DUMMYFUNCTION("""COMPUTED_VALUE"""),"R03")</f>
        <v>R03</v>
      </c>
      <c r="B105" s="7" t="str">
        <f>IFERROR(__xludf.DUMMYFUNCTION("""COMPUTED_VALUE"""),"Full Stack Developer")</f>
        <v>Full Stack Developer</v>
      </c>
      <c r="C105" s="7" t="str">
        <f>IFERROR(__xludf.DUMMYFUNCTION("""COMPUTED_VALUE"""),"S032")</f>
        <v>S032</v>
      </c>
      <c r="D105" s="7" t="str">
        <f>IFERROR(__xludf.DUMMYFUNCTION("""COMPUTED_VALUE"""),"CSS3 Fundamentals &amp; Box Model")</f>
        <v>CSS3 Fundamentals &amp; Box Model</v>
      </c>
    </row>
    <row r="106">
      <c r="A106" s="7" t="str">
        <f>IFERROR(__xludf.DUMMYFUNCTION("""COMPUTED_VALUE"""),"R03")</f>
        <v>R03</v>
      </c>
      <c r="B106" s="7" t="str">
        <f>IFERROR(__xludf.DUMMYFUNCTION("""COMPUTED_VALUE"""),"Full Stack Developer")</f>
        <v>Full Stack Developer</v>
      </c>
      <c r="C106" s="7" t="str">
        <f>IFERROR(__xludf.DUMMYFUNCTION("""COMPUTED_VALUE"""),"S033")</f>
        <v>S033</v>
      </c>
      <c r="D106" s="7" t="str">
        <f>IFERROR(__xludf.DUMMYFUNCTION("""COMPUTED_VALUE"""),"Responsive Web Design (Flexbox &amp; CSS Grid)")</f>
        <v>Responsive Web Design (Flexbox &amp; CSS Grid)</v>
      </c>
    </row>
    <row r="107">
      <c r="A107" s="7" t="str">
        <f>IFERROR(__xludf.DUMMYFUNCTION("""COMPUTED_VALUE"""),"R03")</f>
        <v>R03</v>
      </c>
      <c r="B107" s="7" t="str">
        <f>IFERROR(__xludf.DUMMYFUNCTION("""COMPUTED_VALUE"""),"Full Stack Developer")</f>
        <v>Full Stack Developer</v>
      </c>
      <c r="C107" s="7" t="str">
        <f>IFERROR(__xludf.DUMMYFUNCTION("""COMPUTED_VALUE"""),"S034")</f>
        <v>S034</v>
      </c>
      <c r="D107" s="7" t="str">
        <f>IFERROR(__xludf.DUMMYFUNCTION("""COMPUTED_VALUE"""),"JavaScript Fundamentals (ES6+)")</f>
        <v>JavaScript Fundamentals (ES6+)</v>
      </c>
    </row>
    <row r="108">
      <c r="A108" s="7" t="str">
        <f>IFERROR(__xludf.DUMMYFUNCTION("""COMPUTED_VALUE"""),"R03")</f>
        <v>R03</v>
      </c>
      <c r="B108" s="7" t="str">
        <f>IFERROR(__xludf.DUMMYFUNCTION("""COMPUTED_VALUE"""),"Full Stack Developer")</f>
        <v>Full Stack Developer</v>
      </c>
      <c r="C108" s="7" t="str">
        <f>IFERROR(__xludf.DUMMYFUNCTION("""COMPUTED_VALUE"""),"S035")</f>
        <v>S035</v>
      </c>
      <c r="D108" s="7" t="str">
        <f>IFERROR(__xludf.DUMMYFUNCTION("""COMPUTED_VALUE"""),"Asynchronous JavaScript (Promises, Async/Await)")</f>
        <v>Asynchronous JavaScript (Promises, Async/Await)</v>
      </c>
    </row>
    <row r="109">
      <c r="A109" s="7" t="str">
        <f>IFERROR(__xludf.DUMMYFUNCTION("""COMPUTED_VALUE"""),"R03")</f>
        <v>R03</v>
      </c>
      <c r="B109" s="7" t="str">
        <f>IFERROR(__xludf.DUMMYFUNCTION("""COMPUTED_VALUE"""),"Full Stack Developer")</f>
        <v>Full Stack Developer</v>
      </c>
      <c r="C109" s="7" t="str">
        <f>IFERROR(__xludf.DUMMYFUNCTION("""COMPUTED_VALUE"""),"S036")</f>
        <v>S036</v>
      </c>
      <c r="D109" s="7" t="str">
        <f>IFERROR(__xludf.DUMMYFUNCTION("""COMPUTED_VALUE"""),"DOM Manipulation &amp; Browser Events")</f>
        <v>DOM Manipulation &amp; Browser Events</v>
      </c>
    </row>
    <row r="110">
      <c r="A110" s="7" t="str">
        <f>IFERROR(__xludf.DUMMYFUNCTION("""COMPUTED_VALUE"""),"R03")</f>
        <v>R03</v>
      </c>
      <c r="B110" s="7" t="str">
        <f>IFERROR(__xludf.DUMMYFUNCTION("""COMPUTED_VALUE"""),"Full Stack Developer")</f>
        <v>Full Stack Developer</v>
      </c>
      <c r="C110" s="7" t="str">
        <f>IFERROR(__xludf.DUMMYFUNCTION("""COMPUTED_VALUE"""),"S037")</f>
        <v>S037</v>
      </c>
      <c r="D110" s="7" t="str">
        <f>IFERROR(__xludf.DUMMYFUNCTION("""COMPUTED_VALUE"""),"Browser Storage (LocalStorage, SessionStorage, IndexedDB)")</f>
        <v>Browser Storage (LocalStorage, SessionStorage, IndexedDB)</v>
      </c>
    </row>
    <row r="111">
      <c r="A111" s="7" t="str">
        <f>IFERROR(__xludf.DUMMYFUNCTION("""COMPUTED_VALUE"""),"R03")</f>
        <v>R03</v>
      </c>
      <c r="B111" s="7" t="str">
        <f>IFERROR(__xludf.DUMMYFUNCTION("""COMPUTED_VALUE"""),"Full Stack Developer")</f>
        <v>Full Stack Developer</v>
      </c>
      <c r="C111" s="7" t="str">
        <f>IFERROR(__xludf.DUMMYFUNCTION("""COMPUTED_VALUE"""),"S038")</f>
        <v>S038</v>
      </c>
      <c r="D111" s="7" t="str">
        <f>IFERROR(__xludf.DUMMYFUNCTION("""COMPUTED_VALUE"""),"TypeScript &amp; Static Typing")</f>
        <v>TypeScript &amp; Static Typing</v>
      </c>
    </row>
    <row r="112">
      <c r="A112" s="7" t="str">
        <f>IFERROR(__xludf.DUMMYFUNCTION("""COMPUTED_VALUE"""),"R03")</f>
        <v>R03</v>
      </c>
      <c r="B112" s="7" t="str">
        <f>IFERROR(__xludf.DUMMYFUNCTION("""COMPUTED_VALUE"""),"Full Stack Developer")</f>
        <v>Full Stack Developer</v>
      </c>
      <c r="C112" s="7" t="str">
        <f>IFERROR(__xludf.DUMMYFUNCTION("""COMPUTED_VALUE"""),"S039")</f>
        <v>S039</v>
      </c>
      <c r="D112" s="7" t="str">
        <f>IFERROR(__xludf.DUMMYFUNCTION("""COMPUTED_VALUE"""),"React.js &amp; Hooks Architecture")</f>
        <v>React.js &amp; Hooks Architecture</v>
      </c>
    </row>
    <row r="113">
      <c r="A113" s="7" t="str">
        <f>IFERROR(__xludf.DUMMYFUNCTION("""COMPUTED_VALUE"""),"R03")</f>
        <v>R03</v>
      </c>
      <c r="B113" s="7" t="str">
        <f>IFERROR(__xludf.DUMMYFUNCTION("""COMPUTED_VALUE"""),"Full Stack Developer")</f>
        <v>Full Stack Developer</v>
      </c>
      <c r="C113" s="7" t="str">
        <f>IFERROR(__xludf.DUMMYFUNCTION("""COMPUTED_VALUE"""),"S043")</f>
        <v>S043</v>
      </c>
      <c r="D113" s="7" t="str">
        <f>IFERROR(__xludf.DUMMYFUNCTION("""COMPUTED_VALUE"""),"Next.js (SSR, SSG &amp; App Router)")</f>
        <v>Next.js (SSR, SSG &amp; App Router)</v>
      </c>
    </row>
    <row r="114">
      <c r="A114" s="7" t="str">
        <f>IFERROR(__xludf.DUMMYFUNCTION("""COMPUTED_VALUE"""),"R03")</f>
        <v>R03</v>
      </c>
      <c r="B114" s="7" t="str">
        <f>IFERROR(__xludf.DUMMYFUNCTION("""COMPUTED_VALUE"""),"Full Stack Developer")</f>
        <v>Full Stack Developer</v>
      </c>
      <c r="C114" s="7" t="str">
        <f>IFERROR(__xludf.DUMMYFUNCTION("""COMPUTED_VALUE"""),"S045")</f>
        <v>S045</v>
      </c>
      <c r="D114" s="7" t="str">
        <f>IFERROR(__xludf.DUMMYFUNCTION("""COMPUTED_VALUE"""),"Frontend State Management (Redux Toolkit, Zustand, MobX)")</f>
        <v>Frontend State Management (Redux Toolkit, Zustand, MobX)</v>
      </c>
    </row>
    <row r="115">
      <c r="A115" s="7" t="str">
        <f>IFERROR(__xludf.DUMMYFUNCTION("""COMPUTED_VALUE"""),"R03")</f>
        <v>R03</v>
      </c>
      <c r="B115" s="7" t="str">
        <f>IFERROR(__xludf.DUMMYFUNCTION("""COMPUTED_VALUE"""),"Full Stack Developer")</f>
        <v>Full Stack Developer</v>
      </c>
      <c r="C115" s="7" t="str">
        <f>IFERROR(__xludf.DUMMYFUNCTION("""COMPUTED_VALUE"""),"S046")</f>
        <v>S046</v>
      </c>
      <c r="D115" s="7" t="str">
        <f>IFERROR(__xludf.DUMMYFUNCTION("""COMPUTED_VALUE"""),"Data Fetching &amp; Caching (TanStack React Query, SWR)")</f>
        <v>Data Fetching &amp; Caching (TanStack React Query, SWR)</v>
      </c>
    </row>
    <row r="116">
      <c r="A116" s="7" t="str">
        <f>IFERROR(__xludf.DUMMYFUNCTION("""COMPUTED_VALUE"""),"R03")</f>
        <v>R03</v>
      </c>
      <c r="B116" s="7" t="str">
        <f>IFERROR(__xludf.DUMMYFUNCTION("""COMPUTED_VALUE"""),"Full Stack Developer")</f>
        <v>Full Stack Developer</v>
      </c>
      <c r="C116" s="7" t="str">
        <f>IFERROR(__xludf.DUMMYFUNCTION("""COMPUTED_VALUE"""),"S047")</f>
        <v>S047</v>
      </c>
      <c r="D116" s="7" t="str">
        <f>IFERROR(__xludf.DUMMYFUNCTION("""COMPUTED_VALUE"""),"Tailwind CSS Utility Styling")</f>
        <v>Tailwind CSS Utility Styling</v>
      </c>
    </row>
    <row r="117">
      <c r="A117" s="7" t="str">
        <f>IFERROR(__xludf.DUMMYFUNCTION("""COMPUTED_VALUE"""),"R03")</f>
        <v>R03</v>
      </c>
      <c r="B117" s="7" t="str">
        <f>IFERROR(__xludf.DUMMYFUNCTION("""COMPUTED_VALUE"""),"Full Stack Developer")</f>
        <v>Full Stack Developer</v>
      </c>
      <c r="C117" s="7" t="str">
        <f>IFERROR(__xludf.DUMMYFUNCTION("""COMPUTED_VALUE"""),"S050")</f>
        <v>S050</v>
      </c>
      <c r="D117" s="7" t="str">
        <f>IFERROR(__xludf.DUMMYFUNCTION("""COMPUTED_VALUE"""),"Module Bundlers &amp; Build Tools (Vite, Webpack, Rollup)")</f>
        <v>Module Bundlers &amp; Build Tools (Vite, Webpack, Rollup)</v>
      </c>
    </row>
    <row r="118">
      <c r="A118" s="7" t="str">
        <f>IFERROR(__xludf.DUMMYFUNCTION("""COMPUTED_VALUE"""),"R03")</f>
        <v>R03</v>
      </c>
      <c r="B118" s="7" t="str">
        <f>IFERROR(__xludf.DUMMYFUNCTION("""COMPUTED_VALUE"""),"Full Stack Developer")</f>
        <v>Full Stack Developer</v>
      </c>
      <c r="C118" s="7" t="str">
        <f>IFERROR(__xludf.DUMMYFUNCTION("""COMPUTED_VALUE"""),"S051")</f>
        <v>S051</v>
      </c>
      <c r="D118" s="7" t="str">
        <f>IFERROR(__xludf.DUMMYFUNCTION("""COMPUTED_VALUE"""),"Package Managers (npm, yarn, pnpm)")</f>
        <v>Package Managers (npm, yarn, pnpm)</v>
      </c>
    </row>
    <row r="119">
      <c r="A119" s="7" t="str">
        <f>IFERROR(__xludf.DUMMYFUNCTION("""COMPUTED_VALUE"""),"R03")</f>
        <v>R03</v>
      </c>
      <c r="B119" s="7" t="str">
        <f>IFERROR(__xludf.DUMMYFUNCTION("""COMPUTED_VALUE"""),"Full Stack Developer")</f>
        <v>Full Stack Developer</v>
      </c>
      <c r="C119" s="7" t="str">
        <f>IFERROR(__xludf.DUMMYFUNCTION("""COMPUTED_VALUE"""),"S059")</f>
        <v>S059</v>
      </c>
      <c r="D119" s="7" t="str">
        <f>IFERROR(__xludf.DUMMYFUNCTION("""COMPUTED_VALUE"""),"Frontend Unit &amp; Component Testing (Jest, Vitest, RTL)")</f>
        <v>Frontend Unit &amp; Component Testing (Jest, Vitest, RTL)</v>
      </c>
    </row>
    <row r="120">
      <c r="A120" s="7" t="str">
        <f>IFERROR(__xludf.DUMMYFUNCTION("""COMPUTED_VALUE"""),"R03")</f>
        <v>R03</v>
      </c>
      <c r="B120" s="7" t="str">
        <f>IFERROR(__xludf.DUMMYFUNCTION("""COMPUTED_VALUE"""),"Full Stack Developer")</f>
        <v>Full Stack Developer</v>
      </c>
      <c r="C120" s="7" t="str">
        <f>IFERROR(__xludf.DUMMYFUNCTION("""COMPUTED_VALUE"""),"S068")</f>
        <v>S068</v>
      </c>
      <c r="D120" s="7" t="str">
        <f>IFERROR(__xludf.DUMMYFUNCTION("""COMPUTED_VALUE"""),"Python Programming Fundamentals")</f>
        <v>Python Programming Fundamentals</v>
      </c>
    </row>
    <row r="121">
      <c r="A121" s="7" t="str">
        <f>IFERROR(__xludf.DUMMYFUNCTION("""COMPUTED_VALUE"""),"R03")</f>
        <v>R03</v>
      </c>
      <c r="B121" s="7" t="str">
        <f>IFERROR(__xludf.DUMMYFUNCTION("""COMPUTED_VALUE"""),"Full Stack Developer")</f>
        <v>Full Stack Developer</v>
      </c>
      <c r="C121" s="7" t="str">
        <f>IFERROR(__xludf.DUMMYFUNCTION("""COMPUTED_VALUE"""),"S070")</f>
        <v>S070</v>
      </c>
      <c r="D121" s="7" t="str">
        <f>IFERROR(__xludf.DUMMYFUNCTION("""COMPUTED_VALUE"""),"FastAPI High-Performance APIs")</f>
        <v>FastAPI High-Performance APIs</v>
      </c>
    </row>
    <row r="122">
      <c r="A122" s="7" t="str">
        <f>IFERROR(__xludf.DUMMYFUNCTION("""COMPUTED_VALUE"""),"R03")</f>
        <v>R03</v>
      </c>
      <c r="B122" s="7" t="str">
        <f>IFERROR(__xludf.DUMMYFUNCTION("""COMPUTED_VALUE"""),"Full Stack Developer")</f>
        <v>Full Stack Developer</v>
      </c>
      <c r="C122" s="7" t="str">
        <f>IFERROR(__xludf.DUMMYFUNCTION("""COMPUTED_VALUE"""),"S072")</f>
        <v>S072</v>
      </c>
      <c r="D122" s="7" t="str">
        <f>IFERROR(__xludf.DUMMYFUNCTION("""COMPUTED_VALUE"""),"Node.js Runtime &amp; Event Loop")</f>
        <v>Node.js Runtime &amp; Event Loop</v>
      </c>
    </row>
    <row r="123">
      <c r="A123" s="7" t="str">
        <f>IFERROR(__xludf.DUMMYFUNCTION("""COMPUTED_VALUE"""),"R03")</f>
        <v>R03</v>
      </c>
      <c r="B123" s="7" t="str">
        <f>IFERROR(__xludf.DUMMYFUNCTION("""COMPUTED_VALUE"""),"Full Stack Developer")</f>
        <v>Full Stack Developer</v>
      </c>
      <c r="C123" s="7" t="str">
        <f>IFERROR(__xludf.DUMMYFUNCTION("""COMPUTED_VALUE"""),"S073")</f>
        <v>S073</v>
      </c>
      <c r="D123" s="7" t="str">
        <f>IFERROR(__xludf.DUMMYFUNCTION("""COMPUTED_VALUE"""),"Express.js Web Framework")</f>
        <v>Express.js Web Framework</v>
      </c>
    </row>
    <row r="124">
      <c r="A124" s="7" t="str">
        <f>IFERROR(__xludf.DUMMYFUNCTION("""COMPUTED_VALUE"""),"R03")</f>
        <v>R03</v>
      </c>
      <c r="B124" s="7" t="str">
        <f>IFERROR(__xludf.DUMMYFUNCTION("""COMPUTED_VALUE"""),"Full Stack Developer")</f>
        <v>Full Stack Developer</v>
      </c>
      <c r="C124" s="7" t="str">
        <f>IFERROR(__xludf.DUMMYFUNCTION("""COMPUTED_VALUE"""),"S086")</f>
        <v>S086</v>
      </c>
      <c r="D124" s="7" t="str">
        <f>IFERROR(__xludf.DUMMYFUNCTION("""COMPUTED_VALUE"""),"RESTful API Design &amp; OpenAPI/Swagger")</f>
        <v>RESTful API Design &amp; OpenAPI/Swagger</v>
      </c>
    </row>
    <row r="125">
      <c r="A125" s="7" t="str">
        <f>IFERROR(__xludf.DUMMYFUNCTION("""COMPUTED_VALUE"""),"R03")</f>
        <v>R03</v>
      </c>
      <c r="B125" s="7" t="str">
        <f>IFERROR(__xludf.DUMMYFUNCTION("""COMPUTED_VALUE"""),"Full Stack Developer")</f>
        <v>Full Stack Developer</v>
      </c>
      <c r="C125" s="7" t="str">
        <f>IFERROR(__xludf.DUMMYFUNCTION("""COMPUTED_VALUE"""),"S087")</f>
        <v>S087</v>
      </c>
      <c r="D125" s="7" t="str">
        <f>IFERROR(__xludf.DUMMYFUNCTION("""COMPUTED_VALUE"""),"GraphQL Schema &amp; Resolvers (Apollo)")</f>
        <v>GraphQL Schema &amp; Resolvers (Apollo)</v>
      </c>
    </row>
    <row r="126">
      <c r="A126" s="7" t="str">
        <f>IFERROR(__xludf.DUMMYFUNCTION("""COMPUTED_VALUE"""),"R03")</f>
        <v>R03</v>
      </c>
      <c r="B126" s="7" t="str">
        <f>IFERROR(__xludf.DUMMYFUNCTION("""COMPUTED_VALUE"""),"Full Stack Developer")</f>
        <v>Full Stack Developer</v>
      </c>
      <c r="C126" s="7" t="str">
        <f>IFERROR(__xludf.DUMMYFUNCTION("""COMPUTED_VALUE"""),"S089")</f>
        <v>S089</v>
      </c>
      <c r="D126" s="7" t="str">
        <f>IFERROR(__xludf.DUMMYFUNCTION("""COMPUTED_VALUE"""),"WebSockets &amp; Real-Time Communication (Socket.io)")</f>
        <v>WebSockets &amp; Real-Time Communication (Socket.io)</v>
      </c>
    </row>
    <row r="127">
      <c r="A127" s="7" t="str">
        <f>IFERROR(__xludf.DUMMYFUNCTION("""COMPUTED_VALUE"""),"R03")</f>
        <v>R03</v>
      </c>
      <c r="B127" s="7" t="str">
        <f>IFERROR(__xludf.DUMMYFUNCTION("""COMPUTED_VALUE"""),"Full Stack Developer")</f>
        <v>Full Stack Developer</v>
      </c>
      <c r="C127" s="7" t="str">
        <f>IFERROR(__xludf.DUMMYFUNCTION("""COMPUTED_VALUE"""),"S091")</f>
        <v>S091</v>
      </c>
      <c r="D127" s="7" t="str">
        <f>IFERROR(__xludf.DUMMYFUNCTION("""COMPUTED_VALUE"""),"Authentication &amp; Session Management (JWT, Cookies)")</f>
        <v>Authentication &amp; Session Management (JWT, Cookies)</v>
      </c>
    </row>
    <row r="128">
      <c r="A128" s="7" t="str">
        <f>IFERROR(__xludf.DUMMYFUNCTION("""COMPUTED_VALUE"""),"R03")</f>
        <v>R03</v>
      </c>
      <c r="B128" s="7" t="str">
        <f>IFERROR(__xludf.DUMMYFUNCTION("""COMPUTED_VALUE"""),"Full Stack Developer")</f>
        <v>Full Stack Developer</v>
      </c>
      <c r="C128" s="7" t="str">
        <f>IFERROR(__xludf.DUMMYFUNCTION("""COMPUTED_VALUE"""),"S092")</f>
        <v>S092</v>
      </c>
      <c r="D128" s="7" t="str">
        <f>IFERROR(__xludf.DUMMYFUNCTION("""COMPUTED_VALUE"""),"OAuth 2.0, OpenID Connect (OIDC) &amp; SSO")</f>
        <v>OAuth 2.0, OpenID Connect (OIDC) &amp; SSO</v>
      </c>
    </row>
    <row r="129">
      <c r="A129" s="7" t="str">
        <f>IFERROR(__xludf.DUMMYFUNCTION("""COMPUTED_VALUE"""),"R03")</f>
        <v>R03</v>
      </c>
      <c r="B129" s="7" t="str">
        <f>IFERROR(__xludf.DUMMYFUNCTION("""COMPUTED_VALUE"""),"Full Stack Developer")</f>
        <v>Full Stack Developer</v>
      </c>
      <c r="C129" s="7" t="str">
        <f>IFERROR(__xludf.DUMMYFUNCTION("""COMPUTED_VALUE"""),"S093")</f>
        <v>S093</v>
      </c>
      <c r="D129" s="7" t="str">
        <f>IFERROR(__xludf.DUMMYFUNCTION("""COMPUTED_VALUE"""),"Role-Based &amp; Attribute-Based Access Control (RBAC/ABAC)")</f>
        <v>Role-Based &amp; Attribute-Based Access Control (RBAC/ABAC)</v>
      </c>
    </row>
    <row r="130">
      <c r="A130" s="7" t="str">
        <f>IFERROR(__xludf.DUMMYFUNCTION("""COMPUTED_VALUE"""),"R03")</f>
        <v>R03</v>
      </c>
      <c r="B130" s="7" t="str">
        <f>IFERROR(__xludf.DUMMYFUNCTION("""COMPUTED_VALUE"""),"Full Stack Developer")</f>
        <v>Full Stack Developer</v>
      </c>
      <c r="C130" s="7" t="str">
        <f>IFERROR(__xludf.DUMMYFUNCTION("""COMPUTED_VALUE"""),"S099")</f>
        <v>S099</v>
      </c>
      <c r="D130" s="7" t="str">
        <f>IFERROR(__xludf.DUMMYFUNCTION("""COMPUTED_VALUE"""),"Backend Caching Strategies (In-Memory, CDN, Write-Through)")</f>
        <v>Backend Caching Strategies (In-Memory, CDN, Write-Through)</v>
      </c>
    </row>
    <row r="131">
      <c r="A131" s="7" t="str">
        <f>IFERROR(__xludf.DUMMYFUNCTION("""COMPUTED_VALUE"""),"R03")</f>
        <v>R03</v>
      </c>
      <c r="B131" s="7" t="str">
        <f>IFERROR(__xludf.DUMMYFUNCTION("""COMPUTED_VALUE"""),"Full Stack Developer")</f>
        <v>Full Stack Developer</v>
      </c>
      <c r="C131" s="7" t="str">
        <f>IFERROR(__xludf.DUMMYFUNCTION("""COMPUTED_VALUE"""),"S102")</f>
        <v>S102</v>
      </c>
      <c r="D131" s="7" t="str">
        <f>IFERROR(__xludf.DUMMYFUNCTION("""COMPUTED_VALUE"""),"Backend Unit &amp; Integration Testing (JUnit, PyTest, Mocha)")</f>
        <v>Backend Unit &amp; Integration Testing (JUnit, PyTest, Mocha)</v>
      </c>
    </row>
    <row r="132">
      <c r="A132" s="7" t="str">
        <f>IFERROR(__xludf.DUMMYFUNCTION("""COMPUTED_VALUE"""),"R03")</f>
        <v>R03</v>
      </c>
      <c r="B132" s="7" t="str">
        <f>IFERROR(__xludf.DUMMYFUNCTION("""COMPUTED_VALUE"""),"Full Stack Developer")</f>
        <v>Full Stack Developer</v>
      </c>
      <c r="C132" s="7" t="str">
        <f>IFERROR(__xludf.DUMMYFUNCTION("""COMPUTED_VALUE"""),"S103")</f>
        <v>S103</v>
      </c>
      <c r="D132" s="7" t="str">
        <f>IFERROR(__xludf.DUMMYFUNCTION("""COMPUTED_VALUE"""),"API Testing &amp; Contract Testing (Postman, Pact, Insomnia)")</f>
        <v>API Testing &amp; Contract Testing (Postman, Pact, Insomnia)</v>
      </c>
    </row>
    <row r="133">
      <c r="A133" s="7" t="str">
        <f>IFERROR(__xludf.DUMMYFUNCTION("""COMPUTED_VALUE"""),"R03")</f>
        <v>R03</v>
      </c>
      <c r="B133" s="7" t="str">
        <f>IFERROR(__xludf.DUMMYFUNCTION("""COMPUTED_VALUE"""),"Full Stack Developer")</f>
        <v>Full Stack Developer</v>
      </c>
      <c r="C133" s="7" t="str">
        <f>IFERROR(__xludf.DUMMYFUNCTION("""COMPUTED_VALUE"""),"S106")</f>
        <v>S106</v>
      </c>
      <c r="D133" s="7" t="str">
        <f>IFERROR(__xludf.DUMMYFUNCTION("""COMPUTED_VALUE"""),"Relational Database Design &amp; Normalization (1NF-3NF)")</f>
        <v>Relational Database Design &amp; Normalization (1NF-3NF)</v>
      </c>
    </row>
    <row r="134">
      <c r="A134" s="7" t="str">
        <f>IFERROR(__xludf.DUMMYFUNCTION("""COMPUTED_VALUE"""),"R03")</f>
        <v>R03</v>
      </c>
      <c r="B134" s="7" t="str">
        <f>IFERROR(__xludf.DUMMYFUNCTION("""COMPUTED_VALUE"""),"Full Stack Developer")</f>
        <v>Full Stack Developer</v>
      </c>
      <c r="C134" s="7" t="str">
        <f>IFERROR(__xludf.DUMMYFUNCTION("""COMPUTED_VALUE"""),"S107")</f>
        <v>S107</v>
      </c>
      <c r="D134" s="7" t="str">
        <f>IFERROR(__xludf.DUMMYFUNCTION("""COMPUTED_VALUE"""),"SQL Querying (Joins, Aggregations, Subqueries)")</f>
        <v>SQL Querying (Joins, Aggregations, Subqueries)</v>
      </c>
    </row>
    <row r="135">
      <c r="A135" s="7" t="str">
        <f>IFERROR(__xludf.DUMMYFUNCTION("""COMPUTED_VALUE"""),"R03")</f>
        <v>R03</v>
      </c>
      <c r="B135" s="7" t="str">
        <f>IFERROR(__xludf.DUMMYFUNCTION("""COMPUTED_VALUE"""),"Full Stack Developer")</f>
        <v>Full Stack Developer</v>
      </c>
      <c r="C135" s="7" t="str">
        <f>IFERROR(__xludf.DUMMYFUNCTION("""COMPUTED_VALUE"""),"S109")</f>
        <v>S109</v>
      </c>
      <c r="D135" s="7" t="str">
        <f>IFERROR(__xludf.DUMMYFUNCTION("""COMPUTED_VALUE"""),"PostgreSQL Administration &amp; Development")</f>
        <v>PostgreSQL Administration &amp; Development</v>
      </c>
    </row>
    <row r="136">
      <c r="A136" s="7" t="str">
        <f>IFERROR(__xludf.DUMMYFUNCTION("""COMPUTED_VALUE"""),"R03")</f>
        <v>R03</v>
      </c>
      <c r="B136" s="7" t="str">
        <f>IFERROR(__xludf.DUMMYFUNCTION("""COMPUTED_VALUE"""),"Full Stack Developer")</f>
        <v>Full Stack Developer</v>
      </c>
      <c r="C136" s="7" t="str">
        <f>IFERROR(__xludf.DUMMYFUNCTION("""COMPUTED_VALUE"""),"S118")</f>
        <v>S118</v>
      </c>
      <c r="D136" s="7" t="str">
        <f>IFERROR(__xludf.DUMMYFUNCTION("""COMPUTED_VALUE"""),"Object-Relational Mapping (ORM: Hibernate, JPA, Prisma, SQLAlchemy)")</f>
        <v>Object-Relational Mapping (ORM: Hibernate, JPA, Prisma, SQLAlchemy)</v>
      </c>
    </row>
    <row r="137">
      <c r="A137" s="7" t="str">
        <f>IFERROR(__xludf.DUMMYFUNCTION("""COMPUTED_VALUE"""),"R03")</f>
        <v>R03</v>
      </c>
      <c r="B137" s="7" t="str">
        <f>IFERROR(__xludf.DUMMYFUNCTION("""COMPUTED_VALUE"""),"Full Stack Developer")</f>
        <v>Full Stack Developer</v>
      </c>
      <c r="C137" s="7" t="str">
        <f>IFERROR(__xludf.DUMMYFUNCTION("""COMPUTED_VALUE"""),"S119")</f>
        <v>S119</v>
      </c>
      <c r="D137" s="7" t="str">
        <f>IFERROR(__xludf.DUMMYFUNCTION("""COMPUTED_VALUE"""),"Document Databases (MongoDB)")</f>
        <v>Document Databases (MongoDB)</v>
      </c>
    </row>
    <row r="138">
      <c r="A138" s="7" t="str">
        <f>IFERROR(__xludf.DUMMYFUNCTION("""COMPUTED_VALUE"""),"R03")</f>
        <v>R03</v>
      </c>
      <c r="B138" s="7" t="str">
        <f>IFERROR(__xludf.DUMMYFUNCTION("""COMPUTED_VALUE"""),"Full Stack Developer")</f>
        <v>Full Stack Developer</v>
      </c>
      <c r="C138" s="7" t="str">
        <f>IFERROR(__xludf.DUMMYFUNCTION("""COMPUTED_VALUE"""),"S120")</f>
        <v>S120</v>
      </c>
      <c r="D138" s="7" t="str">
        <f>IFERROR(__xludf.DUMMYFUNCTION("""COMPUTED_VALUE"""),"Key-Value Stores &amp; In-Memory DBs (Redis, Memcached)")</f>
        <v>Key-Value Stores &amp; In-Memory DBs (Redis, Memcached)</v>
      </c>
    </row>
    <row r="139">
      <c r="A139" s="7" t="str">
        <f>IFERROR(__xludf.DUMMYFUNCTION("""COMPUTED_VALUE"""),"R03")</f>
        <v>R03</v>
      </c>
      <c r="B139" s="7" t="str">
        <f>IFERROR(__xludf.DUMMYFUNCTION("""COMPUTED_VALUE"""),"Full Stack Developer")</f>
        <v>Full Stack Developer</v>
      </c>
      <c r="C139" s="7" t="str">
        <f>IFERROR(__xludf.DUMMYFUNCTION("""COMPUTED_VALUE"""),"S171")</f>
        <v>S171</v>
      </c>
      <c r="D139" s="7" t="str">
        <f>IFERROR(__xludf.DUMMYFUNCTION("""COMPUTED_VALUE"""),"Containerization with Docker")</f>
        <v>Containerization with Docker</v>
      </c>
    </row>
    <row r="140">
      <c r="A140" s="7" t="str">
        <f>IFERROR(__xludf.DUMMYFUNCTION("""COMPUTED_VALUE"""),"R03")</f>
        <v>R03</v>
      </c>
      <c r="B140" s="7" t="str">
        <f>IFERROR(__xludf.DUMMYFUNCTION("""COMPUTED_VALUE"""),"Full Stack Developer")</f>
        <v>Full Stack Developer</v>
      </c>
      <c r="C140" s="7" t="str">
        <f>IFERROR(__xludf.DUMMYFUNCTION("""COMPUTED_VALUE"""),"S174")</f>
        <v>S174</v>
      </c>
      <c r="D140" s="7" t="str">
        <f>IFERROR(__xludf.DUMMYFUNCTION("""COMPUTED_VALUE"""),"Amazon Web Services Core (EC2, S3, RDS, IAM, VPC)")</f>
        <v>Amazon Web Services Core (EC2, S3, RDS, IAM, VPC)</v>
      </c>
    </row>
    <row r="141">
      <c r="A141" s="7" t="str">
        <f>IFERROR(__xludf.DUMMYFUNCTION("""COMPUTED_VALUE"""),"R03")</f>
        <v>R03</v>
      </c>
      <c r="B141" s="7" t="str">
        <f>IFERROR(__xludf.DUMMYFUNCTION("""COMPUTED_VALUE"""),"Full Stack Developer")</f>
        <v>Full Stack Developer</v>
      </c>
      <c r="C141" s="7" t="str">
        <f>IFERROR(__xludf.DUMMYFUNCTION("""COMPUTED_VALUE"""),"S180")</f>
        <v>S180</v>
      </c>
      <c r="D141" s="7" t="str">
        <f>IFERROR(__xludf.DUMMYFUNCTION("""COMPUTED_VALUE"""),"CI/CD Pipelines with GitHub Actions")</f>
        <v>CI/CD Pipelines with GitHub Actions</v>
      </c>
    </row>
    <row r="142">
      <c r="A142" s="7" t="str">
        <f>IFERROR(__xludf.DUMMYFUNCTION("""COMPUTED_VALUE"""),"R03")</f>
        <v>R03</v>
      </c>
      <c r="B142" s="7" t="str">
        <f>IFERROR(__xludf.DUMMYFUNCTION("""COMPUTED_VALUE"""),"Full Stack Developer")</f>
        <v>Full Stack Developer</v>
      </c>
      <c r="C142" s="7" t="str">
        <f>IFERROR(__xludf.DUMMYFUNCTION("""COMPUTED_VALUE"""),"S200")</f>
        <v>S200</v>
      </c>
      <c r="D142" s="7" t="str">
        <f>IFERROR(__xludf.DUMMYFUNCTION("""COMPUTED_VALUE"""),"Web Application Security &amp; OWASP Top 10")</f>
        <v>Web Application Security &amp; OWASP Top 10</v>
      </c>
    </row>
    <row r="143">
      <c r="A143" s="7" t="str">
        <f>IFERROR(__xludf.DUMMYFUNCTION("""COMPUTED_VALUE"""),"R03")</f>
        <v>R03</v>
      </c>
      <c r="B143" s="7" t="str">
        <f>IFERROR(__xludf.DUMMYFUNCTION("""COMPUTED_VALUE"""),"Full Stack Developer")</f>
        <v>Full Stack Developer</v>
      </c>
      <c r="C143" s="7" t="str">
        <f>IFERROR(__xludf.DUMMYFUNCTION("""COMPUTED_VALUE"""),"S246")</f>
        <v>S246</v>
      </c>
      <c r="D143" s="7" t="str">
        <f>IFERROR(__xludf.DUMMYFUNCTION("""COMPUTED_VALUE"""),"Agile Methodologies, Scrum Framework &amp; Kanban")</f>
        <v>Agile Methodologies, Scrum Framework &amp; Kanban</v>
      </c>
    </row>
    <row r="144">
      <c r="A144" s="7" t="str">
        <f>IFERROR(__xludf.DUMMYFUNCTION("""COMPUTED_VALUE"""),"R03")</f>
        <v>R03</v>
      </c>
      <c r="B144" s="7" t="str">
        <f>IFERROR(__xludf.DUMMYFUNCTION("""COMPUTED_VALUE"""),"Full Stack Developer")</f>
        <v>Full Stack Developer</v>
      </c>
      <c r="C144" s="7" t="str">
        <f>IFERROR(__xludf.DUMMYFUNCTION("""COMPUTED_VALUE"""),"S247")</f>
        <v>S247</v>
      </c>
      <c r="D144" s="7" t="str">
        <f>IFERROR(__xludf.DUMMYFUNCTION("""COMPUTED_VALUE"""),"Project Tracking &amp; Documentation Tools (Jira, Confluence, Linear)")</f>
        <v>Project Tracking &amp; Documentation Tools (Jira, Confluence, Linear)</v>
      </c>
    </row>
    <row r="145">
      <c r="A145" s="7" t="str">
        <f>IFERROR(__xludf.DUMMYFUNCTION("""COMPUTED_VALUE"""),"R04")</f>
        <v>R04</v>
      </c>
      <c r="B145" s="7" t="str">
        <f>IFERROR(__xludf.DUMMYFUNCTION("""COMPUTED_VALUE"""),"Data Scientist")</f>
        <v>Data Scientist</v>
      </c>
      <c r="C145" s="7" t="str">
        <f>IFERROR(__xludf.DUMMYFUNCTION("""COMPUTED_VALUE"""),"S006")</f>
        <v>S006</v>
      </c>
      <c r="D145" s="7" t="str">
        <f>IFERROR(__xludf.DUMMYFUNCTION("""COMPUTED_VALUE"""),"Basic Data Structures (Arrays, Lists, Stacks, Queues)")</f>
        <v>Basic Data Structures (Arrays, Lists, Stacks, Queues)</v>
      </c>
    </row>
    <row r="146">
      <c r="A146" s="7" t="str">
        <f>IFERROR(__xludf.DUMMYFUNCTION("""COMPUTED_VALUE"""),"R04")</f>
        <v>R04</v>
      </c>
      <c r="B146" s="7" t="str">
        <f>IFERROR(__xludf.DUMMYFUNCTION("""COMPUTED_VALUE"""),"Data Scientist")</f>
        <v>Data Scientist</v>
      </c>
      <c r="C146" s="7" t="str">
        <f>IFERROR(__xludf.DUMMYFUNCTION("""COMPUTED_VALUE"""),"S010")</f>
        <v>S010</v>
      </c>
      <c r="D146" s="7" t="str">
        <f>IFERROR(__xludf.DUMMYFUNCTION("""COMPUTED_VALUE"""),"Sorting &amp; Searching Algorithms")</f>
        <v>Sorting &amp; Searching Algorithms</v>
      </c>
    </row>
    <row r="147">
      <c r="A147" s="7" t="str">
        <f>IFERROR(__xludf.DUMMYFUNCTION("""COMPUTED_VALUE"""),"R04")</f>
        <v>R04</v>
      </c>
      <c r="B147" s="7" t="str">
        <f>IFERROR(__xludf.DUMMYFUNCTION("""COMPUTED_VALUE"""),"Data Scientist")</f>
        <v>Data Scientist</v>
      </c>
      <c r="C147" s="7" t="str">
        <f>IFERROR(__xludf.DUMMYFUNCTION("""COMPUTED_VALUE"""),"S012")</f>
        <v>S012</v>
      </c>
      <c r="D147" s="7" t="str">
        <f>IFERROR(__xludf.DUMMYFUNCTION("""COMPUTED_VALUE"""),"Time &amp; Space Complexity (Big-O Analysis)")</f>
        <v>Time &amp; Space Complexity (Big-O Analysis)</v>
      </c>
    </row>
    <row r="148">
      <c r="A148" s="7" t="str">
        <f>IFERROR(__xludf.DUMMYFUNCTION("""COMPUTED_VALUE"""),"R04")</f>
        <v>R04</v>
      </c>
      <c r="B148" s="7" t="str">
        <f>IFERROR(__xludf.DUMMYFUNCTION("""COMPUTED_VALUE"""),"Data Scientist")</f>
        <v>Data Scientist</v>
      </c>
      <c r="C148" s="7" t="str">
        <f>IFERROR(__xludf.DUMMYFUNCTION("""COMPUTED_VALUE"""),"S017")</f>
        <v>S017</v>
      </c>
      <c r="D148" s="7" t="str">
        <f>IFERROR(__xludf.DUMMYFUNCTION("""COMPUTED_VALUE"""),"Git Version Control Fundamentals")</f>
        <v>Git Version Control Fundamentals</v>
      </c>
    </row>
    <row r="149">
      <c r="A149" s="7" t="str">
        <f>IFERROR(__xludf.DUMMYFUNCTION("""COMPUTED_VALUE"""),"R04")</f>
        <v>R04</v>
      </c>
      <c r="B149" s="7" t="str">
        <f>IFERROR(__xludf.DUMMYFUNCTION("""COMPUTED_VALUE"""),"Data Scientist")</f>
        <v>Data Scientist</v>
      </c>
      <c r="C149" s="7" t="str">
        <f>IFERROR(__xludf.DUMMYFUNCTION("""COMPUTED_VALUE"""),"S018")</f>
        <v>S018</v>
      </c>
      <c r="D149" s="7" t="str">
        <f>IFERROR(__xludf.DUMMYFUNCTION("""COMPUTED_VALUE"""),"GitHub / GitLab Workflows &amp; Pull Requests")</f>
        <v>GitHub / GitLab Workflows &amp; Pull Requests</v>
      </c>
    </row>
    <row r="150">
      <c r="A150" s="7" t="str">
        <f>IFERROR(__xludf.DUMMYFUNCTION("""COMPUTED_VALUE"""),"R04")</f>
        <v>R04</v>
      </c>
      <c r="B150" s="7" t="str">
        <f>IFERROR(__xludf.DUMMYFUNCTION("""COMPUTED_VALUE"""),"Data Scientist")</f>
        <v>Data Scientist</v>
      </c>
      <c r="C150" s="7" t="str">
        <f>IFERROR(__xludf.DUMMYFUNCTION("""COMPUTED_VALUE"""),"S019")</f>
        <v>S019</v>
      </c>
      <c r="D150" s="7" t="str">
        <f>IFERROR(__xludf.DUMMYFUNCTION("""COMPUTED_VALUE"""),"Linux Command Line &amp; File Permissions")</f>
        <v>Linux Command Line &amp; File Permissions</v>
      </c>
    </row>
    <row r="151">
      <c r="A151" s="7" t="str">
        <f>IFERROR(__xludf.DUMMYFUNCTION("""COMPUTED_VALUE"""),"R04")</f>
        <v>R04</v>
      </c>
      <c r="B151" s="7" t="str">
        <f>IFERROR(__xludf.DUMMYFUNCTION("""COMPUTED_VALUE"""),"Data Scientist")</f>
        <v>Data Scientist</v>
      </c>
      <c r="C151" s="7" t="str">
        <f>IFERROR(__xludf.DUMMYFUNCTION("""COMPUTED_VALUE"""),"S025")</f>
        <v>S025</v>
      </c>
      <c r="D151" s="7" t="str">
        <f>IFERROR(__xludf.DUMMYFUNCTION("""COMPUTED_VALUE"""),"Regular Expressions (Regex)")</f>
        <v>Regular Expressions (Regex)</v>
      </c>
    </row>
    <row r="152">
      <c r="A152" s="7" t="str">
        <f>IFERROR(__xludf.DUMMYFUNCTION("""COMPUTED_VALUE"""),"R04")</f>
        <v>R04</v>
      </c>
      <c r="B152" s="7" t="str">
        <f>IFERROR(__xludf.DUMMYFUNCTION("""COMPUTED_VALUE"""),"Data Scientist")</f>
        <v>Data Scientist</v>
      </c>
      <c r="C152" s="7" t="str">
        <f>IFERROR(__xludf.DUMMYFUNCTION("""COMPUTED_VALUE"""),"S026")</f>
        <v>S026</v>
      </c>
      <c r="D152" s="7" t="str">
        <f>IFERROR(__xludf.DUMMYFUNCTION("""COMPUTED_VALUE"""),"Data Serialization (JSON, XML, YAML, Protobuf)")</f>
        <v>Data Serialization (JSON, XML, YAML, Protobuf)</v>
      </c>
    </row>
    <row r="153">
      <c r="A153" s="7" t="str">
        <f>IFERROR(__xludf.DUMMYFUNCTION("""COMPUTED_VALUE"""),"R04")</f>
        <v>R04</v>
      </c>
      <c r="B153" s="7" t="str">
        <f>IFERROR(__xludf.DUMMYFUNCTION("""COMPUTED_VALUE"""),"Data Scientist")</f>
        <v>Data Scientist</v>
      </c>
      <c r="C153" s="7" t="str">
        <f>IFERROR(__xludf.DUMMYFUNCTION("""COMPUTED_VALUE"""),"S028")</f>
        <v>S028</v>
      </c>
      <c r="D153" s="7" t="str">
        <f>IFERROR(__xludf.DUMMYFUNCTION("""COMPUTED_VALUE"""),"Technical Writing &amp; Markdown Documentation")</f>
        <v>Technical Writing &amp; Markdown Documentation</v>
      </c>
    </row>
    <row r="154">
      <c r="A154" s="7" t="str">
        <f>IFERROR(__xludf.DUMMYFUNCTION("""COMPUTED_VALUE"""),"R04")</f>
        <v>R04</v>
      </c>
      <c r="B154" s="7" t="str">
        <f>IFERROR(__xludf.DUMMYFUNCTION("""COMPUTED_VALUE"""),"Data Scientist")</f>
        <v>Data Scientist</v>
      </c>
      <c r="C154" s="7" t="str">
        <f>IFERROR(__xludf.DUMMYFUNCTION("""COMPUTED_VALUE"""),"S068")</f>
        <v>S068</v>
      </c>
      <c r="D154" s="7" t="str">
        <f>IFERROR(__xludf.DUMMYFUNCTION("""COMPUTED_VALUE"""),"Python Programming Fundamentals")</f>
        <v>Python Programming Fundamentals</v>
      </c>
    </row>
    <row r="155">
      <c r="A155" s="7" t="str">
        <f>IFERROR(__xludf.DUMMYFUNCTION("""COMPUTED_VALUE"""),"R04")</f>
        <v>R04</v>
      </c>
      <c r="B155" s="7" t="str">
        <f>IFERROR(__xludf.DUMMYFUNCTION("""COMPUTED_VALUE"""),"Data Scientist")</f>
        <v>Data Scientist</v>
      </c>
      <c r="C155" s="7" t="str">
        <f>IFERROR(__xludf.DUMMYFUNCTION("""COMPUTED_VALUE"""),"S106")</f>
        <v>S106</v>
      </c>
      <c r="D155" s="7" t="str">
        <f>IFERROR(__xludf.DUMMYFUNCTION("""COMPUTED_VALUE"""),"Relational Database Design &amp; Normalization (1NF-3NF)")</f>
        <v>Relational Database Design &amp; Normalization (1NF-3NF)</v>
      </c>
    </row>
    <row r="156">
      <c r="A156" s="7" t="str">
        <f>IFERROR(__xludf.DUMMYFUNCTION("""COMPUTED_VALUE"""),"R04")</f>
        <v>R04</v>
      </c>
      <c r="B156" s="7" t="str">
        <f>IFERROR(__xludf.DUMMYFUNCTION("""COMPUTED_VALUE"""),"Data Scientist")</f>
        <v>Data Scientist</v>
      </c>
      <c r="C156" s="7" t="str">
        <f>IFERROR(__xludf.DUMMYFUNCTION("""COMPUTED_VALUE"""),"S107")</f>
        <v>S107</v>
      </c>
      <c r="D156" s="7" t="str">
        <f>IFERROR(__xludf.DUMMYFUNCTION("""COMPUTED_VALUE"""),"SQL Querying (Joins, Aggregations, Subqueries)")</f>
        <v>SQL Querying (Joins, Aggregations, Subqueries)</v>
      </c>
    </row>
    <row r="157">
      <c r="A157" s="7" t="str">
        <f>IFERROR(__xludf.DUMMYFUNCTION("""COMPUTED_VALUE"""),"R04")</f>
        <v>R04</v>
      </c>
      <c r="B157" s="7" t="str">
        <f>IFERROR(__xludf.DUMMYFUNCTION("""COMPUTED_VALUE"""),"Data Scientist")</f>
        <v>Data Scientist</v>
      </c>
      <c r="C157" s="7" t="str">
        <f>IFERROR(__xludf.DUMMYFUNCTION("""COMPUTED_VALUE"""),"S108")</f>
        <v>S108</v>
      </c>
      <c r="D157" s="7" t="str">
        <f>IFERROR(__xludf.DUMMYFUNCTION("""COMPUTED_VALUE"""),"Advanced SQL (Window Functions, CTEs, Stored Procedures)")</f>
        <v>Advanced SQL (Window Functions, CTEs, Stored Procedures)</v>
      </c>
    </row>
    <row r="158">
      <c r="A158" s="7" t="str">
        <f>IFERROR(__xludf.DUMMYFUNCTION("""COMPUTED_VALUE"""),"R04")</f>
        <v>R04</v>
      </c>
      <c r="B158" s="7" t="str">
        <f>IFERROR(__xludf.DUMMYFUNCTION("""COMPUTED_VALUE"""),"Data Scientist")</f>
        <v>Data Scientist</v>
      </c>
      <c r="C158" s="7" t="str">
        <f>IFERROR(__xludf.DUMMYFUNCTION("""COMPUTED_VALUE"""),"S109")</f>
        <v>S109</v>
      </c>
      <c r="D158" s="7" t="str">
        <f>IFERROR(__xludf.DUMMYFUNCTION("""COMPUTED_VALUE"""),"PostgreSQL Administration &amp; Development")</f>
        <v>PostgreSQL Administration &amp; Development</v>
      </c>
    </row>
    <row r="159">
      <c r="A159" s="7" t="str">
        <f>IFERROR(__xludf.DUMMYFUNCTION("""COMPUTED_VALUE"""),"R04")</f>
        <v>R04</v>
      </c>
      <c r="B159" s="7" t="str">
        <f>IFERROR(__xludf.DUMMYFUNCTION("""COMPUTED_VALUE"""),"Data Scientist")</f>
        <v>Data Scientist</v>
      </c>
      <c r="C159" s="7" t="str">
        <f>IFERROR(__xludf.DUMMYFUNCTION("""COMPUTED_VALUE"""),"S131")</f>
        <v>S131</v>
      </c>
      <c r="D159" s="7" t="str">
        <f>IFERROR(__xludf.DUMMYFUNCTION("""COMPUTED_VALUE"""),"Cloud Data Warehousing (Snowflake, Google BigQuery, AWS Redshift)")</f>
        <v>Cloud Data Warehousing (Snowflake, Google BigQuery, AWS Redshift)</v>
      </c>
    </row>
    <row r="160">
      <c r="A160" s="7" t="str">
        <f>IFERROR(__xludf.DUMMYFUNCTION("""COMPUTED_VALUE"""),"R04")</f>
        <v>R04</v>
      </c>
      <c r="B160" s="7" t="str">
        <f>IFERROR(__xludf.DUMMYFUNCTION("""COMPUTED_VALUE"""),"Data Scientist")</f>
        <v>Data Scientist</v>
      </c>
      <c r="C160" s="7" t="str">
        <f>IFERROR(__xludf.DUMMYFUNCTION("""COMPUTED_VALUE"""),"S136")</f>
        <v>S136</v>
      </c>
      <c r="D160" s="7" t="str">
        <f>IFERROR(__xludf.DUMMYFUNCTION("""COMPUTED_VALUE"""),"Probability Theory &amp; Descriptive Statistics")</f>
        <v>Probability Theory &amp; Descriptive Statistics</v>
      </c>
    </row>
    <row r="161">
      <c r="A161" s="7" t="str">
        <f>IFERROR(__xludf.DUMMYFUNCTION("""COMPUTED_VALUE"""),"R04")</f>
        <v>R04</v>
      </c>
      <c r="B161" s="7" t="str">
        <f>IFERROR(__xludf.DUMMYFUNCTION("""COMPUTED_VALUE"""),"Data Scientist")</f>
        <v>Data Scientist</v>
      </c>
      <c r="C161" s="7" t="str">
        <f>IFERROR(__xludf.DUMMYFUNCTION("""COMPUTED_VALUE"""),"S137")</f>
        <v>S137</v>
      </c>
      <c r="D161" s="7" t="str">
        <f>IFERROR(__xludf.DUMMYFUNCTION("""COMPUTED_VALUE"""),"Inferential Statistics, Hypothesis Testing &amp; A/B Testing")</f>
        <v>Inferential Statistics, Hypothesis Testing &amp; A/B Testing</v>
      </c>
    </row>
    <row r="162">
      <c r="A162" s="7" t="str">
        <f>IFERROR(__xludf.DUMMYFUNCTION("""COMPUTED_VALUE"""),"R04")</f>
        <v>R04</v>
      </c>
      <c r="B162" s="7" t="str">
        <f>IFERROR(__xludf.DUMMYFUNCTION("""COMPUTED_VALUE"""),"Data Scientist")</f>
        <v>Data Scientist</v>
      </c>
      <c r="C162" s="7" t="str">
        <f>IFERROR(__xludf.DUMMYFUNCTION("""COMPUTED_VALUE"""),"S138")</f>
        <v>S138</v>
      </c>
      <c r="D162" s="7" t="str">
        <f>IFERROR(__xludf.DUMMYFUNCTION("""COMPUTED_VALUE"""),"Linear Algebra, Calculus &amp; Optimization for ML")</f>
        <v>Linear Algebra, Calculus &amp; Optimization for ML</v>
      </c>
    </row>
    <row r="163">
      <c r="A163" s="7" t="str">
        <f>IFERROR(__xludf.DUMMYFUNCTION("""COMPUTED_VALUE"""),"R04")</f>
        <v>R04</v>
      </c>
      <c r="B163" s="7" t="str">
        <f>IFERROR(__xludf.DUMMYFUNCTION("""COMPUTED_VALUE"""),"Data Scientist")</f>
        <v>Data Scientist</v>
      </c>
      <c r="C163" s="7" t="str">
        <f>IFERROR(__xludf.DUMMYFUNCTION("""COMPUTED_VALUE"""),"S139")</f>
        <v>S139</v>
      </c>
      <c r="D163" s="7" t="str">
        <f>IFERROR(__xludf.DUMMYFUNCTION("""COMPUTED_VALUE"""),"Scientific Computing with NumPy &amp; SciPy")</f>
        <v>Scientific Computing with NumPy &amp; SciPy</v>
      </c>
    </row>
    <row r="164">
      <c r="A164" s="7" t="str">
        <f>IFERROR(__xludf.DUMMYFUNCTION("""COMPUTED_VALUE"""),"R04")</f>
        <v>R04</v>
      </c>
      <c r="B164" s="7" t="str">
        <f>IFERROR(__xludf.DUMMYFUNCTION("""COMPUTED_VALUE"""),"Data Scientist")</f>
        <v>Data Scientist</v>
      </c>
      <c r="C164" s="7" t="str">
        <f>IFERROR(__xludf.DUMMYFUNCTION("""COMPUTED_VALUE"""),"S140")</f>
        <v>S140</v>
      </c>
      <c r="D164" s="7" t="str">
        <f>IFERROR(__xludf.DUMMYFUNCTION("""COMPUTED_VALUE"""),"Data Manipulation &amp; Analysis with Pandas / Polars")</f>
        <v>Data Manipulation &amp; Analysis with Pandas / Polars</v>
      </c>
    </row>
    <row r="165">
      <c r="A165" s="7" t="str">
        <f>IFERROR(__xludf.DUMMYFUNCTION("""COMPUTED_VALUE"""),"R04")</f>
        <v>R04</v>
      </c>
      <c r="B165" s="7" t="str">
        <f>IFERROR(__xludf.DUMMYFUNCTION("""COMPUTED_VALUE"""),"Data Scientist")</f>
        <v>Data Scientist</v>
      </c>
      <c r="C165" s="7" t="str">
        <f>IFERROR(__xludf.DUMMYFUNCTION("""COMPUTED_VALUE"""),"S141")</f>
        <v>S141</v>
      </c>
      <c r="D165" s="7" t="str">
        <f>IFERROR(__xludf.DUMMYFUNCTION("""COMPUTED_VALUE"""),"Exploratory Data Analysis (EDA) &amp; Data Wrangling")</f>
        <v>Exploratory Data Analysis (EDA) &amp; Data Wrangling</v>
      </c>
    </row>
    <row r="166">
      <c r="A166" s="7" t="str">
        <f>IFERROR(__xludf.DUMMYFUNCTION("""COMPUTED_VALUE"""),"R04")</f>
        <v>R04</v>
      </c>
      <c r="B166" s="7" t="str">
        <f>IFERROR(__xludf.DUMMYFUNCTION("""COMPUTED_VALUE"""),"Data Scientist")</f>
        <v>Data Scientist</v>
      </c>
      <c r="C166" s="7" t="str">
        <f>IFERROR(__xludf.DUMMYFUNCTION("""COMPUTED_VALUE"""),"S142")</f>
        <v>S142</v>
      </c>
      <c r="D166" s="7" t="str">
        <f>IFERROR(__xludf.DUMMYFUNCTION("""COMPUTED_VALUE"""),"Statistical Programming in R")</f>
        <v>Statistical Programming in R</v>
      </c>
    </row>
    <row r="167">
      <c r="A167" s="7" t="str">
        <f>IFERROR(__xludf.DUMMYFUNCTION("""COMPUTED_VALUE"""),"R04")</f>
        <v>R04</v>
      </c>
      <c r="B167" s="7" t="str">
        <f>IFERROR(__xludf.DUMMYFUNCTION("""COMPUTED_VALUE"""),"Data Scientist")</f>
        <v>Data Scientist</v>
      </c>
      <c r="C167" s="7" t="str">
        <f>IFERROR(__xludf.DUMMYFUNCTION("""COMPUTED_VALUE"""),"S143")</f>
        <v>S143</v>
      </c>
      <c r="D167" s="7" t="str">
        <f>IFERROR(__xludf.DUMMYFUNCTION("""COMPUTED_VALUE"""),"Python Data Visualization (Matplotlib, Seaborn, Plotly)")</f>
        <v>Python Data Visualization (Matplotlib, Seaborn, Plotly)</v>
      </c>
    </row>
    <row r="168">
      <c r="A168" s="7" t="str">
        <f>IFERROR(__xludf.DUMMYFUNCTION("""COMPUTED_VALUE"""),"R04")</f>
        <v>R04</v>
      </c>
      <c r="B168" s="7" t="str">
        <f>IFERROR(__xludf.DUMMYFUNCTION("""COMPUTED_VALUE"""),"Data Scientist")</f>
        <v>Data Scientist</v>
      </c>
      <c r="C168" s="7" t="str">
        <f>IFERROR(__xludf.DUMMYFUNCTION("""COMPUTED_VALUE"""),"S144")</f>
        <v>S144</v>
      </c>
      <c r="D168" s="7" t="str">
        <f>IFERROR(__xludf.DUMMYFUNCTION("""COMPUTED_VALUE"""),"Business Intelligence &amp; Dashboards (Tableau)")</f>
        <v>Business Intelligence &amp; Dashboards (Tableau)</v>
      </c>
    </row>
    <row r="169">
      <c r="A169" s="7" t="str">
        <f>IFERROR(__xludf.DUMMYFUNCTION("""COMPUTED_VALUE"""),"R04")</f>
        <v>R04</v>
      </c>
      <c r="B169" s="7" t="str">
        <f>IFERROR(__xludf.DUMMYFUNCTION("""COMPUTED_VALUE"""),"Data Scientist")</f>
        <v>Data Scientist</v>
      </c>
      <c r="C169" s="7" t="str">
        <f>IFERROR(__xludf.DUMMYFUNCTION("""COMPUTED_VALUE"""),"S147")</f>
        <v>S147</v>
      </c>
      <c r="D169" s="7" t="str">
        <f>IFERROR(__xludf.DUMMYFUNCTION("""COMPUTED_VALUE"""),"Feature Engineering, Selection &amp; Dimensionality Reduction (PCA)")</f>
        <v>Feature Engineering, Selection &amp; Dimensionality Reduction (PCA)</v>
      </c>
    </row>
    <row r="170">
      <c r="A170" s="7" t="str">
        <f>IFERROR(__xludf.DUMMYFUNCTION("""COMPUTED_VALUE"""),"R04")</f>
        <v>R04</v>
      </c>
      <c r="B170" s="7" t="str">
        <f>IFERROR(__xludf.DUMMYFUNCTION("""COMPUTED_VALUE"""),"Data Scientist")</f>
        <v>Data Scientist</v>
      </c>
      <c r="C170" s="7" t="str">
        <f>IFERROR(__xludf.DUMMYFUNCTION("""COMPUTED_VALUE"""),"S148")</f>
        <v>S148</v>
      </c>
      <c r="D170" s="7" t="str">
        <f>IFERROR(__xludf.DUMMYFUNCTION("""COMPUTED_VALUE"""),"Supervised Machine Learning (Regression, Classification, SVM)")</f>
        <v>Supervised Machine Learning (Regression, Classification, SVM)</v>
      </c>
    </row>
    <row r="171">
      <c r="A171" s="7" t="str">
        <f>IFERROR(__xludf.DUMMYFUNCTION("""COMPUTED_VALUE"""),"R04")</f>
        <v>R04</v>
      </c>
      <c r="B171" s="7" t="str">
        <f>IFERROR(__xludf.DUMMYFUNCTION("""COMPUTED_VALUE"""),"Data Scientist")</f>
        <v>Data Scientist</v>
      </c>
      <c r="C171" s="7" t="str">
        <f>IFERROR(__xludf.DUMMYFUNCTION("""COMPUTED_VALUE"""),"S149")</f>
        <v>S149</v>
      </c>
      <c r="D171" s="7" t="str">
        <f>IFERROR(__xludf.DUMMYFUNCTION("""COMPUTED_VALUE"""),"Ensemble Methods (Random Forests, XGBoost, LightGBM)")</f>
        <v>Ensemble Methods (Random Forests, XGBoost, LightGBM)</v>
      </c>
    </row>
    <row r="172">
      <c r="A172" s="7" t="str">
        <f>IFERROR(__xludf.DUMMYFUNCTION("""COMPUTED_VALUE"""),"R04")</f>
        <v>R04</v>
      </c>
      <c r="B172" s="7" t="str">
        <f>IFERROR(__xludf.DUMMYFUNCTION("""COMPUTED_VALUE"""),"Data Scientist")</f>
        <v>Data Scientist</v>
      </c>
      <c r="C172" s="7" t="str">
        <f>IFERROR(__xludf.DUMMYFUNCTION("""COMPUTED_VALUE"""),"S150")</f>
        <v>S150</v>
      </c>
      <c r="D172" s="7" t="str">
        <f>IFERROR(__xludf.DUMMYFUNCTION("""COMPUTED_VALUE"""),"Unsupervised Learning (K-Means, Hierarchical Clustering, Anomaly Detection)")</f>
        <v>Unsupervised Learning (K-Means, Hierarchical Clustering, Anomaly Detection)</v>
      </c>
    </row>
    <row r="173">
      <c r="A173" s="7" t="str">
        <f>IFERROR(__xludf.DUMMYFUNCTION("""COMPUTED_VALUE"""),"R04")</f>
        <v>R04</v>
      </c>
      <c r="B173" s="7" t="str">
        <f>IFERROR(__xludf.DUMMYFUNCTION("""COMPUTED_VALUE"""),"Data Scientist")</f>
        <v>Data Scientist</v>
      </c>
      <c r="C173" s="7" t="str">
        <f>IFERROR(__xludf.DUMMYFUNCTION("""COMPUTED_VALUE"""),"S151")</f>
        <v>S151</v>
      </c>
      <c r="D173" s="7" t="str">
        <f>IFERROR(__xludf.DUMMYFUNCTION("""COMPUTED_VALUE"""),"Model Evaluation Metrics, Cross-Validation &amp; Hyperparameter Tuning")</f>
        <v>Model Evaluation Metrics, Cross-Validation &amp; Hyperparameter Tuning</v>
      </c>
    </row>
    <row r="174">
      <c r="A174" s="7" t="str">
        <f>IFERROR(__xludf.DUMMYFUNCTION("""COMPUTED_VALUE"""),"R04")</f>
        <v>R04</v>
      </c>
      <c r="B174" s="7" t="str">
        <f>IFERROR(__xludf.DUMMYFUNCTION("""COMPUTED_VALUE"""),"Data Scientist")</f>
        <v>Data Scientist</v>
      </c>
      <c r="C174" s="7" t="str">
        <f>IFERROR(__xludf.DUMMYFUNCTION("""COMPUTED_VALUE"""),"S152")</f>
        <v>S152</v>
      </c>
      <c r="D174" s="7" t="str">
        <f>IFERROR(__xludf.DUMMYFUNCTION("""COMPUTED_VALUE"""),"Time-Series Forecasting (ARIMA, Prophet, LSTM)")</f>
        <v>Time-Series Forecasting (ARIMA, Prophet, LSTM)</v>
      </c>
    </row>
    <row r="175">
      <c r="A175" s="7" t="str">
        <f>IFERROR(__xludf.DUMMYFUNCTION("""COMPUTED_VALUE"""),"R04")</f>
        <v>R04</v>
      </c>
      <c r="B175" s="7" t="str">
        <f>IFERROR(__xludf.DUMMYFUNCTION("""COMPUTED_VALUE"""),"Data Scientist")</f>
        <v>Data Scientist</v>
      </c>
      <c r="C175" s="7" t="str">
        <f>IFERROR(__xludf.DUMMYFUNCTION("""COMPUTED_VALUE"""),"S153")</f>
        <v>S153</v>
      </c>
      <c r="D175" s="7" t="str">
        <f>IFERROR(__xludf.DUMMYFUNCTION("""COMPUTED_VALUE"""),"Recommendation Systems (Collaborative &amp; Content-Based Filtering)")</f>
        <v>Recommendation Systems (Collaborative &amp; Content-Based Filtering)</v>
      </c>
    </row>
    <row r="176">
      <c r="A176" s="7" t="str">
        <f>IFERROR(__xludf.DUMMYFUNCTION("""COMPUTED_VALUE"""),"R04")</f>
        <v>R04</v>
      </c>
      <c r="B176" s="7" t="str">
        <f>IFERROR(__xludf.DUMMYFUNCTION("""COMPUTED_VALUE"""),"Data Scientist")</f>
        <v>Data Scientist</v>
      </c>
      <c r="C176" s="7" t="str">
        <f>IFERROR(__xludf.DUMMYFUNCTION("""COMPUTED_VALUE"""),"S154")</f>
        <v>S154</v>
      </c>
      <c r="D176" s="7" t="str">
        <f>IFERROR(__xludf.DUMMYFUNCTION("""COMPUTED_VALUE"""),"Neural Networks &amp; Deep Learning Fundamentals")</f>
        <v>Neural Networks &amp; Deep Learning Fundamentals</v>
      </c>
    </row>
    <row r="177">
      <c r="A177" s="7" t="str">
        <f>IFERROR(__xludf.DUMMYFUNCTION("""COMPUTED_VALUE"""),"R04")</f>
        <v>R04</v>
      </c>
      <c r="B177" s="7" t="str">
        <f>IFERROR(__xludf.DUMMYFUNCTION("""COMPUTED_VALUE"""),"Data Scientist")</f>
        <v>Data Scientist</v>
      </c>
      <c r="C177" s="7" t="str">
        <f>IFERROR(__xludf.DUMMYFUNCTION("""COMPUTED_VALUE"""),"S155")</f>
        <v>S155</v>
      </c>
      <c r="D177" s="7" t="str">
        <f>IFERROR(__xludf.DUMMYFUNCTION("""COMPUTED_VALUE"""),"Deep Learning with PyTorch")</f>
        <v>Deep Learning with PyTorch</v>
      </c>
    </row>
    <row r="178">
      <c r="A178" s="7" t="str">
        <f>IFERROR(__xludf.DUMMYFUNCTION("""COMPUTED_VALUE"""),"R04")</f>
        <v>R04</v>
      </c>
      <c r="B178" s="7" t="str">
        <f>IFERROR(__xludf.DUMMYFUNCTION("""COMPUTED_VALUE"""),"Data Scientist")</f>
        <v>Data Scientist</v>
      </c>
      <c r="C178" s="7" t="str">
        <f>IFERROR(__xludf.DUMMYFUNCTION("""COMPUTED_VALUE"""),"S157")</f>
        <v>S157</v>
      </c>
      <c r="D178" s="7" t="str">
        <f>IFERROR(__xludf.DUMMYFUNCTION("""COMPUTED_VALUE"""),"Natural Language Processing (Tokenization, Embeddings, SpaCy, NLTK)")</f>
        <v>Natural Language Processing (Tokenization, Embeddings, SpaCy, NLTK)</v>
      </c>
    </row>
    <row r="179">
      <c r="A179" s="7" t="str">
        <f>IFERROR(__xludf.DUMMYFUNCTION("""COMPUTED_VALUE"""),"R04")</f>
        <v>R04</v>
      </c>
      <c r="B179" s="7" t="str">
        <f>IFERROR(__xludf.DUMMYFUNCTION("""COMPUTED_VALUE"""),"Data Scientist")</f>
        <v>Data Scientist</v>
      </c>
      <c r="C179" s="7" t="str">
        <f>IFERROR(__xludf.DUMMYFUNCTION("""COMPUTED_VALUE"""),"S167")</f>
        <v>S167</v>
      </c>
      <c r="D179" s="7" t="str">
        <f>IFERROR(__xludf.DUMMYFUNCTION("""COMPUTED_VALUE"""),"AI Ethics, Bias Mitigation &amp; Explainable AI (SHAP, LIME)")</f>
        <v>AI Ethics, Bias Mitigation &amp; Explainable AI (SHAP, LIME)</v>
      </c>
    </row>
    <row r="180">
      <c r="A180" s="7" t="str">
        <f>IFERROR(__xludf.DUMMYFUNCTION("""COMPUTED_VALUE"""),"R04")</f>
        <v>R04</v>
      </c>
      <c r="B180" s="7" t="str">
        <f>IFERROR(__xludf.DUMMYFUNCTION("""COMPUTED_VALUE"""),"Data Scientist")</f>
        <v>Data Scientist</v>
      </c>
      <c r="C180" s="7" t="str">
        <f>IFERROR(__xludf.DUMMYFUNCTION("""COMPUTED_VALUE"""),"S246")</f>
        <v>S246</v>
      </c>
      <c r="D180" s="7" t="str">
        <f>IFERROR(__xludf.DUMMYFUNCTION("""COMPUTED_VALUE"""),"Agile Methodologies, Scrum Framework &amp; Kanban")</f>
        <v>Agile Methodologies, Scrum Framework &amp; Kanban</v>
      </c>
    </row>
    <row r="181">
      <c r="A181" s="7" t="str">
        <f>IFERROR(__xludf.DUMMYFUNCTION("""COMPUTED_VALUE"""),"R04")</f>
        <v>R04</v>
      </c>
      <c r="B181" s="7" t="str">
        <f>IFERROR(__xludf.DUMMYFUNCTION("""COMPUTED_VALUE"""),"Data Scientist")</f>
        <v>Data Scientist</v>
      </c>
      <c r="C181" s="7" t="str">
        <f>IFERROR(__xludf.DUMMYFUNCTION("""COMPUTED_VALUE"""),"S247")</f>
        <v>S247</v>
      </c>
      <c r="D181" s="7" t="str">
        <f>IFERROR(__xludf.DUMMYFUNCTION("""COMPUTED_VALUE"""),"Project Tracking &amp; Documentation Tools (Jira, Confluence, Linear)")</f>
        <v>Project Tracking &amp; Documentation Tools (Jira, Confluence, Linear)</v>
      </c>
    </row>
    <row r="182">
      <c r="A182" s="7" t="str">
        <f>IFERROR(__xludf.DUMMYFUNCTION("""COMPUTED_VALUE"""),"R05")</f>
        <v>R05</v>
      </c>
      <c r="B182" s="7" t="str">
        <f>IFERROR(__xludf.DUMMYFUNCTION("""COMPUTED_VALUE"""),"Data Engineer")</f>
        <v>Data Engineer</v>
      </c>
      <c r="C182" s="7" t="str">
        <f>IFERROR(__xludf.DUMMYFUNCTION("""COMPUTED_VALUE"""),"S002")</f>
        <v>S002</v>
      </c>
      <c r="D182" s="7" t="str">
        <f>IFERROR(__xludf.DUMMYFUNCTION("""COMPUTED_VALUE"""),"Operating Systems Concepts")</f>
        <v>Operating Systems Concepts</v>
      </c>
    </row>
    <row r="183">
      <c r="A183" s="7" t="str">
        <f>IFERROR(__xludf.DUMMYFUNCTION("""COMPUTED_VALUE"""),"R05")</f>
        <v>R05</v>
      </c>
      <c r="B183" s="7" t="str">
        <f>IFERROR(__xludf.DUMMYFUNCTION("""COMPUTED_VALUE"""),"Data Engineer")</f>
        <v>Data Engineer</v>
      </c>
      <c r="C183" s="7" t="str">
        <f>IFERROR(__xludf.DUMMYFUNCTION("""COMPUTED_VALUE"""),"S005")</f>
        <v>S005</v>
      </c>
      <c r="D183" s="7" t="str">
        <f>IFERROR(__xludf.DUMMYFUNCTION("""COMPUTED_VALUE"""),"File Systems &amp; Storage I/O")</f>
        <v>File Systems &amp; Storage I/O</v>
      </c>
    </row>
    <row r="184">
      <c r="A184" s="7" t="str">
        <f>IFERROR(__xludf.DUMMYFUNCTION("""COMPUTED_VALUE"""),"R05")</f>
        <v>R05</v>
      </c>
      <c r="B184" s="7" t="str">
        <f>IFERROR(__xludf.DUMMYFUNCTION("""COMPUTED_VALUE"""),"Data Engineer")</f>
        <v>Data Engineer</v>
      </c>
      <c r="C184" s="7" t="str">
        <f>IFERROR(__xludf.DUMMYFUNCTION("""COMPUTED_VALUE"""),"S006")</f>
        <v>S006</v>
      </c>
      <c r="D184" s="7" t="str">
        <f>IFERROR(__xludf.DUMMYFUNCTION("""COMPUTED_VALUE"""),"Basic Data Structures (Arrays, Lists, Stacks, Queues)")</f>
        <v>Basic Data Structures (Arrays, Lists, Stacks, Queues)</v>
      </c>
    </row>
    <row r="185">
      <c r="A185" s="7" t="str">
        <f>IFERROR(__xludf.DUMMYFUNCTION("""COMPUTED_VALUE"""),"R05")</f>
        <v>R05</v>
      </c>
      <c r="B185" s="7" t="str">
        <f>IFERROR(__xludf.DUMMYFUNCTION("""COMPUTED_VALUE"""),"Data Engineer")</f>
        <v>Data Engineer</v>
      </c>
      <c r="C185" s="7" t="str">
        <f>IFERROR(__xludf.DUMMYFUNCTION("""COMPUTED_VALUE"""),"S008")</f>
        <v>S008</v>
      </c>
      <c r="D185" s="7" t="str">
        <f>IFERROR(__xludf.DUMMYFUNCTION("""COMPUTED_VALUE"""),"Heaps, Priority Queues &amp; Hashing")</f>
        <v>Heaps, Priority Queues &amp; Hashing</v>
      </c>
    </row>
    <row r="186">
      <c r="A186" s="7" t="str">
        <f>IFERROR(__xludf.DUMMYFUNCTION("""COMPUTED_VALUE"""),"R05")</f>
        <v>R05</v>
      </c>
      <c r="B186" s="7" t="str">
        <f>IFERROR(__xludf.DUMMYFUNCTION("""COMPUTED_VALUE"""),"Data Engineer")</f>
        <v>Data Engineer</v>
      </c>
      <c r="C186" s="7" t="str">
        <f>IFERROR(__xludf.DUMMYFUNCTION("""COMPUTED_VALUE"""),"S010")</f>
        <v>S010</v>
      </c>
      <c r="D186" s="7" t="str">
        <f>IFERROR(__xludf.DUMMYFUNCTION("""COMPUTED_VALUE"""),"Sorting &amp; Searching Algorithms")</f>
        <v>Sorting &amp; Searching Algorithms</v>
      </c>
    </row>
    <row r="187">
      <c r="A187" s="7" t="str">
        <f>IFERROR(__xludf.DUMMYFUNCTION("""COMPUTED_VALUE"""),"R05")</f>
        <v>R05</v>
      </c>
      <c r="B187" s="7" t="str">
        <f>IFERROR(__xludf.DUMMYFUNCTION("""COMPUTED_VALUE"""),"Data Engineer")</f>
        <v>Data Engineer</v>
      </c>
      <c r="C187" s="7" t="str">
        <f>IFERROR(__xludf.DUMMYFUNCTION("""COMPUTED_VALUE"""),"S012")</f>
        <v>S012</v>
      </c>
      <c r="D187" s="7" t="str">
        <f>IFERROR(__xludf.DUMMYFUNCTION("""COMPUTED_VALUE"""),"Time &amp; Space Complexity (Big-O Analysis)")</f>
        <v>Time &amp; Space Complexity (Big-O Analysis)</v>
      </c>
    </row>
    <row r="188">
      <c r="A188" s="7" t="str">
        <f>IFERROR(__xludf.DUMMYFUNCTION("""COMPUTED_VALUE"""),"R05")</f>
        <v>R05</v>
      </c>
      <c r="B188" s="7" t="str">
        <f>IFERROR(__xludf.DUMMYFUNCTION("""COMPUTED_VALUE"""),"Data Engineer")</f>
        <v>Data Engineer</v>
      </c>
      <c r="C188" s="7" t="str">
        <f>IFERROR(__xludf.DUMMYFUNCTION("""COMPUTED_VALUE"""),"S013")</f>
        <v>S013</v>
      </c>
      <c r="D188" s="7" t="str">
        <f>IFERROR(__xludf.DUMMYFUNCTION("""COMPUTED_VALUE"""),"Object-Oriented Programming (OOP)")</f>
        <v>Object-Oriented Programming (OOP)</v>
      </c>
    </row>
    <row r="189">
      <c r="A189" s="7" t="str">
        <f>IFERROR(__xludf.DUMMYFUNCTION("""COMPUTED_VALUE"""),"R05")</f>
        <v>R05</v>
      </c>
      <c r="B189" s="7" t="str">
        <f>IFERROR(__xludf.DUMMYFUNCTION("""COMPUTED_VALUE"""),"Data Engineer")</f>
        <v>Data Engineer</v>
      </c>
      <c r="C189" s="7" t="str">
        <f>IFERROR(__xludf.DUMMYFUNCTION("""COMPUTED_VALUE"""),"S017")</f>
        <v>S017</v>
      </c>
      <c r="D189" s="7" t="str">
        <f>IFERROR(__xludf.DUMMYFUNCTION("""COMPUTED_VALUE"""),"Git Version Control Fundamentals")</f>
        <v>Git Version Control Fundamentals</v>
      </c>
    </row>
    <row r="190">
      <c r="A190" s="7" t="str">
        <f>IFERROR(__xludf.DUMMYFUNCTION("""COMPUTED_VALUE"""),"R05")</f>
        <v>R05</v>
      </c>
      <c r="B190" s="7" t="str">
        <f>IFERROR(__xludf.DUMMYFUNCTION("""COMPUTED_VALUE"""),"Data Engineer")</f>
        <v>Data Engineer</v>
      </c>
      <c r="C190" s="7" t="str">
        <f>IFERROR(__xludf.DUMMYFUNCTION("""COMPUTED_VALUE"""),"S018")</f>
        <v>S018</v>
      </c>
      <c r="D190" s="7" t="str">
        <f>IFERROR(__xludf.DUMMYFUNCTION("""COMPUTED_VALUE"""),"GitHub / GitLab Workflows &amp; Pull Requests")</f>
        <v>GitHub / GitLab Workflows &amp; Pull Requests</v>
      </c>
    </row>
    <row r="191">
      <c r="A191" s="7" t="str">
        <f>IFERROR(__xludf.DUMMYFUNCTION("""COMPUTED_VALUE"""),"R05")</f>
        <v>R05</v>
      </c>
      <c r="B191" s="7" t="str">
        <f>IFERROR(__xludf.DUMMYFUNCTION("""COMPUTED_VALUE"""),"Data Engineer")</f>
        <v>Data Engineer</v>
      </c>
      <c r="C191" s="7" t="str">
        <f>IFERROR(__xludf.DUMMYFUNCTION("""COMPUTED_VALUE"""),"S019")</f>
        <v>S019</v>
      </c>
      <c r="D191" s="7" t="str">
        <f>IFERROR(__xludf.DUMMYFUNCTION("""COMPUTED_VALUE"""),"Linux Command Line &amp; File Permissions")</f>
        <v>Linux Command Line &amp; File Permissions</v>
      </c>
    </row>
    <row r="192">
      <c r="A192" s="7" t="str">
        <f>IFERROR(__xludf.DUMMYFUNCTION("""COMPUTED_VALUE"""),"R05")</f>
        <v>R05</v>
      </c>
      <c r="B192" s="7" t="str">
        <f>IFERROR(__xludf.DUMMYFUNCTION("""COMPUTED_VALUE"""),"Data Engineer")</f>
        <v>Data Engineer</v>
      </c>
      <c r="C192" s="7" t="str">
        <f>IFERROR(__xludf.DUMMYFUNCTION("""COMPUTED_VALUE"""),"S020")</f>
        <v>S020</v>
      </c>
      <c r="D192" s="7" t="str">
        <f>IFERROR(__xludf.DUMMYFUNCTION("""COMPUTED_VALUE"""),"Bash &amp; Shell Scripting")</f>
        <v>Bash &amp; Shell Scripting</v>
      </c>
    </row>
    <row r="193">
      <c r="A193" s="7" t="str">
        <f>IFERROR(__xludf.DUMMYFUNCTION("""COMPUTED_VALUE"""),"R05")</f>
        <v>R05</v>
      </c>
      <c r="B193" s="7" t="str">
        <f>IFERROR(__xludf.DUMMYFUNCTION("""COMPUTED_VALUE"""),"Data Engineer")</f>
        <v>Data Engineer</v>
      </c>
      <c r="C193" s="7" t="str">
        <f>IFERROR(__xludf.DUMMYFUNCTION("""COMPUTED_VALUE"""),"S026")</f>
        <v>S026</v>
      </c>
      <c r="D193" s="7" t="str">
        <f>IFERROR(__xludf.DUMMYFUNCTION("""COMPUTED_VALUE"""),"Data Serialization (JSON, XML, YAML, Protobuf)")</f>
        <v>Data Serialization (JSON, XML, YAML, Protobuf)</v>
      </c>
    </row>
    <row r="194">
      <c r="A194" s="7" t="str">
        <f>IFERROR(__xludf.DUMMYFUNCTION("""COMPUTED_VALUE"""),"R05")</f>
        <v>R05</v>
      </c>
      <c r="B194" s="7" t="str">
        <f>IFERROR(__xludf.DUMMYFUNCTION("""COMPUTED_VALUE"""),"Data Engineer")</f>
        <v>Data Engineer</v>
      </c>
      <c r="C194" s="7" t="str">
        <f>IFERROR(__xludf.DUMMYFUNCTION("""COMPUTED_VALUE"""),"S028")</f>
        <v>S028</v>
      </c>
      <c r="D194" s="7" t="str">
        <f>IFERROR(__xludf.DUMMYFUNCTION("""COMPUTED_VALUE"""),"Technical Writing &amp; Markdown Documentation")</f>
        <v>Technical Writing &amp; Markdown Documentation</v>
      </c>
    </row>
    <row r="195">
      <c r="A195" s="7" t="str">
        <f>IFERROR(__xludf.DUMMYFUNCTION("""COMPUTED_VALUE"""),"R05")</f>
        <v>R05</v>
      </c>
      <c r="B195" s="7" t="str">
        <f>IFERROR(__xludf.DUMMYFUNCTION("""COMPUTED_VALUE"""),"Data Engineer")</f>
        <v>Data Engineer</v>
      </c>
      <c r="C195" s="7" t="str">
        <f>IFERROR(__xludf.DUMMYFUNCTION("""COMPUTED_VALUE"""),"S066")</f>
        <v>S066</v>
      </c>
      <c r="D195" s="7" t="str">
        <f>IFERROR(__xludf.DUMMYFUNCTION("""COMPUTED_VALUE"""),"Java Programming &amp; JVM Internals")</f>
        <v>Java Programming &amp; JVM Internals</v>
      </c>
    </row>
    <row r="196">
      <c r="A196" s="7" t="str">
        <f>IFERROR(__xludf.DUMMYFUNCTION("""COMPUTED_VALUE"""),"R05")</f>
        <v>R05</v>
      </c>
      <c r="B196" s="7" t="str">
        <f>IFERROR(__xludf.DUMMYFUNCTION("""COMPUTED_VALUE"""),"Data Engineer")</f>
        <v>Data Engineer</v>
      </c>
      <c r="C196" s="7" t="str">
        <f>IFERROR(__xludf.DUMMYFUNCTION("""COMPUTED_VALUE"""),"S068")</f>
        <v>S068</v>
      </c>
      <c r="D196" s="7" t="str">
        <f>IFERROR(__xludf.DUMMYFUNCTION("""COMPUTED_VALUE"""),"Python Programming Fundamentals")</f>
        <v>Python Programming Fundamentals</v>
      </c>
    </row>
    <row r="197">
      <c r="A197" s="7" t="str">
        <f>IFERROR(__xludf.DUMMYFUNCTION("""COMPUTED_VALUE"""),"R05")</f>
        <v>R05</v>
      </c>
      <c r="B197" s="7" t="str">
        <f>IFERROR(__xludf.DUMMYFUNCTION("""COMPUTED_VALUE"""),"Data Engineer")</f>
        <v>Data Engineer</v>
      </c>
      <c r="C197" s="7" t="str">
        <f>IFERROR(__xludf.DUMMYFUNCTION("""COMPUTED_VALUE"""),"S084")</f>
        <v>S084</v>
      </c>
      <c r="D197" s="7" t="str">
        <f>IFERROR(__xludf.DUMMYFUNCTION("""COMPUTED_VALUE"""),"Scala &amp; Functional JVM Programming")</f>
        <v>Scala &amp; Functional JVM Programming</v>
      </c>
    </row>
    <row r="198">
      <c r="A198" s="7" t="str">
        <f>IFERROR(__xludf.DUMMYFUNCTION("""COMPUTED_VALUE"""),"R05")</f>
        <v>R05</v>
      </c>
      <c r="B198" s="7" t="str">
        <f>IFERROR(__xludf.DUMMYFUNCTION("""COMPUTED_VALUE"""),"Data Engineer")</f>
        <v>Data Engineer</v>
      </c>
      <c r="C198" s="7" t="str">
        <f>IFERROR(__xludf.DUMMYFUNCTION("""COMPUTED_VALUE"""),"S086")</f>
        <v>S086</v>
      </c>
      <c r="D198" s="7" t="str">
        <f>IFERROR(__xludf.DUMMYFUNCTION("""COMPUTED_VALUE"""),"RESTful API Design &amp; OpenAPI/Swagger")</f>
        <v>RESTful API Design &amp; OpenAPI/Swagger</v>
      </c>
    </row>
    <row r="199">
      <c r="A199" s="7" t="str">
        <f>IFERROR(__xludf.DUMMYFUNCTION("""COMPUTED_VALUE"""),"R05")</f>
        <v>R05</v>
      </c>
      <c r="B199" s="7" t="str">
        <f>IFERROR(__xludf.DUMMYFUNCTION("""COMPUTED_VALUE"""),"Data Engineer")</f>
        <v>Data Engineer</v>
      </c>
      <c r="C199" s="7" t="str">
        <f>IFERROR(__xludf.DUMMYFUNCTION("""COMPUTED_VALUE"""),"S098")</f>
        <v>S098</v>
      </c>
      <c r="D199" s="7" t="str">
        <f>IFERROR(__xludf.DUMMYFUNCTION("""COMPUTED_VALUE"""),"Distributed Event Streaming (Apache Kafka)")</f>
        <v>Distributed Event Streaming (Apache Kafka)</v>
      </c>
    </row>
    <row r="200">
      <c r="A200" s="7" t="str">
        <f>IFERROR(__xludf.DUMMYFUNCTION("""COMPUTED_VALUE"""),"R05")</f>
        <v>R05</v>
      </c>
      <c r="B200" s="7" t="str">
        <f>IFERROR(__xludf.DUMMYFUNCTION("""COMPUTED_VALUE"""),"Data Engineer")</f>
        <v>Data Engineer</v>
      </c>
      <c r="C200" s="7" t="str">
        <f>IFERROR(__xludf.DUMMYFUNCTION("""COMPUTED_VALUE"""),"S106")</f>
        <v>S106</v>
      </c>
      <c r="D200" s="7" t="str">
        <f>IFERROR(__xludf.DUMMYFUNCTION("""COMPUTED_VALUE"""),"Relational Database Design &amp; Normalization (1NF-3NF)")</f>
        <v>Relational Database Design &amp; Normalization (1NF-3NF)</v>
      </c>
    </row>
    <row r="201">
      <c r="A201" s="7" t="str">
        <f>IFERROR(__xludf.DUMMYFUNCTION("""COMPUTED_VALUE"""),"R05")</f>
        <v>R05</v>
      </c>
      <c r="B201" s="7" t="str">
        <f>IFERROR(__xludf.DUMMYFUNCTION("""COMPUTED_VALUE"""),"Data Engineer")</f>
        <v>Data Engineer</v>
      </c>
      <c r="C201" s="7" t="str">
        <f>IFERROR(__xludf.DUMMYFUNCTION("""COMPUTED_VALUE"""),"S107")</f>
        <v>S107</v>
      </c>
      <c r="D201" s="7" t="str">
        <f>IFERROR(__xludf.DUMMYFUNCTION("""COMPUTED_VALUE"""),"SQL Querying (Joins, Aggregations, Subqueries)")</f>
        <v>SQL Querying (Joins, Aggregations, Subqueries)</v>
      </c>
    </row>
    <row r="202">
      <c r="A202" s="7" t="str">
        <f>IFERROR(__xludf.DUMMYFUNCTION("""COMPUTED_VALUE"""),"R05")</f>
        <v>R05</v>
      </c>
      <c r="B202" s="7" t="str">
        <f>IFERROR(__xludf.DUMMYFUNCTION("""COMPUTED_VALUE"""),"Data Engineer")</f>
        <v>Data Engineer</v>
      </c>
      <c r="C202" s="7" t="str">
        <f>IFERROR(__xludf.DUMMYFUNCTION("""COMPUTED_VALUE"""),"S108")</f>
        <v>S108</v>
      </c>
      <c r="D202" s="7" t="str">
        <f>IFERROR(__xludf.DUMMYFUNCTION("""COMPUTED_VALUE"""),"Advanced SQL (Window Functions, CTEs, Stored Procedures)")</f>
        <v>Advanced SQL (Window Functions, CTEs, Stored Procedures)</v>
      </c>
    </row>
    <row r="203">
      <c r="A203" s="7" t="str">
        <f>IFERROR(__xludf.DUMMYFUNCTION("""COMPUTED_VALUE"""),"R05")</f>
        <v>R05</v>
      </c>
      <c r="B203" s="7" t="str">
        <f>IFERROR(__xludf.DUMMYFUNCTION("""COMPUTED_VALUE"""),"Data Engineer")</f>
        <v>Data Engineer</v>
      </c>
      <c r="C203" s="7" t="str">
        <f>IFERROR(__xludf.DUMMYFUNCTION("""COMPUTED_VALUE"""),"S109")</f>
        <v>S109</v>
      </c>
      <c r="D203" s="7" t="str">
        <f>IFERROR(__xludf.DUMMYFUNCTION("""COMPUTED_VALUE"""),"PostgreSQL Administration &amp; Development")</f>
        <v>PostgreSQL Administration &amp; Development</v>
      </c>
    </row>
    <row r="204">
      <c r="A204" s="7" t="str">
        <f>IFERROR(__xludf.DUMMYFUNCTION("""COMPUTED_VALUE"""),"R05")</f>
        <v>R05</v>
      </c>
      <c r="B204" s="7" t="str">
        <f>IFERROR(__xludf.DUMMYFUNCTION("""COMPUTED_VALUE"""),"Data Engineer")</f>
        <v>Data Engineer</v>
      </c>
      <c r="C204" s="7" t="str">
        <f>IFERROR(__xludf.DUMMYFUNCTION("""COMPUTED_VALUE"""),"S110")</f>
        <v>S110</v>
      </c>
      <c r="D204" s="7" t="str">
        <f>IFERROR(__xludf.DUMMYFUNCTION("""COMPUTED_VALUE"""),"MySQL &amp; MariaDB Management")</f>
        <v>MySQL &amp; MariaDB Management</v>
      </c>
    </row>
    <row r="205">
      <c r="A205" s="7" t="str">
        <f>IFERROR(__xludf.DUMMYFUNCTION("""COMPUTED_VALUE"""),"R05")</f>
        <v>R05</v>
      </c>
      <c r="B205" s="7" t="str">
        <f>IFERROR(__xludf.DUMMYFUNCTION("""COMPUTED_VALUE"""),"Data Engineer")</f>
        <v>Data Engineer</v>
      </c>
      <c r="C205" s="7" t="str">
        <f>IFERROR(__xludf.DUMMYFUNCTION("""COMPUTED_VALUE"""),"S114")</f>
        <v>S114</v>
      </c>
      <c r="D205" s="7" t="str">
        <f>IFERROR(__xludf.DUMMYFUNCTION("""COMPUTED_VALUE"""),"Database Indexing, Query Plans &amp; Optimization")</f>
        <v>Database Indexing, Query Plans &amp; Optimization</v>
      </c>
    </row>
    <row r="206">
      <c r="A206" s="7" t="str">
        <f>IFERROR(__xludf.DUMMYFUNCTION("""COMPUTED_VALUE"""),"R05")</f>
        <v>R05</v>
      </c>
      <c r="B206" s="7" t="str">
        <f>IFERROR(__xludf.DUMMYFUNCTION("""COMPUTED_VALUE"""),"Data Engineer")</f>
        <v>Data Engineer</v>
      </c>
      <c r="C206" s="7" t="str">
        <f>IFERROR(__xludf.DUMMYFUNCTION("""COMPUTED_VALUE"""),"S116")</f>
        <v>S116</v>
      </c>
      <c r="D206" s="7" t="str">
        <f>IFERROR(__xludf.DUMMYFUNCTION("""COMPUTED_VALUE"""),"Database Replication, Sharding &amp; Partitioning")</f>
        <v>Database Replication, Sharding &amp; Partitioning</v>
      </c>
    </row>
    <row r="207">
      <c r="A207" s="7" t="str">
        <f>IFERROR(__xludf.DUMMYFUNCTION("""COMPUTED_VALUE"""),"R05")</f>
        <v>R05</v>
      </c>
      <c r="B207" s="7" t="str">
        <f>IFERROR(__xludf.DUMMYFUNCTION("""COMPUTED_VALUE"""),"Data Engineer")</f>
        <v>Data Engineer</v>
      </c>
      <c r="C207" s="7" t="str">
        <f>IFERROR(__xludf.DUMMYFUNCTION("""COMPUTED_VALUE"""),"S119")</f>
        <v>S119</v>
      </c>
      <c r="D207" s="7" t="str">
        <f>IFERROR(__xludf.DUMMYFUNCTION("""COMPUTED_VALUE"""),"Document Databases (MongoDB)")</f>
        <v>Document Databases (MongoDB)</v>
      </c>
    </row>
    <row r="208">
      <c r="A208" s="7" t="str">
        <f>IFERROR(__xludf.DUMMYFUNCTION("""COMPUTED_VALUE"""),"R05")</f>
        <v>R05</v>
      </c>
      <c r="B208" s="7" t="str">
        <f>IFERROR(__xludf.DUMMYFUNCTION("""COMPUTED_VALUE"""),"Data Engineer")</f>
        <v>Data Engineer</v>
      </c>
      <c r="C208" s="7" t="str">
        <f>IFERROR(__xludf.DUMMYFUNCTION("""COMPUTED_VALUE"""),"S121")</f>
        <v>S121</v>
      </c>
      <c r="D208" s="7" t="str">
        <f>IFERROR(__xludf.DUMMYFUNCTION("""COMPUTED_VALUE"""),"Wide-Column Stores (Apache Cassandra, ScyllaDB)")</f>
        <v>Wide-Column Stores (Apache Cassandra, ScyllaDB)</v>
      </c>
    </row>
    <row r="209">
      <c r="A209" s="7" t="str">
        <f>IFERROR(__xludf.DUMMYFUNCTION("""COMPUTED_VALUE"""),"R05")</f>
        <v>R05</v>
      </c>
      <c r="B209" s="7" t="str">
        <f>IFERROR(__xludf.DUMMYFUNCTION("""COMPUTED_VALUE"""),"Data Engineer")</f>
        <v>Data Engineer</v>
      </c>
      <c r="C209" s="7" t="str">
        <f>IFERROR(__xludf.DUMMYFUNCTION("""COMPUTED_VALUE"""),"S122")</f>
        <v>S122</v>
      </c>
      <c r="D209" s="7" t="str">
        <f>IFERROR(__xludf.DUMMYFUNCTION("""COMPUTED_VALUE"""),"Cloud NoSQL Databases (AWS DynamoDB, Firestore)")</f>
        <v>Cloud NoSQL Databases (AWS DynamoDB, Firestore)</v>
      </c>
    </row>
    <row r="210">
      <c r="A210" s="7" t="str">
        <f>IFERROR(__xludf.DUMMYFUNCTION("""COMPUTED_VALUE"""),"R05")</f>
        <v>R05</v>
      </c>
      <c r="B210" s="7" t="str">
        <f>IFERROR(__xludf.DUMMYFUNCTION("""COMPUTED_VALUE"""),"Data Engineer")</f>
        <v>Data Engineer</v>
      </c>
      <c r="C210" s="7" t="str">
        <f>IFERROR(__xludf.DUMMYFUNCTION("""COMPUTED_VALUE"""),"S126")</f>
        <v>S126</v>
      </c>
      <c r="D210" s="7" t="str">
        <f>IFERROR(__xludf.DUMMYFUNCTION("""COMPUTED_VALUE"""),"ETL / ELT Data Pipeline Design")</f>
        <v>ETL / ELT Data Pipeline Design</v>
      </c>
    </row>
    <row r="211">
      <c r="A211" s="7" t="str">
        <f>IFERROR(__xludf.DUMMYFUNCTION("""COMPUTED_VALUE"""),"R05")</f>
        <v>R05</v>
      </c>
      <c r="B211" s="7" t="str">
        <f>IFERROR(__xludf.DUMMYFUNCTION("""COMPUTED_VALUE"""),"Data Engineer")</f>
        <v>Data Engineer</v>
      </c>
      <c r="C211" s="7" t="str">
        <f>IFERROR(__xludf.DUMMYFUNCTION("""COMPUTED_VALUE"""),"S127")</f>
        <v>S127</v>
      </c>
      <c r="D211" s="7" t="str">
        <f>IFERROR(__xludf.DUMMYFUNCTION("""COMPUTED_VALUE"""),"Workflow Orchestration (Apache Airflow, Prefect, Dagster)")</f>
        <v>Workflow Orchestration (Apache Airflow, Prefect, Dagster)</v>
      </c>
    </row>
    <row r="212">
      <c r="A212" s="7" t="str">
        <f>IFERROR(__xludf.DUMMYFUNCTION("""COMPUTED_VALUE"""),"R05")</f>
        <v>R05</v>
      </c>
      <c r="B212" s="7" t="str">
        <f>IFERROR(__xludf.DUMMYFUNCTION("""COMPUTED_VALUE"""),"Data Engineer")</f>
        <v>Data Engineer</v>
      </c>
      <c r="C212" s="7" t="str">
        <f>IFERROR(__xludf.DUMMYFUNCTION("""COMPUTED_VALUE"""),"S128")</f>
        <v>S128</v>
      </c>
      <c r="D212" s="7" t="str">
        <f>IFERROR(__xludf.DUMMYFUNCTION("""COMPUTED_VALUE"""),"Distributed Data Processing (Apache Spark, PySpark)")</f>
        <v>Distributed Data Processing (Apache Spark, PySpark)</v>
      </c>
    </row>
    <row r="213">
      <c r="A213" s="7" t="str">
        <f>IFERROR(__xludf.DUMMYFUNCTION("""COMPUTED_VALUE"""),"R05")</f>
        <v>R05</v>
      </c>
      <c r="B213" s="7" t="str">
        <f>IFERROR(__xludf.DUMMYFUNCTION("""COMPUTED_VALUE"""),"Data Engineer")</f>
        <v>Data Engineer</v>
      </c>
      <c r="C213" s="7" t="str">
        <f>IFERROR(__xludf.DUMMYFUNCTION("""COMPUTED_VALUE"""),"S129")</f>
        <v>S129</v>
      </c>
      <c r="D213" s="7" t="str">
        <f>IFERROR(__xludf.DUMMYFUNCTION("""COMPUTED_VALUE"""),"Stream Processing (Apache Flink, Kafka Streams)")</f>
        <v>Stream Processing (Apache Flink, Kafka Streams)</v>
      </c>
    </row>
    <row r="214">
      <c r="A214" s="7" t="str">
        <f>IFERROR(__xludf.DUMMYFUNCTION("""COMPUTED_VALUE"""),"R05")</f>
        <v>R05</v>
      </c>
      <c r="B214" s="7" t="str">
        <f>IFERROR(__xludf.DUMMYFUNCTION("""COMPUTED_VALUE"""),"Data Engineer")</f>
        <v>Data Engineer</v>
      </c>
      <c r="C214" s="7" t="str">
        <f>IFERROR(__xludf.DUMMYFUNCTION("""COMPUTED_VALUE"""),"S130")</f>
        <v>S130</v>
      </c>
      <c r="D214" s="7" t="str">
        <f>IFERROR(__xludf.DUMMYFUNCTION("""COMPUTED_VALUE"""),"Data Transformation &amp; Analytics Engineering (dbt)")</f>
        <v>Data Transformation &amp; Analytics Engineering (dbt)</v>
      </c>
    </row>
    <row r="215">
      <c r="A215" s="7" t="str">
        <f>IFERROR(__xludf.DUMMYFUNCTION("""COMPUTED_VALUE"""),"R05")</f>
        <v>R05</v>
      </c>
      <c r="B215" s="7" t="str">
        <f>IFERROR(__xludf.DUMMYFUNCTION("""COMPUTED_VALUE"""),"Data Engineer")</f>
        <v>Data Engineer</v>
      </c>
      <c r="C215" s="7" t="str">
        <f>IFERROR(__xludf.DUMMYFUNCTION("""COMPUTED_VALUE"""),"S131")</f>
        <v>S131</v>
      </c>
      <c r="D215" s="7" t="str">
        <f>IFERROR(__xludf.DUMMYFUNCTION("""COMPUTED_VALUE"""),"Cloud Data Warehousing (Snowflake, Google BigQuery, AWS Redshift)")</f>
        <v>Cloud Data Warehousing (Snowflake, Google BigQuery, AWS Redshift)</v>
      </c>
    </row>
    <row r="216">
      <c r="A216" s="7" t="str">
        <f>IFERROR(__xludf.DUMMYFUNCTION("""COMPUTED_VALUE"""),"R05")</f>
        <v>R05</v>
      </c>
      <c r="B216" s="7" t="str">
        <f>IFERROR(__xludf.DUMMYFUNCTION("""COMPUTED_VALUE"""),"Data Engineer")</f>
        <v>Data Engineer</v>
      </c>
      <c r="C216" s="7" t="str">
        <f>IFERROR(__xludf.DUMMYFUNCTION("""COMPUTED_VALUE"""),"S132")</f>
        <v>S132</v>
      </c>
      <c r="D216" s="7" t="str">
        <f>IFERROR(__xludf.DUMMYFUNCTION("""COMPUTED_VALUE"""),"Data Lakehouse Architecture (Delta Lake, Apache Iceberg, Databricks)")</f>
        <v>Data Lakehouse Architecture (Delta Lake, Apache Iceberg, Databricks)</v>
      </c>
    </row>
    <row r="217">
      <c r="A217" s="7" t="str">
        <f>IFERROR(__xludf.DUMMYFUNCTION("""COMPUTED_VALUE"""),"R05")</f>
        <v>R05</v>
      </c>
      <c r="B217" s="7" t="str">
        <f>IFERROR(__xludf.DUMMYFUNCTION("""COMPUTED_VALUE"""),"Data Engineer")</f>
        <v>Data Engineer</v>
      </c>
      <c r="C217" s="7" t="str">
        <f>IFERROR(__xludf.DUMMYFUNCTION("""COMPUTED_VALUE"""),"S133")</f>
        <v>S133</v>
      </c>
      <c r="D217" s="7" t="str">
        <f>IFERROR(__xludf.DUMMYFUNCTION("""COMPUTED_VALUE"""),"Big Data Storage &amp; Hadoop Ecosystem (HDFS, Parquet, Avro)")</f>
        <v>Big Data Storage &amp; Hadoop Ecosystem (HDFS, Parquet, Avro)</v>
      </c>
    </row>
    <row r="218">
      <c r="A218" s="7" t="str">
        <f>IFERROR(__xludf.DUMMYFUNCTION("""COMPUTED_VALUE"""),"R05")</f>
        <v>R05</v>
      </c>
      <c r="B218" s="7" t="str">
        <f>IFERROR(__xludf.DUMMYFUNCTION("""COMPUTED_VALUE"""),"Data Engineer")</f>
        <v>Data Engineer</v>
      </c>
      <c r="C218" s="7" t="str">
        <f>IFERROR(__xludf.DUMMYFUNCTION("""COMPUTED_VALUE"""),"S134")</f>
        <v>S134</v>
      </c>
      <c r="D218" s="7" t="str">
        <f>IFERROR(__xludf.DUMMYFUNCTION("""COMPUTED_VALUE"""),"Data Modeling (Star Schema, Snowflake Schema, Data Vault)")</f>
        <v>Data Modeling (Star Schema, Snowflake Schema, Data Vault)</v>
      </c>
    </row>
    <row r="219">
      <c r="A219" s="7" t="str">
        <f>IFERROR(__xludf.DUMMYFUNCTION("""COMPUTED_VALUE"""),"R05")</f>
        <v>R05</v>
      </c>
      <c r="B219" s="7" t="str">
        <f>IFERROR(__xludf.DUMMYFUNCTION("""COMPUTED_VALUE"""),"Data Engineer")</f>
        <v>Data Engineer</v>
      </c>
      <c r="C219" s="7" t="str">
        <f>IFERROR(__xludf.DUMMYFUNCTION("""COMPUTED_VALUE"""),"S135")</f>
        <v>S135</v>
      </c>
      <c r="D219" s="7" t="str">
        <f>IFERROR(__xludf.DUMMYFUNCTION("""COMPUTED_VALUE"""),"Data Quality, Lineage &amp; Governance (Great Expectations, Collibra)")</f>
        <v>Data Quality, Lineage &amp; Governance (Great Expectations, Collibra)</v>
      </c>
    </row>
    <row r="220">
      <c r="A220" s="7" t="str">
        <f>IFERROR(__xludf.DUMMYFUNCTION("""COMPUTED_VALUE"""),"R05")</f>
        <v>R05</v>
      </c>
      <c r="B220" s="7" t="str">
        <f>IFERROR(__xludf.DUMMYFUNCTION("""COMPUTED_VALUE"""),"Data Engineer")</f>
        <v>Data Engineer</v>
      </c>
      <c r="C220" s="7" t="str">
        <f>IFERROR(__xludf.DUMMYFUNCTION("""COMPUTED_VALUE"""),"S140")</f>
        <v>S140</v>
      </c>
      <c r="D220" s="7" t="str">
        <f>IFERROR(__xludf.DUMMYFUNCTION("""COMPUTED_VALUE"""),"Data Manipulation &amp; Analysis with Pandas / Polars")</f>
        <v>Data Manipulation &amp; Analysis with Pandas / Polars</v>
      </c>
    </row>
    <row r="221">
      <c r="A221" s="7" t="str">
        <f>IFERROR(__xludf.DUMMYFUNCTION("""COMPUTED_VALUE"""),"R05")</f>
        <v>R05</v>
      </c>
      <c r="B221" s="7" t="str">
        <f>IFERROR(__xludf.DUMMYFUNCTION("""COMPUTED_VALUE"""),"Data Engineer")</f>
        <v>Data Engineer</v>
      </c>
      <c r="C221" s="7" t="str">
        <f>IFERROR(__xludf.DUMMYFUNCTION("""COMPUTED_VALUE"""),"S171")</f>
        <v>S171</v>
      </c>
      <c r="D221" s="7" t="str">
        <f>IFERROR(__xludf.DUMMYFUNCTION("""COMPUTED_VALUE"""),"Containerization with Docker")</f>
        <v>Containerization with Docker</v>
      </c>
    </row>
    <row r="222">
      <c r="A222" s="7" t="str">
        <f>IFERROR(__xludf.DUMMYFUNCTION("""COMPUTED_VALUE"""),"R05")</f>
        <v>R05</v>
      </c>
      <c r="B222" s="7" t="str">
        <f>IFERROR(__xludf.DUMMYFUNCTION("""COMPUTED_VALUE"""),"Data Engineer")</f>
        <v>Data Engineer</v>
      </c>
      <c r="C222" s="7" t="str">
        <f>IFERROR(__xludf.DUMMYFUNCTION("""COMPUTED_VALUE"""),"S174")</f>
        <v>S174</v>
      </c>
      <c r="D222" s="7" t="str">
        <f>IFERROR(__xludf.DUMMYFUNCTION("""COMPUTED_VALUE"""),"Amazon Web Services Core (EC2, S3, RDS, IAM, VPC)")</f>
        <v>Amazon Web Services Core (EC2, S3, RDS, IAM, VPC)</v>
      </c>
    </row>
    <row r="223">
      <c r="A223" s="7" t="str">
        <f>IFERROR(__xludf.DUMMYFUNCTION("""COMPUTED_VALUE"""),"R05")</f>
        <v>R05</v>
      </c>
      <c r="B223" s="7" t="str">
        <f>IFERROR(__xludf.DUMMYFUNCTION("""COMPUTED_VALUE"""),"Data Engineer")</f>
        <v>Data Engineer</v>
      </c>
      <c r="C223" s="7" t="str">
        <f>IFERROR(__xludf.DUMMYFUNCTION("""COMPUTED_VALUE"""),"S178")</f>
        <v>S178</v>
      </c>
      <c r="D223" s="7" t="str">
        <f>IFERROR(__xludf.DUMMYFUNCTION("""COMPUTED_VALUE"""),"Infrastructure as Code (Terraform &amp; OpenTofu)")</f>
        <v>Infrastructure as Code (Terraform &amp; OpenTofu)</v>
      </c>
    </row>
    <row r="224">
      <c r="A224" s="7" t="str">
        <f>IFERROR(__xludf.DUMMYFUNCTION("""COMPUTED_VALUE"""),"R05")</f>
        <v>R05</v>
      </c>
      <c r="B224" s="7" t="str">
        <f>IFERROR(__xludf.DUMMYFUNCTION("""COMPUTED_VALUE"""),"Data Engineer")</f>
        <v>Data Engineer</v>
      </c>
      <c r="C224" s="7" t="str">
        <f>IFERROR(__xludf.DUMMYFUNCTION("""COMPUTED_VALUE"""),"S180")</f>
        <v>S180</v>
      </c>
      <c r="D224" s="7" t="str">
        <f>IFERROR(__xludf.DUMMYFUNCTION("""COMPUTED_VALUE"""),"CI/CD Pipelines with GitHub Actions")</f>
        <v>CI/CD Pipelines with GitHub Actions</v>
      </c>
    </row>
    <row r="225">
      <c r="A225" s="7" t="str">
        <f>IFERROR(__xludf.DUMMYFUNCTION("""COMPUTED_VALUE"""),"R05")</f>
        <v>R05</v>
      </c>
      <c r="B225" s="7" t="str">
        <f>IFERROR(__xludf.DUMMYFUNCTION("""COMPUTED_VALUE"""),"Data Engineer")</f>
        <v>Data Engineer</v>
      </c>
      <c r="C225" s="7" t="str">
        <f>IFERROR(__xludf.DUMMYFUNCTION("""COMPUTED_VALUE"""),"S246")</f>
        <v>S246</v>
      </c>
      <c r="D225" s="7" t="str">
        <f>IFERROR(__xludf.DUMMYFUNCTION("""COMPUTED_VALUE"""),"Agile Methodologies, Scrum Framework &amp; Kanban")</f>
        <v>Agile Methodologies, Scrum Framework &amp; Kanban</v>
      </c>
    </row>
    <row r="226">
      <c r="A226" s="7" t="str">
        <f>IFERROR(__xludf.DUMMYFUNCTION("""COMPUTED_VALUE"""),"R05")</f>
        <v>R05</v>
      </c>
      <c r="B226" s="7" t="str">
        <f>IFERROR(__xludf.DUMMYFUNCTION("""COMPUTED_VALUE"""),"Data Engineer")</f>
        <v>Data Engineer</v>
      </c>
      <c r="C226" s="7" t="str">
        <f>IFERROR(__xludf.DUMMYFUNCTION("""COMPUTED_VALUE"""),"S247")</f>
        <v>S247</v>
      </c>
      <c r="D226" s="7" t="str">
        <f>IFERROR(__xludf.DUMMYFUNCTION("""COMPUTED_VALUE"""),"Project Tracking &amp; Documentation Tools (Jira, Confluence, Linear)")</f>
        <v>Project Tracking &amp; Documentation Tools (Jira, Confluence, Linear)</v>
      </c>
    </row>
    <row r="227">
      <c r="A227" s="7" t="str">
        <f>IFERROR(__xludf.DUMMYFUNCTION("""COMPUTED_VALUE"""),"R06")</f>
        <v>R06</v>
      </c>
      <c r="B227" s="7" t="str">
        <f>IFERROR(__xludf.DUMMYFUNCTION("""COMPUTED_VALUE"""),"Data Analyst")</f>
        <v>Data Analyst</v>
      </c>
      <c r="C227" s="7" t="str">
        <f>IFERROR(__xludf.DUMMYFUNCTION("""COMPUTED_VALUE"""),"S006")</f>
        <v>S006</v>
      </c>
      <c r="D227" s="7" t="str">
        <f>IFERROR(__xludf.DUMMYFUNCTION("""COMPUTED_VALUE"""),"Basic Data Structures (Arrays, Lists, Stacks, Queues)")</f>
        <v>Basic Data Structures (Arrays, Lists, Stacks, Queues)</v>
      </c>
    </row>
    <row r="228">
      <c r="A228" s="7" t="str">
        <f>IFERROR(__xludf.DUMMYFUNCTION("""COMPUTED_VALUE"""),"R06")</f>
        <v>R06</v>
      </c>
      <c r="B228" s="7" t="str">
        <f>IFERROR(__xludf.DUMMYFUNCTION("""COMPUTED_VALUE"""),"Data Analyst")</f>
        <v>Data Analyst</v>
      </c>
      <c r="C228" s="7" t="str">
        <f>IFERROR(__xludf.DUMMYFUNCTION("""COMPUTED_VALUE"""),"S017")</f>
        <v>S017</v>
      </c>
      <c r="D228" s="7" t="str">
        <f>IFERROR(__xludf.DUMMYFUNCTION("""COMPUTED_VALUE"""),"Git Version Control Fundamentals")</f>
        <v>Git Version Control Fundamentals</v>
      </c>
    </row>
    <row r="229">
      <c r="A229" s="7" t="str">
        <f>IFERROR(__xludf.DUMMYFUNCTION("""COMPUTED_VALUE"""),"R06")</f>
        <v>R06</v>
      </c>
      <c r="B229" s="7" t="str">
        <f>IFERROR(__xludf.DUMMYFUNCTION("""COMPUTED_VALUE"""),"Data Analyst")</f>
        <v>Data Analyst</v>
      </c>
      <c r="C229" s="7" t="str">
        <f>IFERROR(__xludf.DUMMYFUNCTION("""COMPUTED_VALUE"""),"S025")</f>
        <v>S025</v>
      </c>
      <c r="D229" s="7" t="str">
        <f>IFERROR(__xludf.DUMMYFUNCTION("""COMPUTED_VALUE"""),"Regular Expressions (Regex)")</f>
        <v>Regular Expressions (Regex)</v>
      </c>
    </row>
    <row r="230">
      <c r="A230" s="7" t="str">
        <f>IFERROR(__xludf.DUMMYFUNCTION("""COMPUTED_VALUE"""),"R06")</f>
        <v>R06</v>
      </c>
      <c r="B230" s="7" t="str">
        <f>IFERROR(__xludf.DUMMYFUNCTION("""COMPUTED_VALUE"""),"Data Analyst")</f>
        <v>Data Analyst</v>
      </c>
      <c r="C230" s="7" t="str">
        <f>IFERROR(__xludf.DUMMYFUNCTION("""COMPUTED_VALUE"""),"S026")</f>
        <v>S026</v>
      </c>
      <c r="D230" s="7" t="str">
        <f>IFERROR(__xludf.DUMMYFUNCTION("""COMPUTED_VALUE"""),"Data Serialization (JSON, XML, YAML, Protobuf)")</f>
        <v>Data Serialization (JSON, XML, YAML, Protobuf)</v>
      </c>
    </row>
    <row r="231">
      <c r="A231" s="7" t="str">
        <f>IFERROR(__xludf.DUMMYFUNCTION("""COMPUTED_VALUE"""),"R06")</f>
        <v>R06</v>
      </c>
      <c r="B231" s="7" t="str">
        <f>IFERROR(__xludf.DUMMYFUNCTION("""COMPUTED_VALUE"""),"Data Analyst")</f>
        <v>Data Analyst</v>
      </c>
      <c r="C231" s="7" t="str">
        <f>IFERROR(__xludf.DUMMYFUNCTION("""COMPUTED_VALUE"""),"S028")</f>
        <v>S028</v>
      </c>
      <c r="D231" s="7" t="str">
        <f>IFERROR(__xludf.DUMMYFUNCTION("""COMPUTED_VALUE"""),"Technical Writing &amp; Markdown Documentation")</f>
        <v>Technical Writing &amp; Markdown Documentation</v>
      </c>
    </row>
    <row r="232">
      <c r="A232" s="7" t="str">
        <f>IFERROR(__xludf.DUMMYFUNCTION("""COMPUTED_VALUE"""),"R06")</f>
        <v>R06</v>
      </c>
      <c r="B232" s="7" t="str">
        <f>IFERROR(__xludf.DUMMYFUNCTION("""COMPUTED_VALUE"""),"Data Analyst")</f>
        <v>Data Analyst</v>
      </c>
      <c r="C232" s="7" t="str">
        <f>IFERROR(__xludf.DUMMYFUNCTION("""COMPUTED_VALUE"""),"S068")</f>
        <v>S068</v>
      </c>
      <c r="D232" s="7" t="str">
        <f>IFERROR(__xludf.DUMMYFUNCTION("""COMPUTED_VALUE"""),"Python Programming Fundamentals")</f>
        <v>Python Programming Fundamentals</v>
      </c>
    </row>
    <row r="233">
      <c r="A233" s="7" t="str">
        <f>IFERROR(__xludf.DUMMYFUNCTION("""COMPUTED_VALUE"""),"R06")</f>
        <v>R06</v>
      </c>
      <c r="B233" s="7" t="str">
        <f>IFERROR(__xludf.DUMMYFUNCTION("""COMPUTED_VALUE"""),"Data Analyst")</f>
        <v>Data Analyst</v>
      </c>
      <c r="C233" s="7" t="str">
        <f>IFERROR(__xludf.DUMMYFUNCTION("""COMPUTED_VALUE"""),"S106")</f>
        <v>S106</v>
      </c>
      <c r="D233" s="7" t="str">
        <f>IFERROR(__xludf.DUMMYFUNCTION("""COMPUTED_VALUE"""),"Relational Database Design &amp; Normalization (1NF-3NF)")</f>
        <v>Relational Database Design &amp; Normalization (1NF-3NF)</v>
      </c>
    </row>
    <row r="234">
      <c r="A234" s="7" t="str">
        <f>IFERROR(__xludf.DUMMYFUNCTION("""COMPUTED_VALUE"""),"R06")</f>
        <v>R06</v>
      </c>
      <c r="B234" s="7" t="str">
        <f>IFERROR(__xludf.DUMMYFUNCTION("""COMPUTED_VALUE"""),"Data Analyst")</f>
        <v>Data Analyst</v>
      </c>
      <c r="C234" s="7" t="str">
        <f>IFERROR(__xludf.DUMMYFUNCTION("""COMPUTED_VALUE"""),"S107")</f>
        <v>S107</v>
      </c>
      <c r="D234" s="7" t="str">
        <f>IFERROR(__xludf.DUMMYFUNCTION("""COMPUTED_VALUE"""),"SQL Querying (Joins, Aggregations, Subqueries)")</f>
        <v>SQL Querying (Joins, Aggregations, Subqueries)</v>
      </c>
    </row>
    <row r="235">
      <c r="A235" s="7" t="str">
        <f>IFERROR(__xludf.DUMMYFUNCTION("""COMPUTED_VALUE"""),"R06")</f>
        <v>R06</v>
      </c>
      <c r="B235" s="7" t="str">
        <f>IFERROR(__xludf.DUMMYFUNCTION("""COMPUTED_VALUE"""),"Data Analyst")</f>
        <v>Data Analyst</v>
      </c>
      <c r="C235" s="7" t="str">
        <f>IFERROR(__xludf.DUMMYFUNCTION("""COMPUTED_VALUE"""),"S108")</f>
        <v>S108</v>
      </c>
      <c r="D235" s="7" t="str">
        <f>IFERROR(__xludf.DUMMYFUNCTION("""COMPUTED_VALUE"""),"Advanced SQL (Window Functions, CTEs, Stored Procedures)")</f>
        <v>Advanced SQL (Window Functions, CTEs, Stored Procedures)</v>
      </c>
    </row>
    <row r="236">
      <c r="A236" s="7" t="str">
        <f>IFERROR(__xludf.DUMMYFUNCTION("""COMPUTED_VALUE"""),"R06")</f>
        <v>R06</v>
      </c>
      <c r="B236" s="7" t="str">
        <f>IFERROR(__xludf.DUMMYFUNCTION("""COMPUTED_VALUE"""),"Data Analyst")</f>
        <v>Data Analyst</v>
      </c>
      <c r="C236" s="7" t="str">
        <f>IFERROR(__xludf.DUMMYFUNCTION("""COMPUTED_VALUE"""),"S109")</f>
        <v>S109</v>
      </c>
      <c r="D236" s="7" t="str">
        <f>IFERROR(__xludf.DUMMYFUNCTION("""COMPUTED_VALUE"""),"PostgreSQL Administration &amp; Development")</f>
        <v>PostgreSQL Administration &amp; Development</v>
      </c>
    </row>
    <row r="237">
      <c r="A237" s="7" t="str">
        <f>IFERROR(__xludf.DUMMYFUNCTION("""COMPUTED_VALUE"""),"R06")</f>
        <v>R06</v>
      </c>
      <c r="B237" s="7" t="str">
        <f>IFERROR(__xludf.DUMMYFUNCTION("""COMPUTED_VALUE"""),"Data Analyst")</f>
        <v>Data Analyst</v>
      </c>
      <c r="C237" s="7" t="str">
        <f>IFERROR(__xludf.DUMMYFUNCTION("""COMPUTED_VALUE"""),"S110")</f>
        <v>S110</v>
      </c>
      <c r="D237" s="7" t="str">
        <f>IFERROR(__xludf.DUMMYFUNCTION("""COMPUTED_VALUE"""),"MySQL &amp; MariaDB Management")</f>
        <v>MySQL &amp; MariaDB Management</v>
      </c>
    </row>
    <row r="238">
      <c r="A238" s="7" t="str">
        <f>IFERROR(__xludf.DUMMYFUNCTION("""COMPUTED_VALUE"""),"R06")</f>
        <v>R06</v>
      </c>
      <c r="B238" s="7" t="str">
        <f>IFERROR(__xludf.DUMMYFUNCTION("""COMPUTED_VALUE"""),"Data Analyst")</f>
        <v>Data Analyst</v>
      </c>
      <c r="C238" s="7" t="str">
        <f>IFERROR(__xludf.DUMMYFUNCTION("""COMPUTED_VALUE"""),"S130")</f>
        <v>S130</v>
      </c>
      <c r="D238" s="7" t="str">
        <f>IFERROR(__xludf.DUMMYFUNCTION("""COMPUTED_VALUE"""),"Data Transformation &amp; Analytics Engineering (dbt)")</f>
        <v>Data Transformation &amp; Analytics Engineering (dbt)</v>
      </c>
    </row>
    <row r="239">
      <c r="A239" s="7" t="str">
        <f>IFERROR(__xludf.DUMMYFUNCTION("""COMPUTED_VALUE"""),"R06")</f>
        <v>R06</v>
      </c>
      <c r="B239" s="7" t="str">
        <f>IFERROR(__xludf.DUMMYFUNCTION("""COMPUTED_VALUE"""),"Data Analyst")</f>
        <v>Data Analyst</v>
      </c>
      <c r="C239" s="7" t="str">
        <f>IFERROR(__xludf.DUMMYFUNCTION("""COMPUTED_VALUE"""),"S131")</f>
        <v>S131</v>
      </c>
      <c r="D239" s="7" t="str">
        <f>IFERROR(__xludf.DUMMYFUNCTION("""COMPUTED_VALUE"""),"Cloud Data Warehousing (Snowflake, Google BigQuery, AWS Redshift)")</f>
        <v>Cloud Data Warehousing (Snowflake, Google BigQuery, AWS Redshift)</v>
      </c>
    </row>
    <row r="240">
      <c r="A240" s="7" t="str">
        <f>IFERROR(__xludf.DUMMYFUNCTION("""COMPUTED_VALUE"""),"R06")</f>
        <v>R06</v>
      </c>
      <c r="B240" s="7" t="str">
        <f>IFERROR(__xludf.DUMMYFUNCTION("""COMPUTED_VALUE"""),"Data Analyst")</f>
        <v>Data Analyst</v>
      </c>
      <c r="C240" s="7" t="str">
        <f>IFERROR(__xludf.DUMMYFUNCTION("""COMPUTED_VALUE"""),"S134")</f>
        <v>S134</v>
      </c>
      <c r="D240" s="7" t="str">
        <f>IFERROR(__xludf.DUMMYFUNCTION("""COMPUTED_VALUE"""),"Data Modeling (Star Schema, Snowflake Schema, Data Vault)")</f>
        <v>Data Modeling (Star Schema, Snowflake Schema, Data Vault)</v>
      </c>
    </row>
    <row r="241">
      <c r="A241" s="7" t="str">
        <f>IFERROR(__xludf.DUMMYFUNCTION("""COMPUTED_VALUE"""),"R06")</f>
        <v>R06</v>
      </c>
      <c r="B241" s="7" t="str">
        <f>IFERROR(__xludf.DUMMYFUNCTION("""COMPUTED_VALUE"""),"Data Analyst")</f>
        <v>Data Analyst</v>
      </c>
      <c r="C241" s="7" t="str">
        <f>IFERROR(__xludf.DUMMYFUNCTION("""COMPUTED_VALUE"""),"S135")</f>
        <v>S135</v>
      </c>
      <c r="D241" s="7" t="str">
        <f>IFERROR(__xludf.DUMMYFUNCTION("""COMPUTED_VALUE"""),"Data Quality, Lineage &amp; Governance (Great Expectations, Collibra)")</f>
        <v>Data Quality, Lineage &amp; Governance (Great Expectations, Collibra)</v>
      </c>
    </row>
    <row r="242">
      <c r="A242" s="7" t="str">
        <f>IFERROR(__xludf.DUMMYFUNCTION("""COMPUTED_VALUE"""),"R06")</f>
        <v>R06</v>
      </c>
      <c r="B242" s="7" t="str">
        <f>IFERROR(__xludf.DUMMYFUNCTION("""COMPUTED_VALUE"""),"Data Analyst")</f>
        <v>Data Analyst</v>
      </c>
      <c r="C242" s="7" t="str">
        <f>IFERROR(__xludf.DUMMYFUNCTION("""COMPUTED_VALUE"""),"S136")</f>
        <v>S136</v>
      </c>
      <c r="D242" s="7" t="str">
        <f>IFERROR(__xludf.DUMMYFUNCTION("""COMPUTED_VALUE"""),"Probability Theory &amp; Descriptive Statistics")</f>
        <v>Probability Theory &amp; Descriptive Statistics</v>
      </c>
    </row>
    <row r="243">
      <c r="A243" s="7" t="str">
        <f>IFERROR(__xludf.DUMMYFUNCTION("""COMPUTED_VALUE"""),"R06")</f>
        <v>R06</v>
      </c>
      <c r="B243" s="7" t="str">
        <f>IFERROR(__xludf.DUMMYFUNCTION("""COMPUTED_VALUE"""),"Data Analyst")</f>
        <v>Data Analyst</v>
      </c>
      <c r="C243" s="7" t="str">
        <f>IFERROR(__xludf.DUMMYFUNCTION("""COMPUTED_VALUE"""),"S137")</f>
        <v>S137</v>
      </c>
      <c r="D243" s="7" t="str">
        <f>IFERROR(__xludf.DUMMYFUNCTION("""COMPUTED_VALUE"""),"Inferential Statistics, Hypothesis Testing &amp; A/B Testing")</f>
        <v>Inferential Statistics, Hypothesis Testing &amp; A/B Testing</v>
      </c>
    </row>
    <row r="244">
      <c r="A244" s="7" t="str">
        <f>IFERROR(__xludf.DUMMYFUNCTION("""COMPUTED_VALUE"""),"R06")</f>
        <v>R06</v>
      </c>
      <c r="B244" s="7" t="str">
        <f>IFERROR(__xludf.DUMMYFUNCTION("""COMPUTED_VALUE"""),"Data Analyst")</f>
        <v>Data Analyst</v>
      </c>
      <c r="C244" s="7" t="str">
        <f>IFERROR(__xludf.DUMMYFUNCTION("""COMPUTED_VALUE"""),"S139")</f>
        <v>S139</v>
      </c>
      <c r="D244" s="7" t="str">
        <f>IFERROR(__xludf.DUMMYFUNCTION("""COMPUTED_VALUE"""),"Scientific Computing with NumPy &amp; SciPy")</f>
        <v>Scientific Computing with NumPy &amp; SciPy</v>
      </c>
    </row>
    <row r="245">
      <c r="A245" s="7" t="str">
        <f>IFERROR(__xludf.DUMMYFUNCTION("""COMPUTED_VALUE"""),"R06")</f>
        <v>R06</v>
      </c>
      <c r="B245" s="7" t="str">
        <f>IFERROR(__xludf.DUMMYFUNCTION("""COMPUTED_VALUE"""),"Data Analyst")</f>
        <v>Data Analyst</v>
      </c>
      <c r="C245" s="7" t="str">
        <f>IFERROR(__xludf.DUMMYFUNCTION("""COMPUTED_VALUE"""),"S140")</f>
        <v>S140</v>
      </c>
      <c r="D245" s="7" t="str">
        <f>IFERROR(__xludf.DUMMYFUNCTION("""COMPUTED_VALUE"""),"Data Manipulation &amp; Analysis with Pandas / Polars")</f>
        <v>Data Manipulation &amp; Analysis with Pandas / Polars</v>
      </c>
    </row>
    <row r="246">
      <c r="A246" s="7" t="str">
        <f>IFERROR(__xludf.DUMMYFUNCTION("""COMPUTED_VALUE"""),"R06")</f>
        <v>R06</v>
      </c>
      <c r="B246" s="7" t="str">
        <f>IFERROR(__xludf.DUMMYFUNCTION("""COMPUTED_VALUE"""),"Data Analyst")</f>
        <v>Data Analyst</v>
      </c>
      <c r="C246" s="7" t="str">
        <f>IFERROR(__xludf.DUMMYFUNCTION("""COMPUTED_VALUE"""),"S141")</f>
        <v>S141</v>
      </c>
      <c r="D246" s="7" t="str">
        <f>IFERROR(__xludf.DUMMYFUNCTION("""COMPUTED_VALUE"""),"Exploratory Data Analysis (EDA) &amp; Data Wrangling")</f>
        <v>Exploratory Data Analysis (EDA) &amp; Data Wrangling</v>
      </c>
    </row>
    <row r="247">
      <c r="A247" s="7" t="str">
        <f>IFERROR(__xludf.DUMMYFUNCTION("""COMPUTED_VALUE"""),"R06")</f>
        <v>R06</v>
      </c>
      <c r="B247" s="7" t="str">
        <f>IFERROR(__xludf.DUMMYFUNCTION("""COMPUTED_VALUE"""),"Data Analyst")</f>
        <v>Data Analyst</v>
      </c>
      <c r="C247" s="7" t="str">
        <f>IFERROR(__xludf.DUMMYFUNCTION("""COMPUTED_VALUE"""),"S142")</f>
        <v>S142</v>
      </c>
      <c r="D247" s="7" t="str">
        <f>IFERROR(__xludf.DUMMYFUNCTION("""COMPUTED_VALUE"""),"Statistical Programming in R")</f>
        <v>Statistical Programming in R</v>
      </c>
    </row>
    <row r="248">
      <c r="A248" s="7" t="str">
        <f>IFERROR(__xludf.DUMMYFUNCTION("""COMPUTED_VALUE"""),"R06")</f>
        <v>R06</v>
      </c>
      <c r="B248" s="7" t="str">
        <f>IFERROR(__xludf.DUMMYFUNCTION("""COMPUTED_VALUE"""),"Data Analyst")</f>
        <v>Data Analyst</v>
      </c>
      <c r="C248" s="7" t="str">
        <f>IFERROR(__xludf.DUMMYFUNCTION("""COMPUTED_VALUE"""),"S143")</f>
        <v>S143</v>
      </c>
      <c r="D248" s="7" t="str">
        <f>IFERROR(__xludf.DUMMYFUNCTION("""COMPUTED_VALUE"""),"Python Data Visualization (Matplotlib, Seaborn, Plotly)")</f>
        <v>Python Data Visualization (Matplotlib, Seaborn, Plotly)</v>
      </c>
    </row>
    <row r="249">
      <c r="A249" s="7" t="str">
        <f>IFERROR(__xludf.DUMMYFUNCTION("""COMPUTED_VALUE"""),"R06")</f>
        <v>R06</v>
      </c>
      <c r="B249" s="7" t="str">
        <f>IFERROR(__xludf.DUMMYFUNCTION("""COMPUTED_VALUE"""),"Data Analyst")</f>
        <v>Data Analyst</v>
      </c>
      <c r="C249" s="7" t="str">
        <f>IFERROR(__xludf.DUMMYFUNCTION("""COMPUTED_VALUE"""),"S144")</f>
        <v>S144</v>
      </c>
      <c r="D249" s="7" t="str">
        <f>IFERROR(__xludf.DUMMYFUNCTION("""COMPUTED_VALUE"""),"Business Intelligence &amp; Dashboards (Tableau)")</f>
        <v>Business Intelligence &amp; Dashboards (Tableau)</v>
      </c>
    </row>
    <row r="250">
      <c r="A250" s="7" t="str">
        <f>IFERROR(__xludf.DUMMYFUNCTION("""COMPUTED_VALUE"""),"R06")</f>
        <v>R06</v>
      </c>
      <c r="B250" s="7" t="str">
        <f>IFERROR(__xludf.DUMMYFUNCTION("""COMPUTED_VALUE"""),"Data Analyst")</f>
        <v>Data Analyst</v>
      </c>
      <c r="C250" s="7" t="str">
        <f>IFERROR(__xludf.DUMMYFUNCTION("""COMPUTED_VALUE"""),"S145")</f>
        <v>S145</v>
      </c>
      <c r="D250" s="7" t="str">
        <f>IFERROR(__xludf.DUMMYFUNCTION("""COMPUTED_VALUE"""),"Business Intelligence &amp; DAX Modeling (Power BI)")</f>
        <v>Business Intelligence &amp; DAX Modeling (Power BI)</v>
      </c>
    </row>
    <row r="251">
      <c r="A251" s="7" t="str">
        <f>IFERROR(__xludf.DUMMYFUNCTION("""COMPUTED_VALUE"""),"R06")</f>
        <v>R06</v>
      </c>
      <c r="B251" s="7" t="str">
        <f>IFERROR(__xludf.DUMMYFUNCTION("""COMPUTED_VALUE"""),"Data Analyst")</f>
        <v>Data Analyst</v>
      </c>
      <c r="C251" s="7" t="str">
        <f>IFERROR(__xludf.DUMMYFUNCTION("""COMPUTED_VALUE"""),"S146")</f>
        <v>S146</v>
      </c>
      <c r="D251" s="7" t="str">
        <f>IFERROR(__xludf.DUMMYFUNCTION("""COMPUTED_VALUE"""),"Advanced Excel, Pivot Tables &amp; Financial Modeling")</f>
        <v>Advanced Excel, Pivot Tables &amp; Financial Modeling</v>
      </c>
    </row>
    <row r="252">
      <c r="A252" s="7" t="str">
        <f>IFERROR(__xludf.DUMMYFUNCTION("""COMPUTED_VALUE"""),"R06")</f>
        <v>R06</v>
      </c>
      <c r="B252" s="7" t="str">
        <f>IFERROR(__xludf.DUMMYFUNCTION("""COMPUTED_VALUE"""),"Data Analyst")</f>
        <v>Data Analyst</v>
      </c>
      <c r="C252" s="7" t="str">
        <f>IFERROR(__xludf.DUMMYFUNCTION("""COMPUTED_VALUE"""),"S246")</f>
        <v>S246</v>
      </c>
      <c r="D252" s="7" t="str">
        <f>IFERROR(__xludf.DUMMYFUNCTION("""COMPUTED_VALUE"""),"Agile Methodologies, Scrum Framework &amp; Kanban")</f>
        <v>Agile Methodologies, Scrum Framework &amp; Kanban</v>
      </c>
    </row>
    <row r="253">
      <c r="A253" s="7" t="str">
        <f>IFERROR(__xludf.DUMMYFUNCTION("""COMPUTED_VALUE"""),"R06")</f>
        <v>R06</v>
      </c>
      <c r="B253" s="7" t="str">
        <f>IFERROR(__xludf.DUMMYFUNCTION("""COMPUTED_VALUE"""),"Data Analyst")</f>
        <v>Data Analyst</v>
      </c>
      <c r="C253" s="7" t="str">
        <f>IFERROR(__xludf.DUMMYFUNCTION("""COMPUTED_VALUE"""),"S247")</f>
        <v>S247</v>
      </c>
      <c r="D253" s="7" t="str">
        <f>IFERROR(__xludf.DUMMYFUNCTION("""COMPUTED_VALUE"""),"Project Tracking &amp; Documentation Tools (Jira, Confluence, Linear)")</f>
        <v>Project Tracking &amp; Documentation Tools (Jira, Confluence, Linear)</v>
      </c>
    </row>
    <row r="254">
      <c r="A254" s="7" t="str">
        <f>IFERROR(__xludf.DUMMYFUNCTION("""COMPUTED_VALUE"""),"R06")</f>
        <v>R06</v>
      </c>
      <c r="B254" s="7" t="str">
        <f>IFERROR(__xludf.DUMMYFUNCTION("""COMPUTED_VALUE"""),"Data Analyst")</f>
        <v>Data Analyst</v>
      </c>
      <c r="C254" s="7" t="str">
        <f>IFERROR(__xludf.DUMMYFUNCTION("""COMPUTED_VALUE"""),"S249")</f>
        <v>S249</v>
      </c>
      <c r="D254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255">
      <c r="A255" s="7" t="str">
        <f>IFERROR(__xludf.DUMMYFUNCTION("""COMPUTED_VALUE"""),"R07")</f>
        <v>R07</v>
      </c>
      <c r="B255" s="7" t="str">
        <f>IFERROR(__xludf.DUMMYFUNCTION("""COMPUTED_VALUE"""),"Machine Learning Engineer")</f>
        <v>Machine Learning Engineer</v>
      </c>
      <c r="C255" s="7" t="str">
        <f>IFERROR(__xludf.DUMMYFUNCTION("""COMPUTED_VALUE"""),"S002")</f>
        <v>S002</v>
      </c>
      <c r="D255" s="7" t="str">
        <f>IFERROR(__xludf.DUMMYFUNCTION("""COMPUTED_VALUE"""),"Operating Systems Concepts")</f>
        <v>Operating Systems Concepts</v>
      </c>
    </row>
    <row r="256">
      <c r="A256" s="7" t="str">
        <f>IFERROR(__xludf.DUMMYFUNCTION("""COMPUTED_VALUE"""),"R07")</f>
        <v>R07</v>
      </c>
      <c r="B256" s="7" t="str">
        <f>IFERROR(__xludf.DUMMYFUNCTION("""COMPUTED_VALUE"""),"Machine Learning Engineer")</f>
        <v>Machine Learning Engineer</v>
      </c>
      <c r="C256" s="7" t="str">
        <f>IFERROR(__xludf.DUMMYFUNCTION("""COMPUTED_VALUE"""),"S003")</f>
        <v>S003</v>
      </c>
      <c r="D256" s="7" t="str">
        <f>IFERROR(__xludf.DUMMYFUNCTION("""COMPUTED_VALUE"""),"Process &amp; Thread Management")</f>
        <v>Process &amp; Thread Management</v>
      </c>
    </row>
    <row r="257">
      <c r="A257" s="7" t="str">
        <f>IFERROR(__xludf.DUMMYFUNCTION("""COMPUTED_VALUE"""),"R07")</f>
        <v>R07</v>
      </c>
      <c r="B257" s="7" t="str">
        <f>IFERROR(__xludf.DUMMYFUNCTION("""COMPUTED_VALUE"""),"Machine Learning Engineer")</f>
        <v>Machine Learning Engineer</v>
      </c>
      <c r="C257" s="7" t="str">
        <f>IFERROR(__xludf.DUMMYFUNCTION("""COMPUTED_VALUE"""),"S006")</f>
        <v>S006</v>
      </c>
      <c r="D257" s="7" t="str">
        <f>IFERROR(__xludf.DUMMYFUNCTION("""COMPUTED_VALUE"""),"Basic Data Structures (Arrays, Lists, Stacks, Queues)")</f>
        <v>Basic Data Structures (Arrays, Lists, Stacks, Queues)</v>
      </c>
    </row>
    <row r="258">
      <c r="A258" s="7" t="str">
        <f>IFERROR(__xludf.DUMMYFUNCTION("""COMPUTED_VALUE"""),"R07")</f>
        <v>R07</v>
      </c>
      <c r="B258" s="7" t="str">
        <f>IFERROR(__xludf.DUMMYFUNCTION("""COMPUTED_VALUE"""),"Machine Learning Engineer")</f>
        <v>Machine Learning Engineer</v>
      </c>
      <c r="C258" s="7" t="str">
        <f>IFERROR(__xludf.DUMMYFUNCTION("""COMPUTED_VALUE"""),"S007")</f>
        <v>S007</v>
      </c>
      <c r="D258" s="7" t="str">
        <f>IFERROR(__xludf.DUMMYFUNCTION("""COMPUTED_VALUE"""),"Trees &amp; Binary Search Trees")</f>
        <v>Trees &amp; Binary Search Trees</v>
      </c>
    </row>
    <row r="259">
      <c r="A259" s="7" t="str">
        <f>IFERROR(__xludf.DUMMYFUNCTION("""COMPUTED_VALUE"""),"R07")</f>
        <v>R07</v>
      </c>
      <c r="B259" s="7" t="str">
        <f>IFERROR(__xludf.DUMMYFUNCTION("""COMPUTED_VALUE"""),"Machine Learning Engineer")</f>
        <v>Machine Learning Engineer</v>
      </c>
      <c r="C259" s="7" t="str">
        <f>IFERROR(__xludf.DUMMYFUNCTION("""COMPUTED_VALUE"""),"S008")</f>
        <v>S008</v>
      </c>
      <c r="D259" s="7" t="str">
        <f>IFERROR(__xludf.DUMMYFUNCTION("""COMPUTED_VALUE"""),"Heaps, Priority Queues &amp; Hashing")</f>
        <v>Heaps, Priority Queues &amp; Hashing</v>
      </c>
    </row>
    <row r="260">
      <c r="A260" s="7" t="str">
        <f>IFERROR(__xludf.DUMMYFUNCTION("""COMPUTED_VALUE"""),"R07")</f>
        <v>R07</v>
      </c>
      <c r="B260" s="7" t="str">
        <f>IFERROR(__xludf.DUMMYFUNCTION("""COMPUTED_VALUE"""),"Machine Learning Engineer")</f>
        <v>Machine Learning Engineer</v>
      </c>
      <c r="C260" s="7" t="str">
        <f>IFERROR(__xludf.DUMMYFUNCTION("""COMPUTED_VALUE"""),"S009")</f>
        <v>S009</v>
      </c>
      <c r="D260" s="7" t="str">
        <f>IFERROR(__xludf.DUMMYFUNCTION("""COMPUTED_VALUE"""),"Graphs &amp; Graph Traversal (BFS/DFS)")</f>
        <v>Graphs &amp; Graph Traversal (BFS/DFS)</v>
      </c>
    </row>
    <row r="261">
      <c r="A261" s="7" t="str">
        <f>IFERROR(__xludf.DUMMYFUNCTION("""COMPUTED_VALUE"""),"R07")</f>
        <v>R07</v>
      </c>
      <c r="B261" s="7" t="str">
        <f>IFERROR(__xludf.DUMMYFUNCTION("""COMPUTED_VALUE"""),"Machine Learning Engineer")</f>
        <v>Machine Learning Engineer</v>
      </c>
      <c r="C261" s="7" t="str">
        <f>IFERROR(__xludf.DUMMYFUNCTION("""COMPUTED_VALUE"""),"S010")</f>
        <v>S010</v>
      </c>
      <c r="D261" s="7" t="str">
        <f>IFERROR(__xludf.DUMMYFUNCTION("""COMPUTED_VALUE"""),"Sorting &amp; Searching Algorithms")</f>
        <v>Sorting &amp; Searching Algorithms</v>
      </c>
    </row>
    <row r="262">
      <c r="A262" s="7" t="str">
        <f>IFERROR(__xludf.DUMMYFUNCTION("""COMPUTED_VALUE"""),"R07")</f>
        <v>R07</v>
      </c>
      <c r="B262" s="7" t="str">
        <f>IFERROR(__xludf.DUMMYFUNCTION("""COMPUTED_VALUE"""),"Machine Learning Engineer")</f>
        <v>Machine Learning Engineer</v>
      </c>
      <c r="C262" s="7" t="str">
        <f>IFERROR(__xludf.DUMMYFUNCTION("""COMPUTED_VALUE"""),"S011")</f>
        <v>S011</v>
      </c>
      <c r="D262" s="7" t="str">
        <f>IFERROR(__xludf.DUMMYFUNCTION("""COMPUTED_VALUE"""),"Dynamic Programming &amp; Greedy Algorithms")</f>
        <v>Dynamic Programming &amp; Greedy Algorithms</v>
      </c>
    </row>
    <row r="263">
      <c r="A263" s="7" t="str">
        <f>IFERROR(__xludf.DUMMYFUNCTION("""COMPUTED_VALUE"""),"R07")</f>
        <v>R07</v>
      </c>
      <c r="B263" s="7" t="str">
        <f>IFERROR(__xludf.DUMMYFUNCTION("""COMPUTED_VALUE"""),"Machine Learning Engineer")</f>
        <v>Machine Learning Engineer</v>
      </c>
      <c r="C263" s="7" t="str">
        <f>IFERROR(__xludf.DUMMYFUNCTION("""COMPUTED_VALUE"""),"S012")</f>
        <v>S012</v>
      </c>
      <c r="D263" s="7" t="str">
        <f>IFERROR(__xludf.DUMMYFUNCTION("""COMPUTED_VALUE"""),"Time &amp; Space Complexity (Big-O Analysis)")</f>
        <v>Time &amp; Space Complexity (Big-O Analysis)</v>
      </c>
    </row>
    <row r="264">
      <c r="A264" s="7" t="str">
        <f>IFERROR(__xludf.DUMMYFUNCTION("""COMPUTED_VALUE"""),"R07")</f>
        <v>R07</v>
      </c>
      <c r="B264" s="7" t="str">
        <f>IFERROR(__xludf.DUMMYFUNCTION("""COMPUTED_VALUE"""),"Machine Learning Engineer")</f>
        <v>Machine Learning Engineer</v>
      </c>
      <c r="C264" s="7" t="str">
        <f>IFERROR(__xludf.DUMMYFUNCTION("""COMPUTED_VALUE"""),"S013")</f>
        <v>S013</v>
      </c>
      <c r="D264" s="7" t="str">
        <f>IFERROR(__xludf.DUMMYFUNCTION("""COMPUTED_VALUE"""),"Object-Oriented Programming (OOP)")</f>
        <v>Object-Oriented Programming (OOP)</v>
      </c>
    </row>
    <row r="265">
      <c r="A265" s="7" t="str">
        <f>IFERROR(__xludf.DUMMYFUNCTION("""COMPUTED_VALUE"""),"R07")</f>
        <v>R07</v>
      </c>
      <c r="B265" s="7" t="str">
        <f>IFERROR(__xludf.DUMMYFUNCTION("""COMPUTED_VALUE"""),"Machine Learning Engineer")</f>
        <v>Machine Learning Engineer</v>
      </c>
      <c r="C265" s="7" t="str">
        <f>IFERROR(__xludf.DUMMYFUNCTION("""COMPUTED_VALUE"""),"S017")</f>
        <v>S017</v>
      </c>
      <c r="D265" s="7" t="str">
        <f>IFERROR(__xludf.DUMMYFUNCTION("""COMPUTED_VALUE"""),"Git Version Control Fundamentals")</f>
        <v>Git Version Control Fundamentals</v>
      </c>
    </row>
    <row r="266">
      <c r="A266" s="7" t="str">
        <f>IFERROR(__xludf.DUMMYFUNCTION("""COMPUTED_VALUE"""),"R07")</f>
        <v>R07</v>
      </c>
      <c r="B266" s="7" t="str">
        <f>IFERROR(__xludf.DUMMYFUNCTION("""COMPUTED_VALUE"""),"Machine Learning Engineer")</f>
        <v>Machine Learning Engineer</v>
      </c>
      <c r="C266" s="7" t="str">
        <f>IFERROR(__xludf.DUMMYFUNCTION("""COMPUTED_VALUE"""),"S018")</f>
        <v>S018</v>
      </c>
      <c r="D266" s="7" t="str">
        <f>IFERROR(__xludf.DUMMYFUNCTION("""COMPUTED_VALUE"""),"GitHub / GitLab Workflows &amp; Pull Requests")</f>
        <v>GitHub / GitLab Workflows &amp; Pull Requests</v>
      </c>
    </row>
    <row r="267">
      <c r="A267" s="7" t="str">
        <f>IFERROR(__xludf.DUMMYFUNCTION("""COMPUTED_VALUE"""),"R07")</f>
        <v>R07</v>
      </c>
      <c r="B267" s="7" t="str">
        <f>IFERROR(__xludf.DUMMYFUNCTION("""COMPUTED_VALUE"""),"Machine Learning Engineer")</f>
        <v>Machine Learning Engineer</v>
      </c>
      <c r="C267" s="7" t="str">
        <f>IFERROR(__xludf.DUMMYFUNCTION("""COMPUTED_VALUE"""),"S019")</f>
        <v>S019</v>
      </c>
      <c r="D267" s="7" t="str">
        <f>IFERROR(__xludf.DUMMYFUNCTION("""COMPUTED_VALUE"""),"Linux Command Line &amp; File Permissions")</f>
        <v>Linux Command Line &amp; File Permissions</v>
      </c>
    </row>
    <row r="268">
      <c r="A268" s="7" t="str">
        <f>IFERROR(__xludf.DUMMYFUNCTION("""COMPUTED_VALUE"""),"R07")</f>
        <v>R07</v>
      </c>
      <c r="B268" s="7" t="str">
        <f>IFERROR(__xludf.DUMMYFUNCTION("""COMPUTED_VALUE"""),"Machine Learning Engineer")</f>
        <v>Machine Learning Engineer</v>
      </c>
      <c r="C268" s="7" t="str">
        <f>IFERROR(__xludf.DUMMYFUNCTION("""COMPUTED_VALUE"""),"S020")</f>
        <v>S020</v>
      </c>
      <c r="D268" s="7" t="str">
        <f>IFERROR(__xludf.DUMMYFUNCTION("""COMPUTED_VALUE"""),"Bash &amp; Shell Scripting")</f>
        <v>Bash &amp; Shell Scripting</v>
      </c>
    </row>
    <row r="269">
      <c r="A269" s="7" t="str">
        <f>IFERROR(__xludf.DUMMYFUNCTION("""COMPUTED_VALUE"""),"R07")</f>
        <v>R07</v>
      </c>
      <c r="B269" s="7" t="str">
        <f>IFERROR(__xludf.DUMMYFUNCTION("""COMPUTED_VALUE"""),"Machine Learning Engineer")</f>
        <v>Machine Learning Engineer</v>
      </c>
      <c r="C269" s="7" t="str">
        <f>IFERROR(__xludf.DUMMYFUNCTION("""COMPUTED_VALUE"""),"S026")</f>
        <v>S026</v>
      </c>
      <c r="D269" s="7" t="str">
        <f>IFERROR(__xludf.DUMMYFUNCTION("""COMPUTED_VALUE"""),"Data Serialization (JSON, XML, YAML, Protobuf)")</f>
        <v>Data Serialization (JSON, XML, YAML, Protobuf)</v>
      </c>
    </row>
    <row r="270">
      <c r="A270" s="7" t="str">
        <f>IFERROR(__xludf.DUMMYFUNCTION("""COMPUTED_VALUE"""),"R07")</f>
        <v>R07</v>
      </c>
      <c r="B270" s="7" t="str">
        <f>IFERROR(__xludf.DUMMYFUNCTION("""COMPUTED_VALUE"""),"Machine Learning Engineer")</f>
        <v>Machine Learning Engineer</v>
      </c>
      <c r="C270" s="7" t="str">
        <f>IFERROR(__xludf.DUMMYFUNCTION("""COMPUTED_VALUE"""),"S028")</f>
        <v>S028</v>
      </c>
      <c r="D270" s="7" t="str">
        <f>IFERROR(__xludf.DUMMYFUNCTION("""COMPUTED_VALUE"""),"Technical Writing &amp; Markdown Documentation")</f>
        <v>Technical Writing &amp; Markdown Documentation</v>
      </c>
    </row>
    <row r="271">
      <c r="A271" s="7" t="str">
        <f>IFERROR(__xludf.DUMMYFUNCTION("""COMPUTED_VALUE"""),"R07")</f>
        <v>R07</v>
      </c>
      <c r="B271" s="7" t="str">
        <f>IFERROR(__xludf.DUMMYFUNCTION("""COMPUTED_VALUE"""),"Machine Learning Engineer")</f>
        <v>Machine Learning Engineer</v>
      </c>
      <c r="C271" s="7" t="str">
        <f>IFERROR(__xludf.DUMMYFUNCTION("""COMPUTED_VALUE"""),"S068")</f>
        <v>S068</v>
      </c>
      <c r="D271" s="7" t="str">
        <f>IFERROR(__xludf.DUMMYFUNCTION("""COMPUTED_VALUE"""),"Python Programming Fundamentals")</f>
        <v>Python Programming Fundamentals</v>
      </c>
    </row>
    <row r="272">
      <c r="A272" s="7" t="str">
        <f>IFERROR(__xludf.DUMMYFUNCTION("""COMPUTED_VALUE"""),"R07")</f>
        <v>R07</v>
      </c>
      <c r="B272" s="7" t="str">
        <f>IFERROR(__xludf.DUMMYFUNCTION("""COMPUTED_VALUE"""),"Machine Learning Engineer")</f>
        <v>Machine Learning Engineer</v>
      </c>
      <c r="C272" s="7" t="str">
        <f>IFERROR(__xludf.DUMMYFUNCTION("""COMPUTED_VALUE"""),"S070")</f>
        <v>S070</v>
      </c>
      <c r="D272" s="7" t="str">
        <f>IFERROR(__xludf.DUMMYFUNCTION("""COMPUTED_VALUE"""),"FastAPI High-Performance APIs")</f>
        <v>FastAPI High-Performance APIs</v>
      </c>
    </row>
    <row r="273">
      <c r="A273" s="7" t="str">
        <f>IFERROR(__xludf.DUMMYFUNCTION("""COMPUTED_VALUE"""),"R07")</f>
        <v>R07</v>
      </c>
      <c r="B273" s="7" t="str">
        <f>IFERROR(__xludf.DUMMYFUNCTION("""COMPUTED_VALUE"""),"Machine Learning Engineer")</f>
        <v>Machine Learning Engineer</v>
      </c>
      <c r="C273" s="7" t="str">
        <f>IFERROR(__xludf.DUMMYFUNCTION("""COMPUTED_VALUE"""),"S083")</f>
        <v>S083</v>
      </c>
      <c r="D273" s="7" t="str">
        <f>IFERROR(__xludf.DUMMYFUNCTION("""COMPUTED_VALUE"""),"C++ &amp; Standard Template Library (STL)")</f>
        <v>C++ &amp; Standard Template Library (STL)</v>
      </c>
    </row>
    <row r="274">
      <c r="A274" s="7" t="str">
        <f>IFERROR(__xludf.DUMMYFUNCTION("""COMPUTED_VALUE"""),"R07")</f>
        <v>R07</v>
      </c>
      <c r="B274" s="7" t="str">
        <f>IFERROR(__xludf.DUMMYFUNCTION("""COMPUTED_VALUE"""),"Machine Learning Engineer")</f>
        <v>Machine Learning Engineer</v>
      </c>
      <c r="C274" s="7" t="str">
        <f>IFERROR(__xludf.DUMMYFUNCTION("""COMPUTED_VALUE"""),"S086")</f>
        <v>S086</v>
      </c>
      <c r="D274" s="7" t="str">
        <f>IFERROR(__xludf.DUMMYFUNCTION("""COMPUTED_VALUE"""),"RESTful API Design &amp; OpenAPI/Swagger")</f>
        <v>RESTful API Design &amp; OpenAPI/Swagger</v>
      </c>
    </row>
    <row r="275">
      <c r="A275" s="7" t="str">
        <f>IFERROR(__xludf.DUMMYFUNCTION("""COMPUTED_VALUE"""),"R07")</f>
        <v>R07</v>
      </c>
      <c r="B275" s="7" t="str">
        <f>IFERROR(__xludf.DUMMYFUNCTION("""COMPUTED_VALUE"""),"Machine Learning Engineer")</f>
        <v>Machine Learning Engineer</v>
      </c>
      <c r="C275" s="7" t="str">
        <f>IFERROR(__xludf.DUMMYFUNCTION("""COMPUTED_VALUE"""),"S088")</f>
        <v>S088</v>
      </c>
      <c r="D275" s="7" t="str">
        <f>IFERROR(__xludf.DUMMYFUNCTION("""COMPUTED_VALUE"""),"gRPC &amp; Protocol Buffers")</f>
        <v>gRPC &amp; Protocol Buffers</v>
      </c>
    </row>
    <row r="276">
      <c r="A276" s="7" t="str">
        <f>IFERROR(__xludf.DUMMYFUNCTION("""COMPUTED_VALUE"""),"R07")</f>
        <v>R07</v>
      </c>
      <c r="B276" s="7" t="str">
        <f>IFERROR(__xludf.DUMMYFUNCTION("""COMPUTED_VALUE"""),"Machine Learning Engineer")</f>
        <v>Machine Learning Engineer</v>
      </c>
      <c r="C276" s="7" t="str">
        <f>IFERROR(__xludf.DUMMYFUNCTION("""COMPUTED_VALUE"""),"S102")</f>
        <v>S102</v>
      </c>
      <c r="D276" s="7" t="str">
        <f>IFERROR(__xludf.DUMMYFUNCTION("""COMPUTED_VALUE"""),"Backend Unit &amp; Integration Testing (JUnit, PyTest, Mocha)")</f>
        <v>Backend Unit &amp; Integration Testing (JUnit, PyTest, Mocha)</v>
      </c>
    </row>
    <row r="277">
      <c r="A277" s="7" t="str">
        <f>IFERROR(__xludf.DUMMYFUNCTION("""COMPUTED_VALUE"""),"R07")</f>
        <v>R07</v>
      </c>
      <c r="B277" s="7" t="str">
        <f>IFERROR(__xludf.DUMMYFUNCTION("""COMPUTED_VALUE"""),"Machine Learning Engineer")</f>
        <v>Machine Learning Engineer</v>
      </c>
      <c r="C277" s="7" t="str">
        <f>IFERROR(__xludf.DUMMYFUNCTION("""COMPUTED_VALUE"""),"S107")</f>
        <v>S107</v>
      </c>
      <c r="D277" s="7" t="str">
        <f>IFERROR(__xludf.DUMMYFUNCTION("""COMPUTED_VALUE"""),"SQL Querying (Joins, Aggregations, Subqueries)")</f>
        <v>SQL Querying (Joins, Aggregations, Subqueries)</v>
      </c>
    </row>
    <row r="278">
      <c r="A278" s="7" t="str">
        <f>IFERROR(__xludf.DUMMYFUNCTION("""COMPUTED_VALUE"""),"R07")</f>
        <v>R07</v>
      </c>
      <c r="B278" s="7" t="str">
        <f>IFERROR(__xludf.DUMMYFUNCTION("""COMPUTED_VALUE"""),"Machine Learning Engineer")</f>
        <v>Machine Learning Engineer</v>
      </c>
      <c r="C278" s="7" t="str">
        <f>IFERROR(__xludf.DUMMYFUNCTION("""COMPUTED_VALUE"""),"S109")</f>
        <v>S109</v>
      </c>
      <c r="D278" s="7" t="str">
        <f>IFERROR(__xludf.DUMMYFUNCTION("""COMPUTED_VALUE"""),"PostgreSQL Administration &amp; Development")</f>
        <v>PostgreSQL Administration &amp; Development</v>
      </c>
    </row>
    <row r="279">
      <c r="A279" s="7" t="str">
        <f>IFERROR(__xludf.DUMMYFUNCTION("""COMPUTED_VALUE"""),"R07")</f>
        <v>R07</v>
      </c>
      <c r="B279" s="7" t="str">
        <f>IFERROR(__xludf.DUMMYFUNCTION("""COMPUTED_VALUE"""),"Machine Learning Engineer")</f>
        <v>Machine Learning Engineer</v>
      </c>
      <c r="C279" s="7" t="str">
        <f>IFERROR(__xludf.DUMMYFUNCTION("""COMPUTED_VALUE"""),"S120")</f>
        <v>S120</v>
      </c>
      <c r="D279" s="7" t="str">
        <f>IFERROR(__xludf.DUMMYFUNCTION("""COMPUTED_VALUE"""),"Key-Value Stores &amp; In-Memory DBs (Redis, Memcached)")</f>
        <v>Key-Value Stores &amp; In-Memory DBs (Redis, Memcached)</v>
      </c>
    </row>
    <row r="280">
      <c r="A280" s="7" t="str">
        <f>IFERROR(__xludf.DUMMYFUNCTION("""COMPUTED_VALUE"""),"R07")</f>
        <v>R07</v>
      </c>
      <c r="B280" s="7" t="str">
        <f>IFERROR(__xludf.DUMMYFUNCTION("""COMPUTED_VALUE"""),"Machine Learning Engineer")</f>
        <v>Machine Learning Engineer</v>
      </c>
      <c r="C280" s="7" t="str">
        <f>IFERROR(__xludf.DUMMYFUNCTION("""COMPUTED_VALUE"""),"S125")</f>
        <v>S125</v>
      </c>
      <c r="D280" s="7" t="str">
        <f>IFERROR(__xludf.DUMMYFUNCTION("""COMPUTED_VALUE"""),"Vector Databases (Pinecone, Milvus, Weaviate, pgvector)")</f>
        <v>Vector Databases (Pinecone, Milvus, Weaviate, pgvector)</v>
      </c>
    </row>
    <row r="281">
      <c r="A281" s="7" t="str">
        <f>IFERROR(__xludf.DUMMYFUNCTION("""COMPUTED_VALUE"""),"R07")</f>
        <v>R07</v>
      </c>
      <c r="B281" s="7" t="str">
        <f>IFERROR(__xludf.DUMMYFUNCTION("""COMPUTED_VALUE"""),"Machine Learning Engineer")</f>
        <v>Machine Learning Engineer</v>
      </c>
      <c r="C281" s="7" t="str">
        <f>IFERROR(__xludf.DUMMYFUNCTION("""COMPUTED_VALUE"""),"S127")</f>
        <v>S127</v>
      </c>
      <c r="D281" s="7" t="str">
        <f>IFERROR(__xludf.DUMMYFUNCTION("""COMPUTED_VALUE"""),"Workflow Orchestration (Apache Airflow, Prefect, Dagster)")</f>
        <v>Workflow Orchestration (Apache Airflow, Prefect, Dagster)</v>
      </c>
    </row>
    <row r="282">
      <c r="A282" s="7" t="str">
        <f>IFERROR(__xludf.DUMMYFUNCTION("""COMPUTED_VALUE"""),"R07")</f>
        <v>R07</v>
      </c>
      <c r="B282" s="7" t="str">
        <f>IFERROR(__xludf.DUMMYFUNCTION("""COMPUTED_VALUE"""),"Machine Learning Engineer")</f>
        <v>Machine Learning Engineer</v>
      </c>
      <c r="C282" s="7" t="str">
        <f>IFERROR(__xludf.DUMMYFUNCTION("""COMPUTED_VALUE"""),"S128")</f>
        <v>S128</v>
      </c>
      <c r="D282" s="7" t="str">
        <f>IFERROR(__xludf.DUMMYFUNCTION("""COMPUTED_VALUE"""),"Distributed Data Processing (Apache Spark, PySpark)")</f>
        <v>Distributed Data Processing (Apache Spark, PySpark)</v>
      </c>
    </row>
    <row r="283">
      <c r="A283" s="7" t="str">
        <f>IFERROR(__xludf.DUMMYFUNCTION("""COMPUTED_VALUE"""),"R07")</f>
        <v>R07</v>
      </c>
      <c r="B283" s="7" t="str">
        <f>IFERROR(__xludf.DUMMYFUNCTION("""COMPUTED_VALUE"""),"Machine Learning Engineer")</f>
        <v>Machine Learning Engineer</v>
      </c>
      <c r="C283" s="7" t="str">
        <f>IFERROR(__xludf.DUMMYFUNCTION("""COMPUTED_VALUE"""),"S136")</f>
        <v>S136</v>
      </c>
      <c r="D283" s="7" t="str">
        <f>IFERROR(__xludf.DUMMYFUNCTION("""COMPUTED_VALUE"""),"Probability Theory &amp; Descriptive Statistics")</f>
        <v>Probability Theory &amp; Descriptive Statistics</v>
      </c>
    </row>
    <row r="284">
      <c r="A284" s="7" t="str">
        <f>IFERROR(__xludf.DUMMYFUNCTION("""COMPUTED_VALUE"""),"R07")</f>
        <v>R07</v>
      </c>
      <c r="B284" s="7" t="str">
        <f>IFERROR(__xludf.DUMMYFUNCTION("""COMPUTED_VALUE"""),"Machine Learning Engineer")</f>
        <v>Machine Learning Engineer</v>
      </c>
      <c r="C284" s="7" t="str">
        <f>IFERROR(__xludf.DUMMYFUNCTION("""COMPUTED_VALUE"""),"S137")</f>
        <v>S137</v>
      </c>
      <c r="D284" s="7" t="str">
        <f>IFERROR(__xludf.DUMMYFUNCTION("""COMPUTED_VALUE"""),"Inferential Statistics, Hypothesis Testing &amp; A/B Testing")</f>
        <v>Inferential Statistics, Hypothesis Testing &amp; A/B Testing</v>
      </c>
    </row>
    <row r="285">
      <c r="A285" s="7" t="str">
        <f>IFERROR(__xludf.DUMMYFUNCTION("""COMPUTED_VALUE"""),"R07")</f>
        <v>R07</v>
      </c>
      <c r="B285" s="7" t="str">
        <f>IFERROR(__xludf.DUMMYFUNCTION("""COMPUTED_VALUE"""),"Machine Learning Engineer")</f>
        <v>Machine Learning Engineer</v>
      </c>
      <c r="C285" s="7" t="str">
        <f>IFERROR(__xludf.DUMMYFUNCTION("""COMPUTED_VALUE"""),"S138")</f>
        <v>S138</v>
      </c>
      <c r="D285" s="7" t="str">
        <f>IFERROR(__xludf.DUMMYFUNCTION("""COMPUTED_VALUE"""),"Linear Algebra, Calculus &amp; Optimization for ML")</f>
        <v>Linear Algebra, Calculus &amp; Optimization for ML</v>
      </c>
    </row>
    <row r="286">
      <c r="A286" s="7" t="str">
        <f>IFERROR(__xludf.DUMMYFUNCTION("""COMPUTED_VALUE"""),"R07")</f>
        <v>R07</v>
      </c>
      <c r="B286" s="7" t="str">
        <f>IFERROR(__xludf.DUMMYFUNCTION("""COMPUTED_VALUE"""),"Machine Learning Engineer")</f>
        <v>Machine Learning Engineer</v>
      </c>
      <c r="C286" s="7" t="str">
        <f>IFERROR(__xludf.DUMMYFUNCTION("""COMPUTED_VALUE"""),"S139")</f>
        <v>S139</v>
      </c>
      <c r="D286" s="7" t="str">
        <f>IFERROR(__xludf.DUMMYFUNCTION("""COMPUTED_VALUE"""),"Scientific Computing with NumPy &amp; SciPy")</f>
        <v>Scientific Computing with NumPy &amp; SciPy</v>
      </c>
    </row>
    <row r="287">
      <c r="A287" s="7" t="str">
        <f>IFERROR(__xludf.DUMMYFUNCTION("""COMPUTED_VALUE"""),"R07")</f>
        <v>R07</v>
      </c>
      <c r="B287" s="7" t="str">
        <f>IFERROR(__xludf.DUMMYFUNCTION("""COMPUTED_VALUE"""),"Machine Learning Engineer")</f>
        <v>Machine Learning Engineer</v>
      </c>
      <c r="C287" s="7" t="str">
        <f>IFERROR(__xludf.DUMMYFUNCTION("""COMPUTED_VALUE"""),"S140")</f>
        <v>S140</v>
      </c>
      <c r="D287" s="7" t="str">
        <f>IFERROR(__xludf.DUMMYFUNCTION("""COMPUTED_VALUE"""),"Data Manipulation &amp; Analysis with Pandas / Polars")</f>
        <v>Data Manipulation &amp; Analysis with Pandas / Polars</v>
      </c>
    </row>
    <row r="288">
      <c r="A288" s="7" t="str">
        <f>IFERROR(__xludf.DUMMYFUNCTION("""COMPUTED_VALUE"""),"R07")</f>
        <v>R07</v>
      </c>
      <c r="B288" s="7" t="str">
        <f>IFERROR(__xludf.DUMMYFUNCTION("""COMPUTED_VALUE"""),"Machine Learning Engineer")</f>
        <v>Machine Learning Engineer</v>
      </c>
      <c r="C288" s="7" t="str">
        <f>IFERROR(__xludf.DUMMYFUNCTION("""COMPUTED_VALUE"""),"S147")</f>
        <v>S147</v>
      </c>
      <c r="D288" s="7" t="str">
        <f>IFERROR(__xludf.DUMMYFUNCTION("""COMPUTED_VALUE"""),"Feature Engineering, Selection &amp; Dimensionality Reduction (PCA)")</f>
        <v>Feature Engineering, Selection &amp; Dimensionality Reduction (PCA)</v>
      </c>
    </row>
    <row r="289">
      <c r="A289" s="7" t="str">
        <f>IFERROR(__xludf.DUMMYFUNCTION("""COMPUTED_VALUE"""),"R07")</f>
        <v>R07</v>
      </c>
      <c r="B289" s="7" t="str">
        <f>IFERROR(__xludf.DUMMYFUNCTION("""COMPUTED_VALUE"""),"Machine Learning Engineer")</f>
        <v>Machine Learning Engineer</v>
      </c>
      <c r="C289" s="7" t="str">
        <f>IFERROR(__xludf.DUMMYFUNCTION("""COMPUTED_VALUE"""),"S148")</f>
        <v>S148</v>
      </c>
      <c r="D289" s="7" t="str">
        <f>IFERROR(__xludf.DUMMYFUNCTION("""COMPUTED_VALUE"""),"Supervised Machine Learning (Regression, Classification, SVM)")</f>
        <v>Supervised Machine Learning (Regression, Classification, SVM)</v>
      </c>
    </row>
    <row r="290">
      <c r="A290" s="7" t="str">
        <f>IFERROR(__xludf.DUMMYFUNCTION("""COMPUTED_VALUE"""),"R07")</f>
        <v>R07</v>
      </c>
      <c r="B290" s="7" t="str">
        <f>IFERROR(__xludf.DUMMYFUNCTION("""COMPUTED_VALUE"""),"Machine Learning Engineer")</f>
        <v>Machine Learning Engineer</v>
      </c>
      <c r="C290" s="7" t="str">
        <f>IFERROR(__xludf.DUMMYFUNCTION("""COMPUTED_VALUE"""),"S149")</f>
        <v>S149</v>
      </c>
      <c r="D290" s="7" t="str">
        <f>IFERROR(__xludf.DUMMYFUNCTION("""COMPUTED_VALUE"""),"Ensemble Methods (Random Forests, XGBoost, LightGBM)")</f>
        <v>Ensemble Methods (Random Forests, XGBoost, LightGBM)</v>
      </c>
    </row>
    <row r="291">
      <c r="A291" s="7" t="str">
        <f>IFERROR(__xludf.DUMMYFUNCTION("""COMPUTED_VALUE"""),"R07")</f>
        <v>R07</v>
      </c>
      <c r="B291" s="7" t="str">
        <f>IFERROR(__xludf.DUMMYFUNCTION("""COMPUTED_VALUE"""),"Machine Learning Engineer")</f>
        <v>Machine Learning Engineer</v>
      </c>
      <c r="C291" s="7" t="str">
        <f>IFERROR(__xludf.DUMMYFUNCTION("""COMPUTED_VALUE"""),"S150")</f>
        <v>S150</v>
      </c>
      <c r="D291" s="7" t="str">
        <f>IFERROR(__xludf.DUMMYFUNCTION("""COMPUTED_VALUE"""),"Unsupervised Learning (K-Means, Hierarchical Clustering, Anomaly Detection)")</f>
        <v>Unsupervised Learning (K-Means, Hierarchical Clustering, Anomaly Detection)</v>
      </c>
    </row>
    <row r="292">
      <c r="A292" s="7" t="str">
        <f>IFERROR(__xludf.DUMMYFUNCTION("""COMPUTED_VALUE"""),"R07")</f>
        <v>R07</v>
      </c>
      <c r="B292" s="7" t="str">
        <f>IFERROR(__xludf.DUMMYFUNCTION("""COMPUTED_VALUE"""),"Machine Learning Engineer")</f>
        <v>Machine Learning Engineer</v>
      </c>
      <c r="C292" s="7" t="str">
        <f>IFERROR(__xludf.DUMMYFUNCTION("""COMPUTED_VALUE"""),"S151")</f>
        <v>S151</v>
      </c>
      <c r="D292" s="7" t="str">
        <f>IFERROR(__xludf.DUMMYFUNCTION("""COMPUTED_VALUE"""),"Model Evaluation Metrics, Cross-Validation &amp; Hyperparameter Tuning")</f>
        <v>Model Evaluation Metrics, Cross-Validation &amp; Hyperparameter Tuning</v>
      </c>
    </row>
    <row r="293">
      <c r="A293" s="7" t="str">
        <f>IFERROR(__xludf.DUMMYFUNCTION("""COMPUTED_VALUE"""),"R07")</f>
        <v>R07</v>
      </c>
      <c r="B293" s="7" t="str">
        <f>IFERROR(__xludf.DUMMYFUNCTION("""COMPUTED_VALUE"""),"Machine Learning Engineer")</f>
        <v>Machine Learning Engineer</v>
      </c>
      <c r="C293" s="7" t="str">
        <f>IFERROR(__xludf.DUMMYFUNCTION("""COMPUTED_VALUE"""),"S154")</f>
        <v>S154</v>
      </c>
      <c r="D293" s="7" t="str">
        <f>IFERROR(__xludf.DUMMYFUNCTION("""COMPUTED_VALUE"""),"Neural Networks &amp; Deep Learning Fundamentals")</f>
        <v>Neural Networks &amp; Deep Learning Fundamentals</v>
      </c>
    </row>
    <row r="294">
      <c r="A294" s="7" t="str">
        <f>IFERROR(__xludf.DUMMYFUNCTION("""COMPUTED_VALUE"""),"R07")</f>
        <v>R07</v>
      </c>
      <c r="B294" s="7" t="str">
        <f>IFERROR(__xludf.DUMMYFUNCTION("""COMPUTED_VALUE"""),"Machine Learning Engineer")</f>
        <v>Machine Learning Engineer</v>
      </c>
      <c r="C294" s="7" t="str">
        <f>IFERROR(__xludf.DUMMYFUNCTION("""COMPUTED_VALUE"""),"S155")</f>
        <v>S155</v>
      </c>
      <c r="D294" s="7" t="str">
        <f>IFERROR(__xludf.DUMMYFUNCTION("""COMPUTED_VALUE"""),"Deep Learning with PyTorch")</f>
        <v>Deep Learning with PyTorch</v>
      </c>
    </row>
    <row r="295">
      <c r="A295" s="7" t="str">
        <f>IFERROR(__xludf.DUMMYFUNCTION("""COMPUTED_VALUE"""),"R07")</f>
        <v>R07</v>
      </c>
      <c r="B295" s="7" t="str">
        <f>IFERROR(__xludf.DUMMYFUNCTION("""COMPUTED_VALUE"""),"Machine Learning Engineer")</f>
        <v>Machine Learning Engineer</v>
      </c>
      <c r="C295" s="7" t="str">
        <f>IFERROR(__xludf.DUMMYFUNCTION("""COMPUTED_VALUE"""),"S156")</f>
        <v>S156</v>
      </c>
      <c r="D295" s="7" t="str">
        <f>IFERROR(__xludf.DUMMYFUNCTION("""COMPUTED_VALUE"""),"Deep Learning with TensorFlow &amp; Keras")</f>
        <v>Deep Learning with TensorFlow &amp; Keras</v>
      </c>
    </row>
    <row r="296">
      <c r="A296" s="7" t="str">
        <f>IFERROR(__xludf.DUMMYFUNCTION("""COMPUTED_VALUE"""),"R07")</f>
        <v>R07</v>
      </c>
      <c r="B296" s="7" t="str">
        <f>IFERROR(__xludf.DUMMYFUNCTION("""COMPUTED_VALUE"""),"Machine Learning Engineer")</f>
        <v>Machine Learning Engineer</v>
      </c>
      <c r="C296" s="7" t="str">
        <f>IFERROR(__xludf.DUMMYFUNCTION("""COMPUTED_VALUE"""),"S158")</f>
        <v>S158</v>
      </c>
      <c r="D296" s="7" t="str">
        <f>IFERROR(__xludf.DUMMYFUNCTION("""COMPUTED_VALUE"""),"Transformer Architecture &amp; Attention Mechanisms (Hugging Face)")</f>
        <v>Transformer Architecture &amp; Attention Mechanisms (Hugging Face)</v>
      </c>
    </row>
    <row r="297">
      <c r="A297" s="7" t="str">
        <f>IFERROR(__xludf.DUMMYFUNCTION("""COMPUTED_VALUE"""),"R07")</f>
        <v>R07</v>
      </c>
      <c r="B297" s="7" t="str">
        <f>IFERROR(__xludf.DUMMYFUNCTION("""COMPUTED_VALUE"""),"Machine Learning Engineer")</f>
        <v>Machine Learning Engineer</v>
      </c>
      <c r="C297" s="7" t="str">
        <f>IFERROR(__xludf.DUMMYFUNCTION("""COMPUTED_VALUE"""),"S165")</f>
        <v>S165</v>
      </c>
      <c r="D297" s="7" t="str">
        <f>IFERROR(__xludf.DUMMYFUNCTION("""COMPUTED_VALUE"""),"MLOps &amp; Experiment Tracking (MLflow, Weights &amp; Biases, Kubeflow)")</f>
        <v>MLOps &amp; Experiment Tracking (MLflow, Weights &amp; Biases, Kubeflow)</v>
      </c>
    </row>
    <row r="298">
      <c r="A298" s="7" t="str">
        <f>IFERROR(__xludf.DUMMYFUNCTION("""COMPUTED_VALUE"""),"R07")</f>
        <v>R07</v>
      </c>
      <c r="B298" s="7" t="str">
        <f>IFERROR(__xludf.DUMMYFUNCTION("""COMPUTED_VALUE"""),"Machine Learning Engineer")</f>
        <v>Machine Learning Engineer</v>
      </c>
      <c r="C298" s="7" t="str">
        <f>IFERROR(__xludf.DUMMYFUNCTION("""COMPUTED_VALUE"""),"S166")</f>
        <v>S166</v>
      </c>
      <c r="D298" s="7" t="str">
        <f>IFERROR(__xludf.DUMMYFUNCTION("""COMPUTED_VALUE"""),"Model Serving &amp; Inference Optimization (ONNX, TensorRT, Triton, BentoML)")</f>
        <v>Model Serving &amp; Inference Optimization (ONNX, TensorRT, Triton, BentoML)</v>
      </c>
    </row>
    <row r="299">
      <c r="A299" s="7" t="str">
        <f>IFERROR(__xludf.DUMMYFUNCTION("""COMPUTED_VALUE"""),"R07")</f>
        <v>R07</v>
      </c>
      <c r="B299" s="7" t="str">
        <f>IFERROR(__xludf.DUMMYFUNCTION("""COMPUTED_VALUE"""),"Machine Learning Engineer")</f>
        <v>Machine Learning Engineer</v>
      </c>
      <c r="C299" s="7" t="str">
        <f>IFERROR(__xludf.DUMMYFUNCTION("""COMPUTED_VALUE"""),"S171")</f>
        <v>S171</v>
      </c>
      <c r="D299" s="7" t="str">
        <f>IFERROR(__xludf.DUMMYFUNCTION("""COMPUTED_VALUE"""),"Containerization with Docker")</f>
        <v>Containerization with Docker</v>
      </c>
    </row>
    <row r="300">
      <c r="A300" s="7" t="str">
        <f>IFERROR(__xludf.DUMMYFUNCTION("""COMPUTED_VALUE"""),"R07")</f>
        <v>R07</v>
      </c>
      <c r="B300" s="7" t="str">
        <f>IFERROR(__xludf.DUMMYFUNCTION("""COMPUTED_VALUE"""),"Machine Learning Engineer")</f>
        <v>Machine Learning Engineer</v>
      </c>
      <c r="C300" s="7" t="str">
        <f>IFERROR(__xludf.DUMMYFUNCTION("""COMPUTED_VALUE"""),"S172")</f>
        <v>S172</v>
      </c>
      <c r="D300" s="7" t="str">
        <f>IFERROR(__xludf.DUMMYFUNCTION("""COMPUTED_VALUE"""),"Kubernetes Cluster Orchestration (K8s)")</f>
        <v>Kubernetes Cluster Orchestration (K8s)</v>
      </c>
    </row>
    <row r="301">
      <c r="A301" s="7" t="str">
        <f>IFERROR(__xludf.DUMMYFUNCTION("""COMPUTED_VALUE"""),"R07")</f>
        <v>R07</v>
      </c>
      <c r="B301" s="7" t="str">
        <f>IFERROR(__xludf.DUMMYFUNCTION("""COMPUTED_VALUE"""),"Machine Learning Engineer")</f>
        <v>Machine Learning Engineer</v>
      </c>
      <c r="C301" s="7" t="str">
        <f>IFERROR(__xludf.DUMMYFUNCTION("""COMPUTED_VALUE"""),"S174")</f>
        <v>S174</v>
      </c>
      <c r="D301" s="7" t="str">
        <f>IFERROR(__xludf.DUMMYFUNCTION("""COMPUTED_VALUE"""),"Amazon Web Services Core (EC2, S3, RDS, IAM, VPC)")</f>
        <v>Amazon Web Services Core (EC2, S3, RDS, IAM, VPC)</v>
      </c>
    </row>
    <row r="302">
      <c r="A302" s="7" t="str">
        <f>IFERROR(__xludf.DUMMYFUNCTION("""COMPUTED_VALUE"""),"R07")</f>
        <v>R07</v>
      </c>
      <c r="B302" s="7" t="str">
        <f>IFERROR(__xludf.DUMMYFUNCTION("""COMPUTED_VALUE"""),"Machine Learning Engineer")</f>
        <v>Machine Learning Engineer</v>
      </c>
      <c r="C302" s="7" t="str">
        <f>IFERROR(__xludf.DUMMYFUNCTION("""COMPUTED_VALUE"""),"S180")</f>
        <v>S180</v>
      </c>
      <c r="D302" s="7" t="str">
        <f>IFERROR(__xludf.DUMMYFUNCTION("""COMPUTED_VALUE"""),"CI/CD Pipelines with GitHub Actions")</f>
        <v>CI/CD Pipelines with GitHub Actions</v>
      </c>
    </row>
    <row r="303">
      <c r="A303" s="7" t="str">
        <f>IFERROR(__xludf.DUMMYFUNCTION("""COMPUTED_VALUE"""),"R07")</f>
        <v>R07</v>
      </c>
      <c r="B303" s="7" t="str">
        <f>IFERROR(__xludf.DUMMYFUNCTION("""COMPUTED_VALUE"""),"Machine Learning Engineer")</f>
        <v>Machine Learning Engineer</v>
      </c>
      <c r="C303" s="7" t="str">
        <f>IFERROR(__xludf.DUMMYFUNCTION("""COMPUTED_VALUE"""),"S246")</f>
        <v>S246</v>
      </c>
      <c r="D303" s="7" t="str">
        <f>IFERROR(__xludf.DUMMYFUNCTION("""COMPUTED_VALUE"""),"Agile Methodologies, Scrum Framework &amp; Kanban")</f>
        <v>Agile Methodologies, Scrum Framework &amp; Kanban</v>
      </c>
    </row>
    <row r="304">
      <c r="A304" s="7" t="str">
        <f>IFERROR(__xludf.DUMMYFUNCTION("""COMPUTED_VALUE"""),"R07")</f>
        <v>R07</v>
      </c>
      <c r="B304" s="7" t="str">
        <f>IFERROR(__xludf.DUMMYFUNCTION("""COMPUTED_VALUE"""),"Machine Learning Engineer")</f>
        <v>Machine Learning Engineer</v>
      </c>
      <c r="C304" s="7" t="str">
        <f>IFERROR(__xludf.DUMMYFUNCTION("""COMPUTED_VALUE"""),"S247")</f>
        <v>S247</v>
      </c>
      <c r="D304" s="7" t="str">
        <f>IFERROR(__xludf.DUMMYFUNCTION("""COMPUTED_VALUE"""),"Project Tracking &amp; Documentation Tools (Jira, Confluence, Linear)")</f>
        <v>Project Tracking &amp; Documentation Tools (Jira, Confluence, Linear)</v>
      </c>
    </row>
    <row r="305">
      <c r="A305" s="7" t="str">
        <f>IFERROR(__xludf.DUMMYFUNCTION("""COMPUTED_VALUE"""),"R08")</f>
        <v>R08</v>
      </c>
      <c r="B305" s="7" t="str">
        <f>IFERROR(__xludf.DUMMYFUNCTION("""COMPUTED_VALUE"""),"Cloud Architect")</f>
        <v>Cloud Architect</v>
      </c>
      <c r="C305" s="7" t="str">
        <f>IFERROR(__xludf.DUMMYFUNCTION("""COMPUTED_VALUE"""),"S001")</f>
        <v>S001</v>
      </c>
      <c r="D305" s="7" t="str">
        <f>IFERROR(__xludf.DUMMYFUNCTION("""COMPUTED_VALUE"""),"Computer Architecture &amp; Organization")</f>
        <v>Computer Architecture &amp; Organization</v>
      </c>
    </row>
    <row r="306">
      <c r="A306" s="7" t="str">
        <f>IFERROR(__xludf.DUMMYFUNCTION("""COMPUTED_VALUE"""),"R08")</f>
        <v>R08</v>
      </c>
      <c r="B306" s="7" t="str">
        <f>IFERROR(__xludf.DUMMYFUNCTION("""COMPUTED_VALUE"""),"Cloud Architect")</f>
        <v>Cloud Architect</v>
      </c>
      <c r="C306" s="7" t="str">
        <f>IFERROR(__xludf.DUMMYFUNCTION("""COMPUTED_VALUE"""),"S002")</f>
        <v>S002</v>
      </c>
      <c r="D306" s="7" t="str">
        <f>IFERROR(__xludf.DUMMYFUNCTION("""COMPUTED_VALUE"""),"Operating Systems Concepts")</f>
        <v>Operating Systems Concepts</v>
      </c>
    </row>
    <row r="307">
      <c r="A307" s="7" t="str">
        <f>IFERROR(__xludf.DUMMYFUNCTION("""COMPUTED_VALUE"""),"R08")</f>
        <v>R08</v>
      </c>
      <c r="B307" s="7" t="str">
        <f>IFERROR(__xludf.DUMMYFUNCTION("""COMPUTED_VALUE"""),"Cloud Architect")</f>
        <v>Cloud Architect</v>
      </c>
      <c r="C307" s="7" t="str">
        <f>IFERROR(__xludf.DUMMYFUNCTION("""COMPUTED_VALUE"""),"S003")</f>
        <v>S003</v>
      </c>
      <c r="D307" s="7" t="str">
        <f>IFERROR(__xludf.DUMMYFUNCTION("""COMPUTED_VALUE"""),"Process &amp; Thread Management")</f>
        <v>Process &amp; Thread Management</v>
      </c>
    </row>
    <row r="308">
      <c r="A308" s="7" t="str">
        <f>IFERROR(__xludf.DUMMYFUNCTION("""COMPUTED_VALUE"""),"R08")</f>
        <v>R08</v>
      </c>
      <c r="B308" s="7" t="str">
        <f>IFERROR(__xludf.DUMMYFUNCTION("""COMPUTED_VALUE"""),"Cloud Architect")</f>
        <v>Cloud Architect</v>
      </c>
      <c r="C308" s="7" t="str">
        <f>IFERROR(__xludf.DUMMYFUNCTION("""COMPUTED_VALUE"""),"S004")</f>
        <v>S004</v>
      </c>
      <c r="D308" s="7" t="str">
        <f>IFERROR(__xludf.DUMMYFUNCTION("""COMPUTED_VALUE"""),"Memory Management &amp; Paging")</f>
        <v>Memory Management &amp; Paging</v>
      </c>
    </row>
    <row r="309">
      <c r="A309" s="7" t="str">
        <f>IFERROR(__xludf.DUMMYFUNCTION("""COMPUTED_VALUE"""),"R08")</f>
        <v>R08</v>
      </c>
      <c r="B309" s="7" t="str">
        <f>IFERROR(__xludf.DUMMYFUNCTION("""COMPUTED_VALUE"""),"Cloud Architect")</f>
        <v>Cloud Architect</v>
      </c>
      <c r="C309" s="7" t="str">
        <f>IFERROR(__xludf.DUMMYFUNCTION("""COMPUTED_VALUE"""),"S005")</f>
        <v>S005</v>
      </c>
      <c r="D309" s="7" t="str">
        <f>IFERROR(__xludf.DUMMYFUNCTION("""COMPUTED_VALUE"""),"File Systems &amp; Storage I/O")</f>
        <v>File Systems &amp; Storage I/O</v>
      </c>
    </row>
    <row r="310">
      <c r="A310" s="7" t="str">
        <f>IFERROR(__xludf.DUMMYFUNCTION("""COMPUTED_VALUE"""),"R08")</f>
        <v>R08</v>
      </c>
      <c r="B310" s="7" t="str">
        <f>IFERROR(__xludf.DUMMYFUNCTION("""COMPUTED_VALUE"""),"Cloud Architect")</f>
        <v>Cloud Architect</v>
      </c>
      <c r="C310" s="7" t="str">
        <f>IFERROR(__xludf.DUMMYFUNCTION("""COMPUTED_VALUE"""),"S017")</f>
        <v>S017</v>
      </c>
      <c r="D310" s="7" t="str">
        <f>IFERROR(__xludf.DUMMYFUNCTION("""COMPUTED_VALUE"""),"Git Version Control Fundamentals")</f>
        <v>Git Version Control Fundamentals</v>
      </c>
    </row>
    <row r="311">
      <c r="A311" s="7" t="str">
        <f>IFERROR(__xludf.DUMMYFUNCTION("""COMPUTED_VALUE"""),"R08")</f>
        <v>R08</v>
      </c>
      <c r="B311" s="7" t="str">
        <f>IFERROR(__xludf.DUMMYFUNCTION("""COMPUTED_VALUE"""),"Cloud Architect")</f>
        <v>Cloud Architect</v>
      </c>
      <c r="C311" s="7" t="str">
        <f>IFERROR(__xludf.DUMMYFUNCTION("""COMPUTED_VALUE"""),"S018")</f>
        <v>S018</v>
      </c>
      <c r="D311" s="7" t="str">
        <f>IFERROR(__xludf.DUMMYFUNCTION("""COMPUTED_VALUE"""),"GitHub / GitLab Workflows &amp; Pull Requests")</f>
        <v>GitHub / GitLab Workflows &amp; Pull Requests</v>
      </c>
    </row>
    <row r="312">
      <c r="A312" s="7" t="str">
        <f>IFERROR(__xludf.DUMMYFUNCTION("""COMPUTED_VALUE"""),"R08")</f>
        <v>R08</v>
      </c>
      <c r="B312" s="7" t="str">
        <f>IFERROR(__xludf.DUMMYFUNCTION("""COMPUTED_VALUE"""),"Cloud Architect")</f>
        <v>Cloud Architect</v>
      </c>
      <c r="C312" s="7" t="str">
        <f>IFERROR(__xludf.DUMMYFUNCTION("""COMPUTED_VALUE"""),"S019")</f>
        <v>S019</v>
      </c>
      <c r="D312" s="7" t="str">
        <f>IFERROR(__xludf.DUMMYFUNCTION("""COMPUTED_VALUE"""),"Linux Command Line &amp; File Permissions")</f>
        <v>Linux Command Line &amp; File Permissions</v>
      </c>
    </row>
    <row r="313">
      <c r="A313" s="7" t="str">
        <f>IFERROR(__xludf.DUMMYFUNCTION("""COMPUTED_VALUE"""),"R08")</f>
        <v>R08</v>
      </c>
      <c r="B313" s="7" t="str">
        <f>IFERROR(__xludf.DUMMYFUNCTION("""COMPUTED_VALUE"""),"Cloud Architect")</f>
        <v>Cloud Architect</v>
      </c>
      <c r="C313" s="7" t="str">
        <f>IFERROR(__xludf.DUMMYFUNCTION("""COMPUTED_VALUE"""),"S020")</f>
        <v>S020</v>
      </c>
      <c r="D313" s="7" t="str">
        <f>IFERROR(__xludf.DUMMYFUNCTION("""COMPUTED_VALUE"""),"Bash &amp; Shell Scripting")</f>
        <v>Bash &amp; Shell Scripting</v>
      </c>
    </row>
    <row r="314">
      <c r="A314" s="7" t="str">
        <f>IFERROR(__xludf.DUMMYFUNCTION("""COMPUTED_VALUE"""),"R08")</f>
        <v>R08</v>
      </c>
      <c r="B314" s="7" t="str">
        <f>IFERROR(__xludf.DUMMYFUNCTION("""COMPUTED_VALUE"""),"Cloud Architect")</f>
        <v>Cloud Architect</v>
      </c>
      <c r="C314" s="7" t="str">
        <f>IFERROR(__xludf.DUMMYFUNCTION("""COMPUTED_VALUE"""),"S022")</f>
        <v>S022</v>
      </c>
      <c r="D314" s="7" t="str">
        <f>IFERROR(__xludf.DUMMYFUNCTION("""COMPUTED_VALUE"""),"Computer Networking &amp; OSI Model")</f>
        <v>Computer Networking &amp; OSI Model</v>
      </c>
    </row>
    <row r="315">
      <c r="A315" s="7" t="str">
        <f>IFERROR(__xludf.DUMMYFUNCTION("""COMPUTED_VALUE"""),"R08")</f>
        <v>R08</v>
      </c>
      <c r="B315" s="7" t="str">
        <f>IFERROR(__xludf.DUMMYFUNCTION("""COMPUTED_VALUE"""),"Cloud Architect")</f>
        <v>Cloud Architect</v>
      </c>
      <c r="C315" s="7" t="str">
        <f>IFERROR(__xludf.DUMMYFUNCTION("""COMPUTED_VALUE"""),"S023")</f>
        <v>S023</v>
      </c>
      <c r="D315" s="7" t="str">
        <f>IFERROR(__xludf.DUMMYFUNCTION("""COMPUTED_VALUE"""),"HTTP/HTTPS Protocols &amp; Status Codes")</f>
        <v>HTTP/HTTPS Protocols &amp; Status Codes</v>
      </c>
    </row>
    <row r="316">
      <c r="A316" s="7" t="str">
        <f>IFERROR(__xludf.DUMMYFUNCTION("""COMPUTED_VALUE"""),"R08")</f>
        <v>R08</v>
      </c>
      <c r="B316" s="7" t="str">
        <f>IFERROR(__xludf.DUMMYFUNCTION("""COMPUTED_VALUE"""),"Cloud Architect")</f>
        <v>Cloud Architect</v>
      </c>
      <c r="C316" s="7" t="str">
        <f>IFERROR(__xludf.DUMMYFUNCTION("""COMPUTED_VALUE"""),"S024")</f>
        <v>S024</v>
      </c>
      <c r="D316" s="7" t="str">
        <f>IFERROR(__xludf.DUMMYFUNCTION("""COMPUTED_VALUE"""),"DNS, Domain Routing &amp; SSL/TLS")</f>
        <v>DNS, Domain Routing &amp; SSL/TLS</v>
      </c>
    </row>
    <row r="317">
      <c r="A317" s="7" t="str">
        <f>IFERROR(__xludf.DUMMYFUNCTION("""COMPUTED_VALUE"""),"R08")</f>
        <v>R08</v>
      </c>
      <c r="B317" s="7" t="str">
        <f>IFERROR(__xludf.DUMMYFUNCTION("""COMPUTED_VALUE"""),"Cloud Architect")</f>
        <v>Cloud Architect</v>
      </c>
      <c r="C317" s="7" t="str">
        <f>IFERROR(__xludf.DUMMYFUNCTION("""COMPUTED_VALUE"""),"S026")</f>
        <v>S026</v>
      </c>
      <c r="D317" s="7" t="str">
        <f>IFERROR(__xludf.DUMMYFUNCTION("""COMPUTED_VALUE"""),"Data Serialization (JSON, XML, YAML, Protobuf)")</f>
        <v>Data Serialization (JSON, XML, YAML, Protobuf)</v>
      </c>
    </row>
    <row r="318">
      <c r="A318" s="7" t="str">
        <f>IFERROR(__xludf.DUMMYFUNCTION("""COMPUTED_VALUE"""),"R08")</f>
        <v>R08</v>
      </c>
      <c r="B318" s="7" t="str">
        <f>IFERROR(__xludf.DUMMYFUNCTION("""COMPUTED_VALUE"""),"Cloud Architect")</f>
        <v>Cloud Architect</v>
      </c>
      <c r="C318" s="7" t="str">
        <f>IFERROR(__xludf.DUMMYFUNCTION("""COMPUTED_VALUE"""),"S028")</f>
        <v>S028</v>
      </c>
      <c r="D318" s="7" t="str">
        <f>IFERROR(__xludf.DUMMYFUNCTION("""COMPUTED_VALUE"""),"Technical Writing &amp; Markdown Documentation")</f>
        <v>Technical Writing &amp; Markdown Documentation</v>
      </c>
    </row>
    <row r="319">
      <c r="A319" s="7" t="str">
        <f>IFERROR(__xludf.DUMMYFUNCTION("""COMPUTED_VALUE"""),"R08")</f>
        <v>R08</v>
      </c>
      <c r="B319" s="7" t="str">
        <f>IFERROR(__xludf.DUMMYFUNCTION("""COMPUTED_VALUE"""),"Cloud Architect")</f>
        <v>Cloud Architect</v>
      </c>
      <c r="C319" s="7" t="str">
        <f>IFERROR(__xludf.DUMMYFUNCTION("""COMPUTED_VALUE"""),"S068")</f>
        <v>S068</v>
      </c>
      <c r="D319" s="7" t="str">
        <f>IFERROR(__xludf.DUMMYFUNCTION("""COMPUTED_VALUE"""),"Python Programming Fundamentals")</f>
        <v>Python Programming Fundamentals</v>
      </c>
    </row>
    <row r="320">
      <c r="A320" s="7" t="str">
        <f>IFERROR(__xludf.DUMMYFUNCTION("""COMPUTED_VALUE"""),"R08")</f>
        <v>R08</v>
      </c>
      <c r="B320" s="7" t="str">
        <f>IFERROR(__xludf.DUMMYFUNCTION("""COMPUTED_VALUE"""),"Cloud Architect")</f>
        <v>Cloud Architect</v>
      </c>
      <c r="C320" s="7" t="str">
        <f>IFERROR(__xludf.DUMMYFUNCTION("""COMPUTED_VALUE"""),"S077")</f>
        <v>S077</v>
      </c>
      <c r="D320" s="7" t="str">
        <f>IFERROR(__xludf.DUMMYFUNCTION("""COMPUTED_VALUE"""),"Go (Golang) Programming")</f>
        <v>Go (Golang) Programming</v>
      </c>
    </row>
    <row r="321">
      <c r="A321" s="7" t="str">
        <f>IFERROR(__xludf.DUMMYFUNCTION("""COMPUTED_VALUE"""),"R08")</f>
        <v>R08</v>
      </c>
      <c r="B321" s="7" t="str">
        <f>IFERROR(__xludf.DUMMYFUNCTION("""COMPUTED_VALUE"""),"Cloud Architect")</f>
        <v>Cloud Architect</v>
      </c>
      <c r="C321" s="7" t="str">
        <f>IFERROR(__xludf.DUMMYFUNCTION("""COMPUTED_VALUE"""),"S086")</f>
        <v>S086</v>
      </c>
      <c r="D321" s="7" t="str">
        <f>IFERROR(__xludf.DUMMYFUNCTION("""COMPUTED_VALUE"""),"RESTful API Design &amp; OpenAPI/Swagger")</f>
        <v>RESTful API Design &amp; OpenAPI/Swagger</v>
      </c>
    </row>
    <row r="322">
      <c r="A322" s="7" t="str">
        <f>IFERROR(__xludf.DUMMYFUNCTION("""COMPUTED_VALUE"""),"R08")</f>
        <v>R08</v>
      </c>
      <c r="B322" s="7" t="str">
        <f>IFERROR(__xludf.DUMMYFUNCTION("""COMPUTED_VALUE"""),"Cloud Architect")</f>
        <v>Cloud Architect</v>
      </c>
      <c r="C322" s="7" t="str">
        <f>IFERROR(__xludf.DUMMYFUNCTION("""COMPUTED_VALUE"""),"S094")</f>
        <v>S094</v>
      </c>
      <c r="D322" s="7" t="str">
        <f>IFERROR(__xludf.DUMMYFUNCTION("""COMPUTED_VALUE"""),"API Gateways, Rate Limiting &amp; Throttling (Kong, Envoy)")</f>
        <v>API Gateways, Rate Limiting &amp; Throttling (Kong, Envoy)</v>
      </c>
    </row>
    <row r="323">
      <c r="A323" s="7" t="str">
        <f>IFERROR(__xludf.DUMMYFUNCTION("""COMPUTED_VALUE"""),"R08")</f>
        <v>R08</v>
      </c>
      <c r="B323" s="7" t="str">
        <f>IFERROR(__xludf.DUMMYFUNCTION("""COMPUTED_VALUE"""),"Cloud Architect")</f>
        <v>Cloud Architect</v>
      </c>
      <c r="C323" s="7" t="str">
        <f>IFERROR(__xludf.DUMMYFUNCTION("""COMPUTED_VALUE"""),"S095")</f>
        <v>S095</v>
      </c>
      <c r="D323" s="7" t="str">
        <f>IFERROR(__xludf.DUMMYFUNCTION("""COMPUTED_VALUE"""),"Microservices Architecture &amp; Service Mesh")</f>
        <v>Microservices Architecture &amp; Service Mesh</v>
      </c>
    </row>
    <row r="324">
      <c r="A324" s="7" t="str">
        <f>IFERROR(__xludf.DUMMYFUNCTION("""COMPUTED_VALUE"""),"R08")</f>
        <v>R08</v>
      </c>
      <c r="B324" s="7" t="str">
        <f>IFERROR(__xludf.DUMMYFUNCTION("""COMPUTED_VALUE"""),"Cloud Architect")</f>
        <v>Cloud Architect</v>
      </c>
      <c r="C324" s="7" t="str">
        <f>IFERROR(__xludf.DUMMYFUNCTION("""COMPUTED_VALUE"""),"S096")</f>
        <v>S096</v>
      </c>
      <c r="D324" s="7" t="str">
        <f>IFERROR(__xludf.DUMMYFUNCTION("""COMPUTED_VALUE"""),"Event-Driven Architecture &amp; Pub/Sub Patterns")</f>
        <v>Event-Driven Architecture &amp; Pub/Sub Patterns</v>
      </c>
    </row>
    <row r="325">
      <c r="A325" s="7" t="str">
        <f>IFERROR(__xludf.DUMMYFUNCTION("""COMPUTED_VALUE"""),"R08")</f>
        <v>R08</v>
      </c>
      <c r="B325" s="7" t="str">
        <f>IFERROR(__xludf.DUMMYFUNCTION("""COMPUTED_VALUE"""),"Cloud Architect")</f>
        <v>Cloud Architect</v>
      </c>
      <c r="C325" s="7" t="str">
        <f>IFERROR(__xludf.DUMMYFUNCTION("""COMPUTED_VALUE"""),"S098")</f>
        <v>S098</v>
      </c>
      <c r="D325" s="7" t="str">
        <f>IFERROR(__xludf.DUMMYFUNCTION("""COMPUTED_VALUE"""),"Distributed Event Streaming (Apache Kafka)")</f>
        <v>Distributed Event Streaming (Apache Kafka)</v>
      </c>
    </row>
    <row r="326">
      <c r="A326" s="7" t="str">
        <f>IFERROR(__xludf.DUMMYFUNCTION("""COMPUTED_VALUE"""),"R08")</f>
        <v>R08</v>
      </c>
      <c r="B326" s="7" t="str">
        <f>IFERROR(__xludf.DUMMYFUNCTION("""COMPUTED_VALUE"""),"Cloud Architect")</f>
        <v>Cloud Architect</v>
      </c>
      <c r="C326" s="7" t="str">
        <f>IFERROR(__xludf.DUMMYFUNCTION("""COMPUTED_VALUE"""),"S109")</f>
        <v>S109</v>
      </c>
      <c r="D326" s="7" t="str">
        <f>IFERROR(__xludf.DUMMYFUNCTION("""COMPUTED_VALUE"""),"PostgreSQL Administration &amp; Development")</f>
        <v>PostgreSQL Administration &amp; Development</v>
      </c>
    </row>
    <row r="327">
      <c r="A327" s="7" t="str">
        <f>IFERROR(__xludf.DUMMYFUNCTION("""COMPUTED_VALUE"""),"R08")</f>
        <v>R08</v>
      </c>
      <c r="B327" s="7" t="str">
        <f>IFERROR(__xludf.DUMMYFUNCTION("""COMPUTED_VALUE"""),"Cloud Architect")</f>
        <v>Cloud Architect</v>
      </c>
      <c r="C327" s="7" t="str">
        <f>IFERROR(__xludf.DUMMYFUNCTION("""COMPUTED_VALUE"""),"S116")</f>
        <v>S116</v>
      </c>
      <c r="D327" s="7" t="str">
        <f>IFERROR(__xludf.DUMMYFUNCTION("""COMPUTED_VALUE"""),"Database Replication, Sharding &amp; Partitioning")</f>
        <v>Database Replication, Sharding &amp; Partitioning</v>
      </c>
    </row>
    <row r="328">
      <c r="A328" s="7" t="str">
        <f>IFERROR(__xludf.DUMMYFUNCTION("""COMPUTED_VALUE"""),"R08")</f>
        <v>R08</v>
      </c>
      <c r="B328" s="7" t="str">
        <f>IFERROR(__xludf.DUMMYFUNCTION("""COMPUTED_VALUE"""),"Cloud Architect")</f>
        <v>Cloud Architect</v>
      </c>
      <c r="C328" s="7" t="str">
        <f>IFERROR(__xludf.DUMMYFUNCTION("""COMPUTED_VALUE"""),"S117")</f>
        <v>S117</v>
      </c>
      <c r="D328" s="7" t="str">
        <f>IFERROR(__xludf.DUMMYFUNCTION("""COMPUTED_VALUE"""),"Database Backup, Point-in-Time Recovery &amp; Migration")</f>
        <v>Database Backup, Point-in-Time Recovery &amp; Migration</v>
      </c>
    </row>
    <row r="329">
      <c r="A329" s="7" t="str">
        <f>IFERROR(__xludf.DUMMYFUNCTION("""COMPUTED_VALUE"""),"R08")</f>
        <v>R08</v>
      </c>
      <c r="B329" s="7" t="str">
        <f>IFERROR(__xludf.DUMMYFUNCTION("""COMPUTED_VALUE"""),"Cloud Architect")</f>
        <v>Cloud Architect</v>
      </c>
      <c r="C329" s="7" t="str">
        <f>IFERROR(__xludf.DUMMYFUNCTION("""COMPUTED_VALUE"""),"S120")</f>
        <v>S120</v>
      </c>
      <c r="D329" s="7" t="str">
        <f>IFERROR(__xludf.DUMMYFUNCTION("""COMPUTED_VALUE"""),"Key-Value Stores &amp; In-Memory DBs (Redis, Memcached)")</f>
        <v>Key-Value Stores &amp; In-Memory DBs (Redis, Memcached)</v>
      </c>
    </row>
    <row r="330">
      <c r="A330" s="7" t="str">
        <f>IFERROR(__xludf.DUMMYFUNCTION("""COMPUTED_VALUE"""),"R08")</f>
        <v>R08</v>
      </c>
      <c r="B330" s="7" t="str">
        <f>IFERROR(__xludf.DUMMYFUNCTION("""COMPUTED_VALUE"""),"Cloud Architect")</f>
        <v>Cloud Architect</v>
      </c>
      <c r="C330" s="7" t="str">
        <f>IFERROR(__xludf.DUMMYFUNCTION("""COMPUTED_VALUE"""),"S122")</f>
        <v>S122</v>
      </c>
      <c r="D330" s="7" t="str">
        <f>IFERROR(__xludf.DUMMYFUNCTION("""COMPUTED_VALUE"""),"Cloud NoSQL Databases (AWS DynamoDB, Firestore)")</f>
        <v>Cloud NoSQL Databases (AWS DynamoDB, Firestore)</v>
      </c>
    </row>
    <row r="331">
      <c r="A331" s="7" t="str">
        <f>IFERROR(__xludf.DUMMYFUNCTION("""COMPUTED_VALUE"""),"R08")</f>
        <v>R08</v>
      </c>
      <c r="B331" s="7" t="str">
        <f>IFERROR(__xludf.DUMMYFUNCTION("""COMPUTED_VALUE"""),"Cloud Architect")</f>
        <v>Cloud Architect</v>
      </c>
      <c r="C331" s="7" t="str">
        <f>IFERROR(__xludf.DUMMYFUNCTION("""COMPUTED_VALUE"""),"S131")</f>
        <v>S131</v>
      </c>
      <c r="D331" s="7" t="str">
        <f>IFERROR(__xludf.DUMMYFUNCTION("""COMPUTED_VALUE"""),"Cloud Data Warehousing (Snowflake, Google BigQuery, AWS Redshift)")</f>
        <v>Cloud Data Warehousing (Snowflake, Google BigQuery, AWS Redshift)</v>
      </c>
    </row>
    <row r="332">
      <c r="A332" s="7" t="str">
        <f>IFERROR(__xludf.DUMMYFUNCTION("""COMPUTED_VALUE"""),"R08")</f>
        <v>R08</v>
      </c>
      <c r="B332" s="7" t="str">
        <f>IFERROR(__xludf.DUMMYFUNCTION("""COMPUTED_VALUE"""),"Cloud Architect")</f>
        <v>Cloud Architect</v>
      </c>
      <c r="C332" s="7" t="str">
        <f>IFERROR(__xludf.DUMMYFUNCTION("""COMPUTED_VALUE"""),"S171")</f>
        <v>S171</v>
      </c>
      <c r="D332" s="7" t="str">
        <f>IFERROR(__xludf.DUMMYFUNCTION("""COMPUTED_VALUE"""),"Containerization with Docker")</f>
        <v>Containerization with Docker</v>
      </c>
    </row>
    <row r="333">
      <c r="A333" s="7" t="str">
        <f>IFERROR(__xludf.DUMMYFUNCTION("""COMPUTED_VALUE"""),"R08")</f>
        <v>R08</v>
      </c>
      <c r="B333" s="7" t="str">
        <f>IFERROR(__xludf.DUMMYFUNCTION("""COMPUTED_VALUE"""),"Cloud Architect")</f>
        <v>Cloud Architect</v>
      </c>
      <c r="C333" s="7" t="str">
        <f>IFERROR(__xludf.DUMMYFUNCTION("""COMPUTED_VALUE"""),"S172")</f>
        <v>S172</v>
      </c>
      <c r="D333" s="7" t="str">
        <f>IFERROR(__xludf.DUMMYFUNCTION("""COMPUTED_VALUE"""),"Kubernetes Cluster Orchestration (K8s)")</f>
        <v>Kubernetes Cluster Orchestration (K8s)</v>
      </c>
    </row>
    <row r="334">
      <c r="A334" s="7" t="str">
        <f>IFERROR(__xludf.DUMMYFUNCTION("""COMPUTED_VALUE"""),"R08")</f>
        <v>R08</v>
      </c>
      <c r="B334" s="7" t="str">
        <f>IFERROR(__xludf.DUMMYFUNCTION("""COMPUTED_VALUE"""),"Cloud Architect")</f>
        <v>Cloud Architect</v>
      </c>
      <c r="C334" s="7" t="str">
        <f>IFERROR(__xludf.DUMMYFUNCTION("""COMPUTED_VALUE"""),"S173")</f>
        <v>S173</v>
      </c>
      <c r="D334" s="7" t="str">
        <f>IFERROR(__xludf.DUMMYFUNCTION("""COMPUTED_VALUE"""),"Kubernetes Package Management (Helm &amp; Kustomize)")</f>
        <v>Kubernetes Package Management (Helm &amp; Kustomize)</v>
      </c>
    </row>
    <row r="335">
      <c r="A335" s="7" t="str">
        <f>IFERROR(__xludf.DUMMYFUNCTION("""COMPUTED_VALUE"""),"R08")</f>
        <v>R08</v>
      </c>
      <c r="B335" s="7" t="str">
        <f>IFERROR(__xludf.DUMMYFUNCTION("""COMPUTED_VALUE"""),"Cloud Architect")</f>
        <v>Cloud Architect</v>
      </c>
      <c r="C335" s="7" t="str">
        <f>IFERROR(__xludf.DUMMYFUNCTION("""COMPUTED_VALUE"""),"S174")</f>
        <v>S174</v>
      </c>
      <c r="D335" s="7" t="str">
        <f>IFERROR(__xludf.DUMMYFUNCTION("""COMPUTED_VALUE"""),"Amazon Web Services Core (EC2, S3, RDS, IAM, VPC)")</f>
        <v>Amazon Web Services Core (EC2, S3, RDS, IAM, VPC)</v>
      </c>
    </row>
    <row r="336">
      <c r="A336" s="7" t="str">
        <f>IFERROR(__xludf.DUMMYFUNCTION("""COMPUTED_VALUE"""),"R08")</f>
        <v>R08</v>
      </c>
      <c r="B336" s="7" t="str">
        <f>IFERROR(__xludf.DUMMYFUNCTION("""COMPUTED_VALUE"""),"Cloud Architect")</f>
        <v>Cloud Architect</v>
      </c>
      <c r="C336" s="7" t="str">
        <f>IFERROR(__xludf.DUMMYFUNCTION("""COMPUTED_VALUE"""),"S175")</f>
        <v>S175</v>
      </c>
      <c r="D336" s="7" t="str">
        <f>IFERROR(__xludf.DUMMYFUNCTION("""COMPUTED_VALUE"""),"Microsoft Azure Cloud Services")</f>
        <v>Microsoft Azure Cloud Services</v>
      </c>
    </row>
    <row r="337">
      <c r="A337" s="7" t="str">
        <f>IFERROR(__xludf.DUMMYFUNCTION("""COMPUTED_VALUE"""),"R08")</f>
        <v>R08</v>
      </c>
      <c r="B337" s="7" t="str">
        <f>IFERROR(__xludf.DUMMYFUNCTION("""COMPUTED_VALUE"""),"Cloud Architect")</f>
        <v>Cloud Architect</v>
      </c>
      <c r="C337" s="7" t="str">
        <f>IFERROR(__xludf.DUMMYFUNCTION("""COMPUTED_VALUE"""),"S176")</f>
        <v>S176</v>
      </c>
      <c r="D337" s="7" t="str">
        <f>IFERROR(__xludf.DUMMYFUNCTION("""COMPUTED_VALUE"""),"Google Cloud Platform (GCP) Services")</f>
        <v>Google Cloud Platform (GCP) Services</v>
      </c>
    </row>
    <row r="338">
      <c r="A338" s="7" t="str">
        <f>IFERROR(__xludf.DUMMYFUNCTION("""COMPUTED_VALUE"""),"R08")</f>
        <v>R08</v>
      </c>
      <c r="B338" s="7" t="str">
        <f>IFERROR(__xludf.DUMMYFUNCTION("""COMPUTED_VALUE"""),"Cloud Architect")</f>
        <v>Cloud Architect</v>
      </c>
      <c r="C338" s="7" t="str">
        <f>IFERROR(__xludf.DUMMYFUNCTION("""COMPUTED_VALUE"""),"S177")</f>
        <v>S177</v>
      </c>
      <c r="D338" s="7" t="str">
        <f>IFERROR(__xludf.DUMMYFUNCTION("""COMPUTED_VALUE"""),"Serverless Computing (AWS Lambda, Cloud Functions)")</f>
        <v>Serverless Computing (AWS Lambda, Cloud Functions)</v>
      </c>
    </row>
    <row r="339">
      <c r="A339" s="7" t="str">
        <f>IFERROR(__xludf.DUMMYFUNCTION("""COMPUTED_VALUE"""),"R08")</f>
        <v>R08</v>
      </c>
      <c r="B339" s="7" t="str">
        <f>IFERROR(__xludf.DUMMYFUNCTION("""COMPUTED_VALUE"""),"Cloud Architect")</f>
        <v>Cloud Architect</v>
      </c>
      <c r="C339" s="7" t="str">
        <f>IFERROR(__xludf.DUMMYFUNCTION("""COMPUTED_VALUE"""),"S178")</f>
        <v>S178</v>
      </c>
      <c r="D339" s="7" t="str">
        <f>IFERROR(__xludf.DUMMYFUNCTION("""COMPUTED_VALUE"""),"Infrastructure as Code (Terraform &amp; OpenTofu)")</f>
        <v>Infrastructure as Code (Terraform &amp; OpenTofu)</v>
      </c>
    </row>
    <row r="340">
      <c r="A340" s="7" t="str">
        <f>IFERROR(__xludf.DUMMYFUNCTION("""COMPUTED_VALUE"""),"R08")</f>
        <v>R08</v>
      </c>
      <c r="B340" s="7" t="str">
        <f>IFERROR(__xludf.DUMMYFUNCTION("""COMPUTED_VALUE"""),"Cloud Architect")</f>
        <v>Cloud Architect</v>
      </c>
      <c r="C340" s="7" t="str">
        <f>IFERROR(__xludf.DUMMYFUNCTION("""COMPUTED_VALUE"""),"S179")</f>
        <v>S179</v>
      </c>
      <c r="D340" s="7" t="str">
        <f>IFERROR(__xludf.DUMMYFUNCTION("""COMPUTED_VALUE"""),"Configuration Management (Ansible, Chef, Puppet)")</f>
        <v>Configuration Management (Ansible, Chef, Puppet)</v>
      </c>
    </row>
    <row r="341">
      <c r="A341" s="7" t="str">
        <f>IFERROR(__xludf.DUMMYFUNCTION("""COMPUTED_VALUE"""),"R08")</f>
        <v>R08</v>
      </c>
      <c r="B341" s="7" t="str">
        <f>IFERROR(__xludf.DUMMYFUNCTION("""COMPUTED_VALUE"""),"Cloud Architect")</f>
        <v>Cloud Architect</v>
      </c>
      <c r="C341" s="7" t="str">
        <f>IFERROR(__xludf.DUMMYFUNCTION("""COMPUTED_VALUE"""),"S180")</f>
        <v>S180</v>
      </c>
      <c r="D341" s="7" t="str">
        <f>IFERROR(__xludf.DUMMYFUNCTION("""COMPUTED_VALUE"""),"CI/CD Pipelines with GitHub Actions")</f>
        <v>CI/CD Pipelines with GitHub Actions</v>
      </c>
    </row>
    <row r="342">
      <c r="A342" s="7" t="str">
        <f>IFERROR(__xludf.DUMMYFUNCTION("""COMPUTED_VALUE"""),"R08")</f>
        <v>R08</v>
      </c>
      <c r="B342" s="7" t="str">
        <f>IFERROR(__xludf.DUMMYFUNCTION("""COMPUTED_VALUE"""),"Cloud Architect")</f>
        <v>Cloud Architect</v>
      </c>
      <c r="C342" s="7" t="str">
        <f>IFERROR(__xludf.DUMMYFUNCTION("""COMPUTED_VALUE"""),"S182")</f>
        <v>S182</v>
      </c>
      <c r="D342" s="7" t="str">
        <f>IFERROR(__xludf.DUMMYFUNCTION("""COMPUTED_VALUE"""),"GitOps &amp; Continuous Delivery (ArgoCD, Flux)")</f>
        <v>GitOps &amp; Continuous Delivery (ArgoCD, Flux)</v>
      </c>
    </row>
    <row r="343">
      <c r="A343" s="7" t="str">
        <f>IFERROR(__xludf.DUMMYFUNCTION("""COMPUTED_VALUE"""),"R08")</f>
        <v>R08</v>
      </c>
      <c r="B343" s="7" t="str">
        <f>IFERROR(__xludf.DUMMYFUNCTION("""COMPUTED_VALUE"""),"Cloud Architect")</f>
        <v>Cloud Architect</v>
      </c>
      <c r="C343" s="7" t="str">
        <f>IFERROR(__xludf.DUMMYFUNCTION("""COMPUTED_VALUE"""),"S183")</f>
        <v>S183</v>
      </c>
      <c r="D343" s="7" t="str">
        <f>IFERROR(__xludf.DUMMYFUNCTION("""COMPUTED_VALUE"""),"Web Servers, Reverse Proxy &amp; Load Balancing (Nginx, HAProxy)")</f>
        <v>Web Servers, Reverse Proxy &amp; Load Balancing (Nginx, HAProxy)</v>
      </c>
    </row>
    <row r="344">
      <c r="A344" s="7" t="str">
        <f>IFERROR(__xludf.DUMMYFUNCTION("""COMPUTED_VALUE"""),"R08")</f>
        <v>R08</v>
      </c>
      <c r="B344" s="7" t="str">
        <f>IFERROR(__xludf.DUMMYFUNCTION("""COMPUTED_VALUE"""),"Cloud Architect")</f>
        <v>Cloud Architect</v>
      </c>
      <c r="C344" s="7" t="str">
        <f>IFERROR(__xludf.DUMMYFUNCTION("""COMPUTED_VALUE"""),"S184")</f>
        <v>S184</v>
      </c>
      <c r="D344" s="7" t="str">
        <f>IFERROR(__xludf.DUMMYFUNCTION("""COMPUTED_VALUE"""),"Infrastructure &amp; Metrics Monitoring (Prometheus &amp; Grafana)")</f>
        <v>Infrastructure &amp; Metrics Monitoring (Prometheus &amp; Grafana)</v>
      </c>
    </row>
    <row r="345">
      <c r="A345" s="7" t="str">
        <f>IFERROR(__xludf.DUMMYFUNCTION("""COMPUTED_VALUE"""),"R08")</f>
        <v>R08</v>
      </c>
      <c r="B345" s="7" t="str">
        <f>IFERROR(__xludf.DUMMYFUNCTION("""COMPUTED_VALUE"""),"Cloud Architect")</f>
        <v>Cloud Architect</v>
      </c>
      <c r="C345" s="7" t="str">
        <f>IFERROR(__xludf.DUMMYFUNCTION("""COMPUTED_VALUE"""),"S185")</f>
        <v>S185</v>
      </c>
      <c r="D34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346">
      <c r="A346" s="7" t="str">
        <f>IFERROR(__xludf.DUMMYFUNCTION("""COMPUTED_VALUE"""),"R08")</f>
        <v>R08</v>
      </c>
      <c r="B346" s="7" t="str">
        <f>IFERROR(__xludf.DUMMYFUNCTION("""COMPUTED_VALUE"""),"Cloud Architect")</f>
        <v>Cloud Architect</v>
      </c>
      <c r="C346" s="7" t="str">
        <f>IFERROR(__xludf.DUMMYFUNCTION("""COMPUTED_VALUE"""),"S186")</f>
        <v>S186</v>
      </c>
      <c r="D346" s="7" t="str">
        <f>IFERROR(__xludf.DUMMYFUNCTION("""COMPUTED_VALUE"""),"Site Reliability Engineering (SLIs, SLOs, SLAs &amp; Error Budgets)")</f>
        <v>Site Reliability Engineering (SLIs, SLOs, SLAs &amp; Error Budgets)</v>
      </c>
    </row>
    <row r="347">
      <c r="A347" s="7" t="str">
        <f>IFERROR(__xludf.DUMMYFUNCTION("""COMPUTED_VALUE"""),"R08")</f>
        <v>R08</v>
      </c>
      <c r="B347" s="7" t="str">
        <f>IFERROR(__xludf.DUMMYFUNCTION("""COMPUTED_VALUE"""),"Cloud Architect")</f>
        <v>Cloud Architect</v>
      </c>
      <c r="C347" s="7" t="str">
        <f>IFERROR(__xludf.DUMMYFUNCTION("""COMPUTED_VALUE"""),"S188")</f>
        <v>S188</v>
      </c>
      <c r="D347" s="7" t="str">
        <f>IFERROR(__xludf.DUMMYFUNCTION("""COMPUTED_VALUE"""),"High Availability, Failover &amp; Disaster Recovery")</f>
        <v>High Availability, Failover &amp; Disaster Recovery</v>
      </c>
    </row>
    <row r="348">
      <c r="A348" s="7" t="str">
        <f>IFERROR(__xludf.DUMMYFUNCTION("""COMPUTED_VALUE"""),"R08")</f>
        <v>R08</v>
      </c>
      <c r="B348" s="7" t="str">
        <f>IFERROR(__xludf.DUMMYFUNCTION("""COMPUTED_VALUE"""),"Cloud Architect")</f>
        <v>Cloud Architect</v>
      </c>
      <c r="C348" s="7" t="str">
        <f>IFERROR(__xludf.DUMMYFUNCTION("""COMPUTED_VALUE"""),"S189")</f>
        <v>S189</v>
      </c>
      <c r="D348" s="7" t="str">
        <f>IFERROR(__xludf.DUMMYFUNCTION("""COMPUTED_VALUE"""),"Cloud FinOps &amp; Cost Optimization")</f>
        <v>Cloud FinOps &amp; Cost Optimization</v>
      </c>
    </row>
    <row r="349">
      <c r="A349" s="7" t="str">
        <f>IFERROR(__xludf.DUMMYFUNCTION("""COMPUTED_VALUE"""),"R08")</f>
        <v>R08</v>
      </c>
      <c r="B349" s="7" t="str">
        <f>IFERROR(__xludf.DUMMYFUNCTION("""COMPUTED_VALUE"""),"Cloud Architect")</f>
        <v>Cloud Architect</v>
      </c>
      <c r="C349" s="7" t="str">
        <f>IFERROR(__xludf.DUMMYFUNCTION("""COMPUTED_VALUE"""),"S191")</f>
        <v>S191</v>
      </c>
      <c r="D349" s="7" t="str">
        <f>IFERROR(__xludf.DUMMYFUNCTION("""COMPUTED_VALUE"""),"Enterprise Linux System Administration (RHEL, Ubuntu, systemd)")</f>
        <v>Enterprise Linux System Administration (RHEL, Ubuntu, systemd)</v>
      </c>
    </row>
    <row r="350">
      <c r="A350" s="7" t="str">
        <f>IFERROR(__xludf.DUMMYFUNCTION("""COMPUTED_VALUE"""),"R08")</f>
        <v>R08</v>
      </c>
      <c r="B350" s="7" t="str">
        <f>IFERROR(__xludf.DUMMYFUNCTION("""COMPUTED_VALUE"""),"Cloud Architect")</f>
        <v>Cloud Architect</v>
      </c>
      <c r="C350" s="7" t="str">
        <f>IFERROR(__xludf.DUMMYFUNCTION("""COMPUTED_VALUE"""),"S193")</f>
        <v>S193</v>
      </c>
      <c r="D350" s="7" t="str">
        <f>IFERROR(__xludf.DUMMYFUNCTION("""COMPUTED_VALUE"""),"Virtualization &amp; Hypervisors (VMware vSphere, Proxmox, KVM)")</f>
        <v>Virtualization &amp; Hypervisors (VMware vSphere, Proxmox, KVM)</v>
      </c>
    </row>
    <row r="351">
      <c r="A351" s="7" t="str">
        <f>IFERROR(__xludf.DUMMYFUNCTION("""COMPUTED_VALUE"""),"R08")</f>
        <v>R08</v>
      </c>
      <c r="B351" s="7" t="str">
        <f>IFERROR(__xludf.DUMMYFUNCTION("""COMPUTED_VALUE"""),"Cloud Architect")</f>
        <v>Cloud Architect</v>
      </c>
      <c r="C351" s="7" t="str">
        <f>IFERROR(__xludf.DUMMYFUNCTION("""COMPUTED_VALUE"""),"S194")</f>
        <v>S194</v>
      </c>
      <c r="D351" s="7" t="str">
        <f>IFERROR(__xludf.DUMMYFUNCTION("""COMPUTED_VALUE"""),"TCP/IP Networking, Subnetting, VLANs &amp; VPNs")</f>
        <v>TCP/IP Networking, Subnetting, VLANs &amp; VPNs</v>
      </c>
    </row>
    <row r="352">
      <c r="A352" s="7" t="str">
        <f>IFERROR(__xludf.DUMMYFUNCTION("""COMPUTED_VALUE"""),"R08")</f>
        <v>R08</v>
      </c>
      <c r="B352" s="7" t="str">
        <f>IFERROR(__xludf.DUMMYFUNCTION("""COMPUTED_VALUE"""),"Cloud Architect")</f>
        <v>Cloud Architect</v>
      </c>
      <c r="C352" s="7" t="str">
        <f>IFERROR(__xludf.DUMMYFUNCTION("""COMPUTED_VALUE"""),"S197")</f>
        <v>S197</v>
      </c>
      <c r="D352" s="7" t="str">
        <f>IFERROR(__xludf.DUMMYFUNCTION("""COMPUTED_VALUE"""),"Network Security, Firewalls &amp; WAF")</f>
        <v>Network Security, Firewalls &amp; WAF</v>
      </c>
    </row>
    <row r="353">
      <c r="A353" s="7" t="str">
        <f>IFERROR(__xludf.DUMMYFUNCTION("""COMPUTED_VALUE"""),"R08")</f>
        <v>R08</v>
      </c>
      <c r="B353" s="7" t="str">
        <f>IFERROR(__xludf.DUMMYFUNCTION("""COMPUTED_VALUE"""),"Cloud Architect")</f>
        <v>Cloud Architect</v>
      </c>
      <c r="C353" s="7" t="str">
        <f>IFERROR(__xludf.DUMMYFUNCTION("""COMPUTED_VALUE"""),"S210")</f>
        <v>S210</v>
      </c>
      <c r="D353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354">
      <c r="A354" s="7" t="str">
        <f>IFERROR(__xludf.DUMMYFUNCTION("""COMPUTED_VALUE"""),"R08")</f>
        <v>R08</v>
      </c>
      <c r="B354" s="7" t="str">
        <f>IFERROR(__xludf.DUMMYFUNCTION("""COMPUTED_VALUE"""),"Cloud Architect")</f>
        <v>Cloud Architect</v>
      </c>
      <c r="C354" s="7" t="str">
        <f>IFERROR(__xludf.DUMMYFUNCTION("""COMPUTED_VALUE"""),"S211")</f>
        <v>S211</v>
      </c>
      <c r="D354" s="7" t="str">
        <f>IFERROR(__xludf.DUMMYFUNCTION("""COMPUTED_VALUE"""),"Zero Trust Network Architecture")</f>
        <v>Zero Trust Network Architecture</v>
      </c>
    </row>
    <row r="355">
      <c r="A355" s="7" t="str">
        <f>IFERROR(__xludf.DUMMYFUNCTION("""COMPUTED_VALUE"""),"R08")</f>
        <v>R08</v>
      </c>
      <c r="B355" s="7" t="str">
        <f>IFERROR(__xludf.DUMMYFUNCTION("""COMPUTED_VALUE"""),"Cloud Architect")</f>
        <v>Cloud Architect</v>
      </c>
      <c r="C355" s="7" t="str">
        <f>IFERROR(__xludf.DUMMYFUNCTION("""COMPUTED_VALUE"""),"S212")</f>
        <v>S212</v>
      </c>
      <c r="D355" s="7" t="str">
        <f>IFERROR(__xludf.DUMMYFUNCTION("""COMPUTED_VALUE"""),"Cloud Security Posture Management (AWS/Azure Security, CSPM)")</f>
        <v>Cloud Security Posture Management (AWS/Azure Security, CSPM)</v>
      </c>
    </row>
    <row r="356">
      <c r="A356" s="7" t="str">
        <f>IFERROR(__xludf.DUMMYFUNCTION("""COMPUTED_VALUE"""),"R08")</f>
        <v>R08</v>
      </c>
      <c r="B356" s="7" t="str">
        <f>IFERROR(__xludf.DUMMYFUNCTION("""COMPUTED_VALUE"""),"Cloud Architect")</f>
        <v>Cloud Architect</v>
      </c>
      <c r="C356" s="7" t="str">
        <f>IFERROR(__xludf.DUMMYFUNCTION("""COMPUTED_VALUE"""),"S215")</f>
        <v>S215</v>
      </c>
      <c r="D356" s="7" t="str">
        <f>IFERROR(__xludf.DUMMYFUNCTION("""COMPUTED_VALUE"""),"Secrets Management (HashiCorp Vault, AWS Secrets Manager)")</f>
        <v>Secrets Management (HashiCorp Vault, AWS Secrets Manager)</v>
      </c>
    </row>
    <row r="357">
      <c r="A357" s="7" t="str">
        <f>IFERROR(__xludf.DUMMYFUNCTION("""COMPUTED_VALUE"""),"R08")</f>
        <v>R08</v>
      </c>
      <c r="B357" s="7" t="str">
        <f>IFERROR(__xludf.DUMMYFUNCTION("""COMPUTED_VALUE"""),"Cloud Architect")</f>
        <v>Cloud Architect</v>
      </c>
      <c r="C357" s="7" t="str">
        <f>IFERROR(__xludf.DUMMYFUNCTION("""COMPUTED_VALUE"""),"S243")</f>
        <v>S243</v>
      </c>
      <c r="D357" s="7" t="str">
        <f>IFERROR(__xludf.DUMMYFUNCTION("""COMPUTED_VALUE"""),"Large-Scale System Design &amp; High-Scalability Architecture")</f>
        <v>Large-Scale System Design &amp; High-Scalability Architecture</v>
      </c>
    </row>
    <row r="358">
      <c r="A358" s="7" t="str">
        <f>IFERROR(__xludf.DUMMYFUNCTION("""COMPUTED_VALUE"""),"R08")</f>
        <v>R08</v>
      </c>
      <c r="B358" s="7" t="str">
        <f>IFERROR(__xludf.DUMMYFUNCTION("""COMPUTED_VALUE"""),"Cloud Architect")</f>
        <v>Cloud Architect</v>
      </c>
      <c r="C358" s="7" t="str">
        <f>IFERROR(__xludf.DUMMYFUNCTION("""COMPUTED_VALUE"""),"S244")</f>
        <v>S244</v>
      </c>
      <c r="D358" s="7" t="str">
        <f>IFERROR(__xludf.DUMMYFUNCTION("""COMPUTED_VALUE"""),"Distributed Systems Theory (CAP Theorem, Consensus, Raft/Paxos)")</f>
        <v>Distributed Systems Theory (CAP Theorem, Consensus, Raft/Paxos)</v>
      </c>
    </row>
    <row r="359">
      <c r="A359" s="7" t="str">
        <f>IFERROR(__xludf.DUMMYFUNCTION("""COMPUTED_VALUE"""),"R08")</f>
        <v>R08</v>
      </c>
      <c r="B359" s="7" t="str">
        <f>IFERROR(__xludf.DUMMYFUNCTION("""COMPUTED_VALUE"""),"Cloud Architect")</f>
        <v>Cloud Architect</v>
      </c>
      <c r="C359" s="7" t="str">
        <f>IFERROR(__xludf.DUMMYFUNCTION("""COMPUTED_VALUE"""),"S245")</f>
        <v>S245</v>
      </c>
      <c r="D359" s="7" t="str">
        <f>IFERROR(__xludf.DUMMYFUNCTION("""COMPUTED_VALUE"""),"Enterprise Architecture Frameworks (TOGAF, Domain-Driven Design)")</f>
        <v>Enterprise Architecture Frameworks (TOGAF, Domain-Driven Design)</v>
      </c>
    </row>
    <row r="360">
      <c r="A360" s="7" t="str">
        <f>IFERROR(__xludf.DUMMYFUNCTION("""COMPUTED_VALUE"""),"R08")</f>
        <v>R08</v>
      </c>
      <c r="B360" s="7" t="str">
        <f>IFERROR(__xludf.DUMMYFUNCTION("""COMPUTED_VALUE"""),"Cloud Architect")</f>
        <v>Cloud Architect</v>
      </c>
      <c r="C360" s="7" t="str">
        <f>IFERROR(__xludf.DUMMYFUNCTION("""COMPUTED_VALUE"""),"S246")</f>
        <v>S246</v>
      </c>
      <c r="D360" s="7" t="str">
        <f>IFERROR(__xludf.DUMMYFUNCTION("""COMPUTED_VALUE"""),"Agile Methodologies, Scrum Framework &amp; Kanban")</f>
        <v>Agile Methodologies, Scrum Framework &amp; Kanban</v>
      </c>
    </row>
    <row r="361">
      <c r="A361" s="7" t="str">
        <f>IFERROR(__xludf.DUMMYFUNCTION("""COMPUTED_VALUE"""),"R08")</f>
        <v>R08</v>
      </c>
      <c r="B361" s="7" t="str">
        <f>IFERROR(__xludf.DUMMYFUNCTION("""COMPUTED_VALUE"""),"Cloud Architect")</f>
        <v>Cloud Architect</v>
      </c>
      <c r="C361" s="7" t="str">
        <f>IFERROR(__xludf.DUMMYFUNCTION("""COMPUTED_VALUE"""),"S247")</f>
        <v>S247</v>
      </c>
      <c r="D361" s="7" t="str">
        <f>IFERROR(__xludf.DUMMYFUNCTION("""COMPUTED_VALUE"""),"Project Tracking &amp; Documentation Tools (Jira, Confluence, Linear)")</f>
        <v>Project Tracking &amp; Documentation Tools (Jira, Confluence, Linear)</v>
      </c>
    </row>
    <row r="362">
      <c r="A362" s="7" t="str">
        <f>IFERROR(__xludf.DUMMYFUNCTION("""COMPUTED_VALUE"""),"R08")</f>
        <v>R08</v>
      </c>
      <c r="B362" s="7" t="str">
        <f>IFERROR(__xludf.DUMMYFUNCTION("""COMPUTED_VALUE"""),"Cloud Architect")</f>
        <v>Cloud Architect</v>
      </c>
      <c r="C362" s="7" t="str">
        <f>IFERROR(__xludf.DUMMYFUNCTION("""COMPUTED_VALUE"""),"S250")</f>
        <v>S250</v>
      </c>
      <c r="D362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363">
      <c r="A363" s="7" t="str">
        <f>IFERROR(__xludf.DUMMYFUNCTION("""COMPUTED_VALUE"""),"R09")</f>
        <v>R09</v>
      </c>
      <c r="B363" s="7" t="str">
        <f>IFERROR(__xludf.DUMMYFUNCTION("""COMPUTED_VALUE"""),"Cloud Engineer")</f>
        <v>Cloud Engineer</v>
      </c>
      <c r="C363" s="7" t="str">
        <f>IFERROR(__xludf.DUMMYFUNCTION("""COMPUTED_VALUE"""),"S002")</f>
        <v>S002</v>
      </c>
      <c r="D363" s="7" t="str">
        <f>IFERROR(__xludf.DUMMYFUNCTION("""COMPUTED_VALUE"""),"Operating Systems Concepts")</f>
        <v>Operating Systems Concepts</v>
      </c>
    </row>
    <row r="364">
      <c r="A364" s="7" t="str">
        <f>IFERROR(__xludf.DUMMYFUNCTION("""COMPUTED_VALUE"""),"R09")</f>
        <v>R09</v>
      </c>
      <c r="B364" s="7" t="str">
        <f>IFERROR(__xludf.DUMMYFUNCTION("""COMPUTED_VALUE"""),"Cloud Engineer")</f>
        <v>Cloud Engineer</v>
      </c>
      <c r="C364" s="7" t="str">
        <f>IFERROR(__xludf.DUMMYFUNCTION("""COMPUTED_VALUE"""),"S005")</f>
        <v>S005</v>
      </c>
      <c r="D364" s="7" t="str">
        <f>IFERROR(__xludf.DUMMYFUNCTION("""COMPUTED_VALUE"""),"File Systems &amp; Storage I/O")</f>
        <v>File Systems &amp; Storage I/O</v>
      </c>
    </row>
    <row r="365">
      <c r="A365" s="7" t="str">
        <f>IFERROR(__xludf.DUMMYFUNCTION("""COMPUTED_VALUE"""),"R09")</f>
        <v>R09</v>
      </c>
      <c r="B365" s="7" t="str">
        <f>IFERROR(__xludf.DUMMYFUNCTION("""COMPUTED_VALUE"""),"Cloud Engineer")</f>
        <v>Cloud Engineer</v>
      </c>
      <c r="C365" s="7" t="str">
        <f>IFERROR(__xludf.DUMMYFUNCTION("""COMPUTED_VALUE"""),"S017")</f>
        <v>S017</v>
      </c>
      <c r="D365" s="7" t="str">
        <f>IFERROR(__xludf.DUMMYFUNCTION("""COMPUTED_VALUE"""),"Git Version Control Fundamentals")</f>
        <v>Git Version Control Fundamentals</v>
      </c>
    </row>
    <row r="366">
      <c r="A366" s="7" t="str">
        <f>IFERROR(__xludf.DUMMYFUNCTION("""COMPUTED_VALUE"""),"R09")</f>
        <v>R09</v>
      </c>
      <c r="B366" s="7" t="str">
        <f>IFERROR(__xludf.DUMMYFUNCTION("""COMPUTED_VALUE"""),"Cloud Engineer")</f>
        <v>Cloud Engineer</v>
      </c>
      <c r="C366" s="7" t="str">
        <f>IFERROR(__xludf.DUMMYFUNCTION("""COMPUTED_VALUE"""),"S018")</f>
        <v>S018</v>
      </c>
      <c r="D366" s="7" t="str">
        <f>IFERROR(__xludf.DUMMYFUNCTION("""COMPUTED_VALUE"""),"GitHub / GitLab Workflows &amp; Pull Requests")</f>
        <v>GitHub / GitLab Workflows &amp; Pull Requests</v>
      </c>
    </row>
    <row r="367">
      <c r="A367" s="7" t="str">
        <f>IFERROR(__xludf.DUMMYFUNCTION("""COMPUTED_VALUE"""),"R09")</f>
        <v>R09</v>
      </c>
      <c r="B367" s="7" t="str">
        <f>IFERROR(__xludf.DUMMYFUNCTION("""COMPUTED_VALUE"""),"Cloud Engineer")</f>
        <v>Cloud Engineer</v>
      </c>
      <c r="C367" s="7" t="str">
        <f>IFERROR(__xludf.DUMMYFUNCTION("""COMPUTED_VALUE"""),"S019")</f>
        <v>S019</v>
      </c>
      <c r="D367" s="7" t="str">
        <f>IFERROR(__xludf.DUMMYFUNCTION("""COMPUTED_VALUE"""),"Linux Command Line &amp; File Permissions")</f>
        <v>Linux Command Line &amp; File Permissions</v>
      </c>
    </row>
    <row r="368">
      <c r="A368" s="7" t="str">
        <f>IFERROR(__xludf.DUMMYFUNCTION("""COMPUTED_VALUE"""),"R09")</f>
        <v>R09</v>
      </c>
      <c r="B368" s="7" t="str">
        <f>IFERROR(__xludf.DUMMYFUNCTION("""COMPUTED_VALUE"""),"Cloud Engineer")</f>
        <v>Cloud Engineer</v>
      </c>
      <c r="C368" s="7" t="str">
        <f>IFERROR(__xludf.DUMMYFUNCTION("""COMPUTED_VALUE"""),"S020")</f>
        <v>S020</v>
      </c>
      <c r="D368" s="7" t="str">
        <f>IFERROR(__xludf.DUMMYFUNCTION("""COMPUTED_VALUE"""),"Bash &amp; Shell Scripting")</f>
        <v>Bash &amp; Shell Scripting</v>
      </c>
    </row>
    <row r="369">
      <c r="A369" s="7" t="str">
        <f>IFERROR(__xludf.DUMMYFUNCTION("""COMPUTED_VALUE"""),"R09")</f>
        <v>R09</v>
      </c>
      <c r="B369" s="7" t="str">
        <f>IFERROR(__xludf.DUMMYFUNCTION("""COMPUTED_VALUE"""),"Cloud Engineer")</f>
        <v>Cloud Engineer</v>
      </c>
      <c r="C369" s="7" t="str">
        <f>IFERROR(__xludf.DUMMYFUNCTION("""COMPUTED_VALUE"""),"S021")</f>
        <v>S021</v>
      </c>
      <c r="D369" s="7" t="str">
        <f>IFERROR(__xludf.DUMMYFUNCTION("""COMPUTED_VALUE"""),"PowerShell Scripting")</f>
        <v>PowerShell Scripting</v>
      </c>
    </row>
    <row r="370">
      <c r="A370" s="7" t="str">
        <f>IFERROR(__xludf.DUMMYFUNCTION("""COMPUTED_VALUE"""),"R09")</f>
        <v>R09</v>
      </c>
      <c r="B370" s="7" t="str">
        <f>IFERROR(__xludf.DUMMYFUNCTION("""COMPUTED_VALUE"""),"Cloud Engineer")</f>
        <v>Cloud Engineer</v>
      </c>
      <c r="C370" s="7" t="str">
        <f>IFERROR(__xludf.DUMMYFUNCTION("""COMPUTED_VALUE"""),"S022")</f>
        <v>S022</v>
      </c>
      <c r="D370" s="7" t="str">
        <f>IFERROR(__xludf.DUMMYFUNCTION("""COMPUTED_VALUE"""),"Computer Networking &amp; OSI Model")</f>
        <v>Computer Networking &amp; OSI Model</v>
      </c>
    </row>
    <row r="371">
      <c r="A371" s="7" t="str">
        <f>IFERROR(__xludf.DUMMYFUNCTION("""COMPUTED_VALUE"""),"R09")</f>
        <v>R09</v>
      </c>
      <c r="B371" s="7" t="str">
        <f>IFERROR(__xludf.DUMMYFUNCTION("""COMPUTED_VALUE"""),"Cloud Engineer")</f>
        <v>Cloud Engineer</v>
      </c>
      <c r="C371" s="7" t="str">
        <f>IFERROR(__xludf.DUMMYFUNCTION("""COMPUTED_VALUE"""),"S023")</f>
        <v>S023</v>
      </c>
      <c r="D371" s="7" t="str">
        <f>IFERROR(__xludf.DUMMYFUNCTION("""COMPUTED_VALUE"""),"HTTP/HTTPS Protocols &amp; Status Codes")</f>
        <v>HTTP/HTTPS Protocols &amp; Status Codes</v>
      </c>
    </row>
    <row r="372">
      <c r="A372" s="7" t="str">
        <f>IFERROR(__xludf.DUMMYFUNCTION("""COMPUTED_VALUE"""),"R09")</f>
        <v>R09</v>
      </c>
      <c r="B372" s="7" t="str">
        <f>IFERROR(__xludf.DUMMYFUNCTION("""COMPUTED_VALUE"""),"Cloud Engineer")</f>
        <v>Cloud Engineer</v>
      </c>
      <c r="C372" s="7" t="str">
        <f>IFERROR(__xludf.DUMMYFUNCTION("""COMPUTED_VALUE"""),"S024")</f>
        <v>S024</v>
      </c>
      <c r="D372" s="7" t="str">
        <f>IFERROR(__xludf.DUMMYFUNCTION("""COMPUTED_VALUE"""),"DNS, Domain Routing &amp; SSL/TLS")</f>
        <v>DNS, Domain Routing &amp; SSL/TLS</v>
      </c>
    </row>
    <row r="373">
      <c r="A373" s="7" t="str">
        <f>IFERROR(__xludf.DUMMYFUNCTION("""COMPUTED_VALUE"""),"R09")</f>
        <v>R09</v>
      </c>
      <c r="B373" s="7" t="str">
        <f>IFERROR(__xludf.DUMMYFUNCTION("""COMPUTED_VALUE"""),"Cloud Engineer")</f>
        <v>Cloud Engineer</v>
      </c>
      <c r="C373" s="7" t="str">
        <f>IFERROR(__xludf.DUMMYFUNCTION("""COMPUTED_VALUE"""),"S026")</f>
        <v>S026</v>
      </c>
      <c r="D373" s="7" t="str">
        <f>IFERROR(__xludf.DUMMYFUNCTION("""COMPUTED_VALUE"""),"Data Serialization (JSON, XML, YAML, Protobuf)")</f>
        <v>Data Serialization (JSON, XML, YAML, Protobuf)</v>
      </c>
    </row>
    <row r="374">
      <c r="A374" s="7" t="str">
        <f>IFERROR(__xludf.DUMMYFUNCTION("""COMPUTED_VALUE"""),"R09")</f>
        <v>R09</v>
      </c>
      <c r="B374" s="7" t="str">
        <f>IFERROR(__xludf.DUMMYFUNCTION("""COMPUTED_VALUE"""),"Cloud Engineer")</f>
        <v>Cloud Engineer</v>
      </c>
      <c r="C374" s="7" t="str">
        <f>IFERROR(__xludf.DUMMYFUNCTION("""COMPUTED_VALUE"""),"S028")</f>
        <v>S028</v>
      </c>
      <c r="D374" s="7" t="str">
        <f>IFERROR(__xludf.DUMMYFUNCTION("""COMPUTED_VALUE"""),"Technical Writing &amp; Markdown Documentation")</f>
        <v>Technical Writing &amp; Markdown Documentation</v>
      </c>
    </row>
    <row r="375">
      <c r="A375" s="7" t="str">
        <f>IFERROR(__xludf.DUMMYFUNCTION("""COMPUTED_VALUE"""),"R09")</f>
        <v>R09</v>
      </c>
      <c r="B375" s="7" t="str">
        <f>IFERROR(__xludf.DUMMYFUNCTION("""COMPUTED_VALUE"""),"Cloud Engineer")</f>
        <v>Cloud Engineer</v>
      </c>
      <c r="C375" s="7" t="str">
        <f>IFERROR(__xludf.DUMMYFUNCTION("""COMPUTED_VALUE"""),"S068")</f>
        <v>S068</v>
      </c>
      <c r="D375" s="7" t="str">
        <f>IFERROR(__xludf.DUMMYFUNCTION("""COMPUTED_VALUE"""),"Python Programming Fundamentals")</f>
        <v>Python Programming Fundamentals</v>
      </c>
    </row>
    <row r="376">
      <c r="A376" s="7" t="str">
        <f>IFERROR(__xludf.DUMMYFUNCTION("""COMPUTED_VALUE"""),"R09")</f>
        <v>R09</v>
      </c>
      <c r="B376" s="7" t="str">
        <f>IFERROR(__xludf.DUMMYFUNCTION("""COMPUTED_VALUE"""),"Cloud Engineer")</f>
        <v>Cloud Engineer</v>
      </c>
      <c r="C376" s="7" t="str">
        <f>IFERROR(__xludf.DUMMYFUNCTION("""COMPUTED_VALUE"""),"S086")</f>
        <v>S086</v>
      </c>
      <c r="D376" s="7" t="str">
        <f>IFERROR(__xludf.DUMMYFUNCTION("""COMPUTED_VALUE"""),"RESTful API Design &amp; OpenAPI/Swagger")</f>
        <v>RESTful API Design &amp; OpenAPI/Swagger</v>
      </c>
    </row>
    <row r="377">
      <c r="A377" s="7" t="str">
        <f>IFERROR(__xludf.DUMMYFUNCTION("""COMPUTED_VALUE"""),"R09")</f>
        <v>R09</v>
      </c>
      <c r="B377" s="7" t="str">
        <f>IFERROR(__xludf.DUMMYFUNCTION("""COMPUTED_VALUE"""),"Cloud Engineer")</f>
        <v>Cloud Engineer</v>
      </c>
      <c r="C377" s="7" t="str">
        <f>IFERROR(__xludf.DUMMYFUNCTION("""COMPUTED_VALUE"""),"S107")</f>
        <v>S107</v>
      </c>
      <c r="D377" s="7" t="str">
        <f>IFERROR(__xludf.DUMMYFUNCTION("""COMPUTED_VALUE"""),"SQL Querying (Joins, Aggregations, Subqueries)")</f>
        <v>SQL Querying (Joins, Aggregations, Subqueries)</v>
      </c>
    </row>
    <row r="378">
      <c r="A378" s="7" t="str">
        <f>IFERROR(__xludf.DUMMYFUNCTION("""COMPUTED_VALUE"""),"R09")</f>
        <v>R09</v>
      </c>
      <c r="B378" s="7" t="str">
        <f>IFERROR(__xludf.DUMMYFUNCTION("""COMPUTED_VALUE"""),"Cloud Engineer")</f>
        <v>Cloud Engineer</v>
      </c>
      <c r="C378" s="7" t="str">
        <f>IFERROR(__xludf.DUMMYFUNCTION("""COMPUTED_VALUE"""),"S109")</f>
        <v>S109</v>
      </c>
      <c r="D378" s="7" t="str">
        <f>IFERROR(__xludf.DUMMYFUNCTION("""COMPUTED_VALUE"""),"PostgreSQL Administration &amp; Development")</f>
        <v>PostgreSQL Administration &amp; Development</v>
      </c>
    </row>
    <row r="379">
      <c r="A379" s="7" t="str">
        <f>IFERROR(__xludf.DUMMYFUNCTION("""COMPUTED_VALUE"""),"R09")</f>
        <v>R09</v>
      </c>
      <c r="B379" s="7" t="str">
        <f>IFERROR(__xludf.DUMMYFUNCTION("""COMPUTED_VALUE"""),"Cloud Engineer")</f>
        <v>Cloud Engineer</v>
      </c>
      <c r="C379" s="7" t="str">
        <f>IFERROR(__xludf.DUMMYFUNCTION("""COMPUTED_VALUE"""),"S117")</f>
        <v>S117</v>
      </c>
      <c r="D379" s="7" t="str">
        <f>IFERROR(__xludf.DUMMYFUNCTION("""COMPUTED_VALUE"""),"Database Backup, Point-in-Time Recovery &amp; Migration")</f>
        <v>Database Backup, Point-in-Time Recovery &amp; Migration</v>
      </c>
    </row>
    <row r="380">
      <c r="A380" s="7" t="str">
        <f>IFERROR(__xludf.DUMMYFUNCTION("""COMPUTED_VALUE"""),"R09")</f>
        <v>R09</v>
      </c>
      <c r="B380" s="7" t="str">
        <f>IFERROR(__xludf.DUMMYFUNCTION("""COMPUTED_VALUE"""),"Cloud Engineer")</f>
        <v>Cloud Engineer</v>
      </c>
      <c r="C380" s="7" t="str">
        <f>IFERROR(__xludf.DUMMYFUNCTION("""COMPUTED_VALUE"""),"S122")</f>
        <v>S122</v>
      </c>
      <c r="D380" s="7" t="str">
        <f>IFERROR(__xludf.DUMMYFUNCTION("""COMPUTED_VALUE"""),"Cloud NoSQL Databases (AWS DynamoDB, Firestore)")</f>
        <v>Cloud NoSQL Databases (AWS DynamoDB, Firestore)</v>
      </c>
    </row>
    <row r="381">
      <c r="A381" s="7" t="str">
        <f>IFERROR(__xludf.DUMMYFUNCTION("""COMPUTED_VALUE"""),"R09")</f>
        <v>R09</v>
      </c>
      <c r="B381" s="7" t="str">
        <f>IFERROR(__xludf.DUMMYFUNCTION("""COMPUTED_VALUE"""),"Cloud Engineer")</f>
        <v>Cloud Engineer</v>
      </c>
      <c r="C381" s="7" t="str">
        <f>IFERROR(__xludf.DUMMYFUNCTION("""COMPUTED_VALUE"""),"S171")</f>
        <v>S171</v>
      </c>
      <c r="D381" s="7" t="str">
        <f>IFERROR(__xludf.DUMMYFUNCTION("""COMPUTED_VALUE"""),"Containerization with Docker")</f>
        <v>Containerization with Docker</v>
      </c>
    </row>
    <row r="382">
      <c r="A382" s="7" t="str">
        <f>IFERROR(__xludf.DUMMYFUNCTION("""COMPUTED_VALUE"""),"R09")</f>
        <v>R09</v>
      </c>
      <c r="B382" s="7" t="str">
        <f>IFERROR(__xludf.DUMMYFUNCTION("""COMPUTED_VALUE"""),"Cloud Engineer")</f>
        <v>Cloud Engineer</v>
      </c>
      <c r="C382" s="7" t="str">
        <f>IFERROR(__xludf.DUMMYFUNCTION("""COMPUTED_VALUE"""),"S172")</f>
        <v>S172</v>
      </c>
      <c r="D382" s="7" t="str">
        <f>IFERROR(__xludf.DUMMYFUNCTION("""COMPUTED_VALUE"""),"Kubernetes Cluster Orchestration (K8s)")</f>
        <v>Kubernetes Cluster Orchestration (K8s)</v>
      </c>
    </row>
    <row r="383">
      <c r="A383" s="7" t="str">
        <f>IFERROR(__xludf.DUMMYFUNCTION("""COMPUTED_VALUE"""),"R09")</f>
        <v>R09</v>
      </c>
      <c r="B383" s="7" t="str">
        <f>IFERROR(__xludf.DUMMYFUNCTION("""COMPUTED_VALUE"""),"Cloud Engineer")</f>
        <v>Cloud Engineer</v>
      </c>
      <c r="C383" s="7" t="str">
        <f>IFERROR(__xludf.DUMMYFUNCTION("""COMPUTED_VALUE"""),"S173")</f>
        <v>S173</v>
      </c>
      <c r="D383" s="7" t="str">
        <f>IFERROR(__xludf.DUMMYFUNCTION("""COMPUTED_VALUE"""),"Kubernetes Package Management (Helm &amp; Kustomize)")</f>
        <v>Kubernetes Package Management (Helm &amp; Kustomize)</v>
      </c>
    </row>
    <row r="384">
      <c r="A384" s="7" t="str">
        <f>IFERROR(__xludf.DUMMYFUNCTION("""COMPUTED_VALUE"""),"R09")</f>
        <v>R09</v>
      </c>
      <c r="B384" s="7" t="str">
        <f>IFERROR(__xludf.DUMMYFUNCTION("""COMPUTED_VALUE"""),"Cloud Engineer")</f>
        <v>Cloud Engineer</v>
      </c>
      <c r="C384" s="7" t="str">
        <f>IFERROR(__xludf.DUMMYFUNCTION("""COMPUTED_VALUE"""),"S174")</f>
        <v>S174</v>
      </c>
      <c r="D384" s="7" t="str">
        <f>IFERROR(__xludf.DUMMYFUNCTION("""COMPUTED_VALUE"""),"Amazon Web Services Core (EC2, S3, RDS, IAM, VPC)")</f>
        <v>Amazon Web Services Core (EC2, S3, RDS, IAM, VPC)</v>
      </c>
    </row>
    <row r="385">
      <c r="A385" s="7" t="str">
        <f>IFERROR(__xludf.DUMMYFUNCTION("""COMPUTED_VALUE"""),"R09")</f>
        <v>R09</v>
      </c>
      <c r="B385" s="7" t="str">
        <f>IFERROR(__xludf.DUMMYFUNCTION("""COMPUTED_VALUE"""),"Cloud Engineer")</f>
        <v>Cloud Engineer</v>
      </c>
      <c r="C385" s="7" t="str">
        <f>IFERROR(__xludf.DUMMYFUNCTION("""COMPUTED_VALUE"""),"S175")</f>
        <v>S175</v>
      </c>
      <c r="D385" s="7" t="str">
        <f>IFERROR(__xludf.DUMMYFUNCTION("""COMPUTED_VALUE"""),"Microsoft Azure Cloud Services")</f>
        <v>Microsoft Azure Cloud Services</v>
      </c>
    </row>
    <row r="386">
      <c r="A386" s="7" t="str">
        <f>IFERROR(__xludf.DUMMYFUNCTION("""COMPUTED_VALUE"""),"R09")</f>
        <v>R09</v>
      </c>
      <c r="B386" s="7" t="str">
        <f>IFERROR(__xludf.DUMMYFUNCTION("""COMPUTED_VALUE"""),"Cloud Engineer")</f>
        <v>Cloud Engineer</v>
      </c>
      <c r="C386" s="7" t="str">
        <f>IFERROR(__xludf.DUMMYFUNCTION("""COMPUTED_VALUE"""),"S176")</f>
        <v>S176</v>
      </c>
      <c r="D386" s="7" t="str">
        <f>IFERROR(__xludf.DUMMYFUNCTION("""COMPUTED_VALUE"""),"Google Cloud Platform (GCP) Services")</f>
        <v>Google Cloud Platform (GCP) Services</v>
      </c>
    </row>
    <row r="387">
      <c r="A387" s="7" t="str">
        <f>IFERROR(__xludf.DUMMYFUNCTION("""COMPUTED_VALUE"""),"R09")</f>
        <v>R09</v>
      </c>
      <c r="B387" s="7" t="str">
        <f>IFERROR(__xludf.DUMMYFUNCTION("""COMPUTED_VALUE"""),"Cloud Engineer")</f>
        <v>Cloud Engineer</v>
      </c>
      <c r="C387" s="7" t="str">
        <f>IFERROR(__xludf.DUMMYFUNCTION("""COMPUTED_VALUE"""),"S177")</f>
        <v>S177</v>
      </c>
      <c r="D387" s="7" t="str">
        <f>IFERROR(__xludf.DUMMYFUNCTION("""COMPUTED_VALUE"""),"Serverless Computing (AWS Lambda, Cloud Functions)")</f>
        <v>Serverless Computing (AWS Lambda, Cloud Functions)</v>
      </c>
    </row>
    <row r="388">
      <c r="A388" s="7" t="str">
        <f>IFERROR(__xludf.DUMMYFUNCTION("""COMPUTED_VALUE"""),"R09")</f>
        <v>R09</v>
      </c>
      <c r="B388" s="7" t="str">
        <f>IFERROR(__xludf.DUMMYFUNCTION("""COMPUTED_VALUE"""),"Cloud Engineer")</f>
        <v>Cloud Engineer</v>
      </c>
      <c r="C388" s="7" t="str">
        <f>IFERROR(__xludf.DUMMYFUNCTION("""COMPUTED_VALUE"""),"S178")</f>
        <v>S178</v>
      </c>
      <c r="D388" s="7" t="str">
        <f>IFERROR(__xludf.DUMMYFUNCTION("""COMPUTED_VALUE"""),"Infrastructure as Code (Terraform &amp; OpenTofu)")</f>
        <v>Infrastructure as Code (Terraform &amp; OpenTofu)</v>
      </c>
    </row>
    <row r="389">
      <c r="A389" s="7" t="str">
        <f>IFERROR(__xludf.DUMMYFUNCTION("""COMPUTED_VALUE"""),"R09")</f>
        <v>R09</v>
      </c>
      <c r="B389" s="7" t="str">
        <f>IFERROR(__xludf.DUMMYFUNCTION("""COMPUTED_VALUE"""),"Cloud Engineer")</f>
        <v>Cloud Engineer</v>
      </c>
      <c r="C389" s="7" t="str">
        <f>IFERROR(__xludf.DUMMYFUNCTION("""COMPUTED_VALUE"""),"S179")</f>
        <v>S179</v>
      </c>
      <c r="D389" s="7" t="str">
        <f>IFERROR(__xludf.DUMMYFUNCTION("""COMPUTED_VALUE"""),"Configuration Management (Ansible, Chef, Puppet)")</f>
        <v>Configuration Management (Ansible, Chef, Puppet)</v>
      </c>
    </row>
    <row r="390">
      <c r="A390" s="7" t="str">
        <f>IFERROR(__xludf.DUMMYFUNCTION("""COMPUTED_VALUE"""),"R09")</f>
        <v>R09</v>
      </c>
      <c r="B390" s="7" t="str">
        <f>IFERROR(__xludf.DUMMYFUNCTION("""COMPUTED_VALUE"""),"Cloud Engineer")</f>
        <v>Cloud Engineer</v>
      </c>
      <c r="C390" s="7" t="str">
        <f>IFERROR(__xludf.DUMMYFUNCTION("""COMPUTED_VALUE"""),"S180")</f>
        <v>S180</v>
      </c>
      <c r="D390" s="7" t="str">
        <f>IFERROR(__xludf.DUMMYFUNCTION("""COMPUTED_VALUE"""),"CI/CD Pipelines with GitHub Actions")</f>
        <v>CI/CD Pipelines with GitHub Actions</v>
      </c>
    </row>
    <row r="391">
      <c r="A391" s="7" t="str">
        <f>IFERROR(__xludf.DUMMYFUNCTION("""COMPUTED_VALUE"""),"R09")</f>
        <v>R09</v>
      </c>
      <c r="B391" s="7" t="str">
        <f>IFERROR(__xludf.DUMMYFUNCTION("""COMPUTED_VALUE"""),"Cloud Engineer")</f>
        <v>Cloud Engineer</v>
      </c>
      <c r="C391" s="7" t="str">
        <f>IFERROR(__xludf.DUMMYFUNCTION("""COMPUTED_VALUE"""),"S181")</f>
        <v>S181</v>
      </c>
      <c r="D391" s="7" t="str">
        <f>IFERROR(__xludf.DUMMYFUNCTION("""COMPUTED_VALUE"""),"CI/CD Automation with GitLab CI &amp; Jenkins")</f>
        <v>CI/CD Automation with GitLab CI &amp; Jenkins</v>
      </c>
    </row>
    <row r="392">
      <c r="A392" s="7" t="str">
        <f>IFERROR(__xludf.DUMMYFUNCTION("""COMPUTED_VALUE"""),"R09")</f>
        <v>R09</v>
      </c>
      <c r="B392" s="7" t="str">
        <f>IFERROR(__xludf.DUMMYFUNCTION("""COMPUTED_VALUE"""),"Cloud Engineer")</f>
        <v>Cloud Engineer</v>
      </c>
      <c r="C392" s="7" t="str">
        <f>IFERROR(__xludf.DUMMYFUNCTION("""COMPUTED_VALUE"""),"S183")</f>
        <v>S183</v>
      </c>
      <c r="D392" s="7" t="str">
        <f>IFERROR(__xludf.DUMMYFUNCTION("""COMPUTED_VALUE"""),"Web Servers, Reverse Proxy &amp; Load Balancing (Nginx, HAProxy)")</f>
        <v>Web Servers, Reverse Proxy &amp; Load Balancing (Nginx, HAProxy)</v>
      </c>
    </row>
    <row r="393">
      <c r="A393" s="7" t="str">
        <f>IFERROR(__xludf.DUMMYFUNCTION("""COMPUTED_VALUE"""),"R09")</f>
        <v>R09</v>
      </c>
      <c r="B393" s="7" t="str">
        <f>IFERROR(__xludf.DUMMYFUNCTION("""COMPUTED_VALUE"""),"Cloud Engineer")</f>
        <v>Cloud Engineer</v>
      </c>
      <c r="C393" s="7" t="str">
        <f>IFERROR(__xludf.DUMMYFUNCTION("""COMPUTED_VALUE"""),"S184")</f>
        <v>S184</v>
      </c>
      <c r="D393" s="7" t="str">
        <f>IFERROR(__xludf.DUMMYFUNCTION("""COMPUTED_VALUE"""),"Infrastructure &amp; Metrics Monitoring (Prometheus &amp; Grafana)")</f>
        <v>Infrastructure &amp; Metrics Monitoring (Prometheus &amp; Grafana)</v>
      </c>
    </row>
    <row r="394">
      <c r="A394" s="7" t="str">
        <f>IFERROR(__xludf.DUMMYFUNCTION("""COMPUTED_VALUE"""),"R09")</f>
        <v>R09</v>
      </c>
      <c r="B394" s="7" t="str">
        <f>IFERROR(__xludf.DUMMYFUNCTION("""COMPUTED_VALUE"""),"Cloud Engineer")</f>
        <v>Cloud Engineer</v>
      </c>
      <c r="C394" s="7" t="str">
        <f>IFERROR(__xludf.DUMMYFUNCTION("""COMPUTED_VALUE"""),"S185")</f>
        <v>S185</v>
      </c>
      <c r="D394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395">
      <c r="A395" s="7" t="str">
        <f>IFERROR(__xludf.DUMMYFUNCTION("""COMPUTED_VALUE"""),"R09")</f>
        <v>R09</v>
      </c>
      <c r="B395" s="7" t="str">
        <f>IFERROR(__xludf.DUMMYFUNCTION("""COMPUTED_VALUE"""),"Cloud Engineer")</f>
        <v>Cloud Engineer</v>
      </c>
      <c r="C395" s="7" t="str">
        <f>IFERROR(__xludf.DUMMYFUNCTION("""COMPUTED_VALUE"""),"S188")</f>
        <v>S188</v>
      </c>
      <c r="D395" s="7" t="str">
        <f>IFERROR(__xludf.DUMMYFUNCTION("""COMPUTED_VALUE"""),"High Availability, Failover &amp; Disaster Recovery")</f>
        <v>High Availability, Failover &amp; Disaster Recovery</v>
      </c>
    </row>
    <row r="396">
      <c r="A396" s="7" t="str">
        <f>IFERROR(__xludf.DUMMYFUNCTION("""COMPUTED_VALUE"""),"R09")</f>
        <v>R09</v>
      </c>
      <c r="B396" s="7" t="str">
        <f>IFERROR(__xludf.DUMMYFUNCTION("""COMPUTED_VALUE"""),"Cloud Engineer")</f>
        <v>Cloud Engineer</v>
      </c>
      <c r="C396" s="7" t="str">
        <f>IFERROR(__xludf.DUMMYFUNCTION("""COMPUTED_VALUE"""),"S189")</f>
        <v>S189</v>
      </c>
      <c r="D396" s="7" t="str">
        <f>IFERROR(__xludf.DUMMYFUNCTION("""COMPUTED_VALUE"""),"Cloud FinOps &amp; Cost Optimization")</f>
        <v>Cloud FinOps &amp; Cost Optimization</v>
      </c>
    </row>
    <row r="397">
      <c r="A397" s="7" t="str">
        <f>IFERROR(__xludf.DUMMYFUNCTION("""COMPUTED_VALUE"""),"R09")</f>
        <v>R09</v>
      </c>
      <c r="B397" s="7" t="str">
        <f>IFERROR(__xludf.DUMMYFUNCTION("""COMPUTED_VALUE"""),"Cloud Engineer")</f>
        <v>Cloud Engineer</v>
      </c>
      <c r="C397" s="7" t="str">
        <f>IFERROR(__xludf.DUMMYFUNCTION("""COMPUTED_VALUE"""),"S191")</f>
        <v>S191</v>
      </c>
      <c r="D397" s="7" t="str">
        <f>IFERROR(__xludf.DUMMYFUNCTION("""COMPUTED_VALUE"""),"Enterprise Linux System Administration (RHEL, Ubuntu, systemd)")</f>
        <v>Enterprise Linux System Administration (RHEL, Ubuntu, systemd)</v>
      </c>
    </row>
    <row r="398">
      <c r="A398" s="7" t="str">
        <f>IFERROR(__xludf.DUMMYFUNCTION("""COMPUTED_VALUE"""),"R09")</f>
        <v>R09</v>
      </c>
      <c r="B398" s="7" t="str">
        <f>IFERROR(__xludf.DUMMYFUNCTION("""COMPUTED_VALUE"""),"Cloud Engineer")</f>
        <v>Cloud Engineer</v>
      </c>
      <c r="C398" s="7" t="str">
        <f>IFERROR(__xludf.DUMMYFUNCTION("""COMPUTED_VALUE"""),"S193")</f>
        <v>S193</v>
      </c>
      <c r="D398" s="7" t="str">
        <f>IFERROR(__xludf.DUMMYFUNCTION("""COMPUTED_VALUE"""),"Virtualization &amp; Hypervisors (VMware vSphere, Proxmox, KVM)")</f>
        <v>Virtualization &amp; Hypervisors (VMware vSphere, Proxmox, KVM)</v>
      </c>
    </row>
    <row r="399">
      <c r="A399" s="7" t="str">
        <f>IFERROR(__xludf.DUMMYFUNCTION("""COMPUTED_VALUE"""),"R09")</f>
        <v>R09</v>
      </c>
      <c r="B399" s="7" t="str">
        <f>IFERROR(__xludf.DUMMYFUNCTION("""COMPUTED_VALUE"""),"Cloud Engineer")</f>
        <v>Cloud Engineer</v>
      </c>
      <c r="C399" s="7" t="str">
        <f>IFERROR(__xludf.DUMMYFUNCTION("""COMPUTED_VALUE"""),"S194")</f>
        <v>S194</v>
      </c>
      <c r="D399" s="7" t="str">
        <f>IFERROR(__xludf.DUMMYFUNCTION("""COMPUTED_VALUE"""),"TCP/IP Networking, Subnetting, VLANs &amp; VPNs")</f>
        <v>TCP/IP Networking, Subnetting, VLANs &amp; VPNs</v>
      </c>
    </row>
    <row r="400">
      <c r="A400" s="7" t="str">
        <f>IFERROR(__xludf.DUMMYFUNCTION("""COMPUTED_VALUE"""),"R09")</f>
        <v>R09</v>
      </c>
      <c r="B400" s="7" t="str">
        <f>IFERROR(__xludf.DUMMYFUNCTION("""COMPUTED_VALUE"""),"Cloud Engineer")</f>
        <v>Cloud Engineer</v>
      </c>
      <c r="C400" s="7" t="str">
        <f>IFERROR(__xludf.DUMMYFUNCTION("""COMPUTED_VALUE"""),"S197")</f>
        <v>S197</v>
      </c>
      <c r="D400" s="7" t="str">
        <f>IFERROR(__xludf.DUMMYFUNCTION("""COMPUTED_VALUE"""),"Network Security, Firewalls &amp; WAF")</f>
        <v>Network Security, Firewalls &amp; WAF</v>
      </c>
    </row>
    <row r="401">
      <c r="A401" s="7" t="str">
        <f>IFERROR(__xludf.DUMMYFUNCTION("""COMPUTED_VALUE"""),"R09")</f>
        <v>R09</v>
      </c>
      <c r="B401" s="7" t="str">
        <f>IFERROR(__xludf.DUMMYFUNCTION("""COMPUTED_VALUE"""),"Cloud Engineer")</f>
        <v>Cloud Engineer</v>
      </c>
      <c r="C401" s="7" t="str">
        <f>IFERROR(__xludf.DUMMYFUNCTION("""COMPUTED_VALUE"""),"S210")</f>
        <v>S210</v>
      </c>
      <c r="D401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402">
      <c r="A402" s="7" t="str">
        <f>IFERROR(__xludf.DUMMYFUNCTION("""COMPUTED_VALUE"""),"R09")</f>
        <v>R09</v>
      </c>
      <c r="B402" s="7" t="str">
        <f>IFERROR(__xludf.DUMMYFUNCTION("""COMPUTED_VALUE"""),"Cloud Engineer")</f>
        <v>Cloud Engineer</v>
      </c>
      <c r="C402" s="7" t="str">
        <f>IFERROR(__xludf.DUMMYFUNCTION("""COMPUTED_VALUE"""),"S212")</f>
        <v>S212</v>
      </c>
      <c r="D402" s="7" t="str">
        <f>IFERROR(__xludf.DUMMYFUNCTION("""COMPUTED_VALUE"""),"Cloud Security Posture Management (AWS/Azure Security, CSPM)")</f>
        <v>Cloud Security Posture Management (AWS/Azure Security, CSPM)</v>
      </c>
    </row>
    <row r="403">
      <c r="A403" s="7" t="str">
        <f>IFERROR(__xludf.DUMMYFUNCTION("""COMPUTED_VALUE"""),"R09")</f>
        <v>R09</v>
      </c>
      <c r="B403" s="7" t="str">
        <f>IFERROR(__xludf.DUMMYFUNCTION("""COMPUTED_VALUE"""),"Cloud Engineer")</f>
        <v>Cloud Engineer</v>
      </c>
      <c r="C403" s="7" t="str">
        <f>IFERROR(__xludf.DUMMYFUNCTION("""COMPUTED_VALUE"""),"S215")</f>
        <v>S215</v>
      </c>
      <c r="D403" s="7" t="str">
        <f>IFERROR(__xludf.DUMMYFUNCTION("""COMPUTED_VALUE"""),"Secrets Management (HashiCorp Vault, AWS Secrets Manager)")</f>
        <v>Secrets Management (HashiCorp Vault, AWS Secrets Manager)</v>
      </c>
    </row>
    <row r="404">
      <c r="A404" s="7" t="str">
        <f>IFERROR(__xludf.DUMMYFUNCTION("""COMPUTED_VALUE"""),"R09")</f>
        <v>R09</v>
      </c>
      <c r="B404" s="7" t="str">
        <f>IFERROR(__xludf.DUMMYFUNCTION("""COMPUTED_VALUE"""),"Cloud Engineer")</f>
        <v>Cloud Engineer</v>
      </c>
      <c r="C404" s="7" t="str">
        <f>IFERROR(__xludf.DUMMYFUNCTION("""COMPUTED_VALUE"""),"S246")</f>
        <v>S246</v>
      </c>
      <c r="D404" s="7" t="str">
        <f>IFERROR(__xludf.DUMMYFUNCTION("""COMPUTED_VALUE"""),"Agile Methodologies, Scrum Framework &amp; Kanban")</f>
        <v>Agile Methodologies, Scrum Framework &amp; Kanban</v>
      </c>
    </row>
    <row r="405">
      <c r="A405" s="7" t="str">
        <f>IFERROR(__xludf.DUMMYFUNCTION("""COMPUTED_VALUE"""),"R09")</f>
        <v>R09</v>
      </c>
      <c r="B405" s="7" t="str">
        <f>IFERROR(__xludf.DUMMYFUNCTION("""COMPUTED_VALUE"""),"Cloud Engineer")</f>
        <v>Cloud Engineer</v>
      </c>
      <c r="C405" s="7" t="str">
        <f>IFERROR(__xludf.DUMMYFUNCTION("""COMPUTED_VALUE"""),"S247")</f>
        <v>S247</v>
      </c>
      <c r="D405" s="7" t="str">
        <f>IFERROR(__xludf.DUMMYFUNCTION("""COMPUTED_VALUE"""),"Project Tracking &amp; Documentation Tools (Jira, Confluence, Linear)")</f>
        <v>Project Tracking &amp; Documentation Tools (Jira, Confluence, Linear)</v>
      </c>
    </row>
    <row r="406">
      <c r="A406" s="7" t="str">
        <f>IFERROR(__xludf.DUMMYFUNCTION("""COMPUTED_VALUE"""),"R10")</f>
        <v>R10</v>
      </c>
      <c r="B406" s="7" t="str">
        <f>IFERROR(__xludf.DUMMYFUNCTION("""COMPUTED_VALUE"""),"DevOps Engineer")</f>
        <v>DevOps Engineer</v>
      </c>
      <c r="C406" s="7" t="str">
        <f>IFERROR(__xludf.DUMMYFUNCTION("""COMPUTED_VALUE"""),"S002")</f>
        <v>S002</v>
      </c>
      <c r="D406" s="7" t="str">
        <f>IFERROR(__xludf.DUMMYFUNCTION("""COMPUTED_VALUE"""),"Operating Systems Concepts")</f>
        <v>Operating Systems Concepts</v>
      </c>
    </row>
    <row r="407">
      <c r="A407" s="7" t="str">
        <f>IFERROR(__xludf.DUMMYFUNCTION("""COMPUTED_VALUE"""),"R10")</f>
        <v>R10</v>
      </c>
      <c r="B407" s="7" t="str">
        <f>IFERROR(__xludf.DUMMYFUNCTION("""COMPUTED_VALUE"""),"DevOps Engineer")</f>
        <v>DevOps Engineer</v>
      </c>
      <c r="C407" s="7" t="str">
        <f>IFERROR(__xludf.DUMMYFUNCTION("""COMPUTED_VALUE"""),"S003")</f>
        <v>S003</v>
      </c>
      <c r="D407" s="7" t="str">
        <f>IFERROR(__xludf.DUMMYFUNCTION("""COMPUTED_VALUE"""),"Process &amp; Thread Management")</f>
        <v>Process &amp; Thread Management</v>
      </c>
    </row>
    <row r="408">
      <c r="A408" s="7" t="str">
        <f>IFERROR(__xludf.DUMMYFUNCTION("""COMPUTED_VALUE"""),"R10")</f>
        <v>R10</v>
      </c>
      <c r="B408" s="7" t="str">
        <f>IFERROR(__xludf.DUMMYFUNCTION("""COMPUTED_VALUE"""),"DevOps Engineer")</f>
        <v>DevOps Engineer</v>
      </c>
      <c r="C408" s="7" t="str">
        <f>IFERROR(__xludf.DUMMYFUNCTION("""COMPUTED_VALUE"""),"S004")</f>
        <v>S004</v>
      </c>
      <c r="D408" s="7" t="str">
        <f>IFERROR(__xludf.DUMMYFUNCTION("""COMPUTED_VALUE"""),"Memory Management &amp; Paging")</f>
        <v>Memory Management &amp; Paging</v>
      </c>
    </row>
    <row r="409">
      <c r="A409" s="7" t="str">
        <f>IFERROR(__xludf.DUMMYFUNCTION("""COMPUTED_VALUE"""),"R10")</f>
        <v>R10</v>
      </c>
      <c r="B409" s="7" t="str">
        <f>IFERROR(__xludf.DUMMYFUNCTION("""COMPUTED_VALUE"""),"DevOps Engineer")</f>
        <v>DevOps Engineer</v>
      </c>
      <c r="C409" s="7" t="str">
        <f>IFERROR(__xludf.DUMMYFUNCTION("""COMPUTED_VALUE"""),"S005")</f>
        <v>S005</v>
      </c>
      <c r="D409" s="7" t="str">
        <f>IFERROR(__xludf.DUMMYFUNCTION("""COMPUTED_VALUE"""),"File Systems &amp; Storage I/O")</f>
        <v>File Systems &amp; Storage I/O</v>
      </c>
    </row>
    <row r="410">
      <c r="A410" s="7" t="str">
        <f>IFERROR(__xludf.DUMMYFUNCTION("""COMPUTED_VALUE"""),"R10")</f>
        <v>R10</v>
      </c>
      <c r="B410" s="7" t="str">
        <f>IFERROR(__xludf.DUMMYFUNCTION("""COMPUTED_VALUE"""),"DevOps Engineer")</f>
        <v>DevOps Engineer</v>
      </c>
      <c r="C410" s="7" t="str">
        <f>IFERROR(__xludf.DUMMYFUNCTION("""COMPUTED_VALUE"""),"S017")</f>
        <v>S017</v>
      </c>
      <c r="D410" s="7" t="str">
        <f>IFERROR(__xludf.DUMMYFUNCTION("""COMPUTED_VALUE"""),"Git Version Control Fundamentals")</f>
        <v>Git Version Control Fundamentals</v>
      </c>
    </row>
    <row r="411">
      <c r="A411" s="7" t="str">
        <f>IFERROR(__xludf.DUMMYFUNCTION("""COMPUTED_VALUE"""),"R10")</f>
        <v>R10</v>
      </c>
      <c r="B411" s="7" t="str">
        <f>IFERROR(__xludf.DUMMYFUNCTION("""COMPUTED_VALUE"""),"DevOps Engineer")</f>
        <v>DevOps Engineer</v>
      </c>
      <c r="C411" s="7" t="str">
        <f>IFERROR(__xludf.DUMMYFUNCTION("""COMPUTED_VALUE"""),"S018")</f>
        <v>S018</v>
      </c>
      <c r="D411" s="7" t="str">
        <f>IFERROR(__xludf.DUMMYFUNCTION("""COMPUTED_VALUE"""),"GitHub / GitLab Workflows &amp; Pull Requests")</f>
        <v>GitHub / GitLab Workflows &amp; Pull Requests</v>
      </c>
    </row>
    <row r="412">
      <c r="A412" s="7" t="str">
        <f>IFERROR(__xludf.DUMMYFUNCTION("""COMPUTED_VALUE"""),"R10")</f>
        <v>R10</v>
      </c>
      <c r="B412" s="7" t="str">
        <f>IFERROR(__xludf.DUMMYFUNCTION("""COMPUTED_VALUE"""),"DevOps Engineer")</f>
        <v>DevOps Engineer</v>
      </c>
      <c r="C412" s="7" t="str">
        <f>IFERROR(__xludf.DUMMYFUNCTION("""COMPUTED_VALUE"""),"S019")</f>
        <v>S019</v>
      </c>
      <c r="D412" s="7" t="str">
        <f>IFERROR(__xludf.DUMMYFUNCTION("""COMPUTED_VALUE"""),"Linux Command Line &amp; File Permissions")</f>
        <v>Linux Command Line &amp; File Permissions</v>
      </c>
    </row>
    <row r="413">
      <c r="A413" s="7" t="str">
        <f>IFERROR(__xludf.DUMMYFUNCTION("""COMPUTED_VALUE"""),"R10")</f>
        <v>R10</v>
      </c>
      <c r="B413" s="7" t="str">
        <f>IFERROR(__xludf.DUMMYFUNCTION("""COMPUTED_VALUE"""),"DevOps Engineer")</f>
        <v>DevOps Engineer</v>
      </c>
      <c r="C413" s="7" t="str">
        <f>IFERROR(__xludf.DUMMYFUNCTION("""COMPUTED_VALUE"""),"S020")</f>
        <v>S020</v>
      </c>
      <c r="D413" s="7" t="str">
        <f>IFERROR(__xludf.DUMMYFUNCTION("""COMPUTED_VALUE"""),"Bash &amp; Shell Scripting")</f>
        <v>Bash &amp; Shell Scripting</v>
      </c>
    </row>
    <row r="414">
      <c r="A414" s="7" t="str">
        <f>IFERROR(__xludf.DUMMYFUNCTION("""COMPUTED_VALUE"""),"R10")</f>
        <v>R10</v>
      </c>
      <c r="B414" s="7" t="str">
        <f>IFERROR(__xludf.DUMMYFUNCTION("""COMPUTED_VALUE"""),"DevOps Engineer")</f>
        <v>DevOps Engineer</v>
      </c>
      <c r="C414" s="7" t="str">
        <f>IFERROR(__xludf.DUMMYFUNCTION("""COMPUTED_VALUE"""),"S022")</f>
        <v>S022</v>
      </c>
      <c r="D414" s="7" t="str">
        <f>IFERROR(__xludf.DUMMYFUNCTION("""COMPUTED_VALUE"""),"Computer Networking &amp; OSI Model")</f>
        <v>Computer Networking &amp; OSI Model</v>
      </c>
    </row>
    <row r="415">
      <c r="A415" s="7" t="str">
        <f>IFERROR(__xludf.DUMMYFUNCTION("""COMPUTED_VALUE"""),"R10")</f>
        <v>R10</v>
      </c>
      <c r="B415" s="7" t="str">
        <f>IFERROR(__xludf.DUMMYFUNCTION("""COMPUTED_VALUE"""),"DevOps Engineer")</f>
        <v>DevOps Engineer</v>
      </c>
      <c r="C415" s="7" t="str">
        <f>IFERROR(__xludf.DUMMYFUNCTION("""COMPUTED_VALUE"""),"S023")</f>
        <v>S023</v>
      </c>
      <c r="D415" s="7" t="str">
        <f>IFERROR(__xludf.DUMMYFUNCTION("""COMPUTED_VALUE"""),"HTTP/HTTPS Protocols &amp; Status Codes")</f>
        <v>HTTP/HTTPS Protocols &amp; Status Codes</v>
      </c>
    </row>
    <row r="416">
      <c r="A416" s="7" t="str">
        <f>IFERROR(__xludf.DUMMYFUNCTION("""COMPUTED_VALUE"""),"R10")</f>
        <v>R10</v>
      </c>
      <c r="B416" s="7" t="str">
        <f>IFERROR(__xludf.DUMMYFUNCTION("""COMPUTED_VALUE"""),"DevOps Engineer")</f>
        <v>DevOps Engineer</v>
      </c>
      <c r="C416" s="7" t="str">
        <f>IFERROR(__xludf.DUMMYFUNCTION("""COMPUTED_VALUE"""),"S024")</f>
        <v>S024</v>
      </c>
      <c r="D416" s="7" t="str">
        <f>IFERROR(__xludf.DUMMYFUNCTION("""COMPUTED_VALUE"""),"DNS, Domain Routing &amp; SSL/TLS")</f>
        <v>DNS, Domain Routing &amp; SSL/TLS</v>
      </c>
    </row>
    <row r="417">
      <c r="A417" s="7" t="str">
        <f>IFERROR(__xludf.DUMMYFUNCTION("""COMPUTED_VALUE"""),"R10")</f>
        <v>R10</v>
      </c>
      <c r="B417" s="7" t="str">
        <f>IFERROR(__xludf.DUMMYFUNCTION("""COMPUTED_VALUE"""),"DevOps Engineer")</f>
        <v>DevOps Engineer</v>
      </c>
      <c r="C417" s="7" t="str">
        <f>IFERROR(__xludf.DUMMYFUNCTION("""COMPUTED_VALUE"""),"S025")</f>
        <v>S025</v>
      </c>
      <c r="D417" s="7" t="str">
        <f>IFERROR(__xludf.DUMMYFUNCTION("""COMPUTED_VALUE"""),"Regular Expressions (Regex)")</f>
        <v>Regular Expressions (Regex)</v>
      </c>
    </row>
    <row r="418">
      <c r="A418" s="7" t="str">
        <f>IFERROR(__xludf.DUMMYFUNCTION("""COMPUTED_VALUE"""),"R10")</f>
        <v>R10</v>
      </c>
      <c r="B418" s="7" t="str">
        <f>IFERROR(__xludf.DUMMYFUNCTION("""COMPUTED_VALUE"""),"DevOps Engineer")</f>
        <v>DevOps Engineer</v>
      </c>
      <c r="C418" s="7" t="str">
        <f>IFERROR(__xludf.DUMMYFUNCTION("""COMPUTED_VALUE"""),"S026")</f>
        <v>S026</v>
      </c>
      <c r="D418" s="7" t="str">
        <f>IFERROR(__xludf.DUMMYFUNCTION("""COMPUTED_VALUE"""),"Data Serialization (JSON, XML, YAML, Protobuf)")</f>
        <v>Data Serialization (JSON, XML, YAML, Protobuf)</v>
      </c>
    </row>
    <row r="419">
      <c r="A419" s="7" t="str">
        <f>IFERROR(__xludf.DUMMYFUNCTION("""COMPUTED_VALUE"""),"R10")</f>
        <v>R10</v>
      </c>
      <c r="B419" s="7" t="str">
        <f>IFERROR(__xludf.DUMMYFUNCTION("""COMPUTED_VALUE"""),"DevOps Engineer")</f>
        <v>DevOps Engineer</v>
      </c>
      <c r="C419" s="7" t="str">
        <f>IFERROR(__xludf.DUMMYFUNCTION("""COMPUTED_VALUE"""),"S028")</f>
        <v>S028</v>
      </c>
      <c r="D419" s="7" t="str">
        <f>IFERROR(__xludf.DUMMYFUNCTION("""COMPUTED_VALUE"""),"Technical Writing &amp; Markdown Documentation")</f>
        <v>Technical Writing &amp; Markdown Documentation</v>
      </c>
    </row>
    <row r="420">
      <c r="A420" s="7" t="str">
        <f>IFERROR(__xludf.DUMMYFUNCTION("""COMPUTED_VALUE"""),"R10")</f>
        <v>R10</v>
      </c>
      <c r="B420" s="7" t="str">
        <f>IFERROR(__xludf.DUMMYFUNCTION("""COMPUTED_VALUE"""),"DevOps Engineer")</f>
        <v>DevOps Engineer</v>
      </c>
      <c r="C420" s="7" t="str">
        <f>IFERROR(__xludf.DUMMYFUNCTION("""COMPUTED_VALUE"""),"S029")</f>
        <v>S029</v>
      </c>
      <c r="D420" s="7" t="str">
        <f>IFERROR(__xludf.DUMMYFUNCTION("""COMPUTED_VALUE"""),"Debugging, Profiling &amp; Root Cause Analysis")</f>
        <v>Debugging, Profiling &amp; Root Cause Analysis</v>
      </c>
    </row>
    <row r="421">
      <c r="A421" s="7" t="str">
        <f>IFERROR(__xludf.DUMMYFUNCTION("""COMPUTED_VALUE"""),"R10")</f>
        <v>R10</v>
      </c>
      <c r="B421" s="7" t="str">
        <f>IFERROR(__xludf.DUMMYFUNCTION("""COMPUTED_VALUE"""),"DevOps Engineer")</f>
        <v>DevOps Engineer</v>
      </c>
      <c r="C421" s="7" t="str">
        <f>IFERROR(__xludf.DUMMYFUNCTION("""COMPUTED_VALUE"""),"S068")</f>
        <v>S068</v>
      </c>
      <c r="D421" s="7" t="str">
        <f>IFERROR(__xludf.DUMMYFUNCTION("""COMPUTED_VALUE"""),"Python Programming Fundamentals")</f>
        <v>Python Programming Fundamentals</v>
      </c>
    </row>
    <row r="422">
      <c r="A422" s="7" t="str">
        <f>IFERROR(__xludf.DUMMYFUNCTION("""COMPUTED_VALUE"""),"R10")</f>
        <v>R10</v>
      </c>
      <c r="B422" s="7" t="str">
        <f>IFERROR(__xludf.DUMMYFUNCTION("""COMPUTED_VALUE"""),"DevOps Engineer")</f>
        <v>DevOps Engineer</v>
      </c>
      <c r="C422" s="7" t="str">
        <f>IFERROR(__xludf.DUMMYFUNCTION("""COMPUTED_VALUE"""),"S077")</f>
        <v>S077</v>
      </c>
      <c r="D422" s="7" t="str">
        <f>IFERROR(__xludf.DUMMYFUNCTION("""COMPUTED_VALUE"""),"Go (Golang) Programming")</f>
        <v>Go (Golang) Programming</v>
      </c>
    </row>
    <row r="423">
      <c r="A423" s="7" t="str">
        <f>IFERROR(__xludf.DUMMYFUNCTION("""COMPUTED_VALUE"""),"R10")</f>
        <v>R10</v>
      </c>
      <c r="B423" s="7" t="str">
        <f>IFERROR(__xludf.DUMMYFUNCTION("""COMPUTED_VALUE"""),"DevOps Engineer")</f>
        <v>DevOps Engineer</v>
      </c>
      <c r="C423" s="7" t="str">
        <f>IFERROR(__xludf.DUMMYFUNCTION("""COMPUTED_VALUE"""),"S086")</f>
        <v>S086</v>
      </c>
      <c r="D423" s="7" t="str">
        <f>IFERROR(__xludf.DUMMYFUNCTION("""COMPUTED_VALUE"""),"RESTful API Design &amp; OpenAPI/Swagger")</f>
        <v>RESTful API Design &amp; OpenAPI/Swagger</v>
      </c>
    </row>
    <row r="424">
      <c r="A424" s="7" t="str">
        <f>IFERROR(__xludf.DUMMYFUNCTION("""COMPUTED_VALUE"""),"R10")</f>
        <v>R10</v>
      </c>
      <c r="B424" s="7" t="str">
        <f>IFERROR(__xludf.DUMMYFUNCTION("""COMPUTED_VALUE"""),"DevOps Engineer")</f>
        <v>DevOps Engineer</v>
      </c>
      <c r="C424" s="7" t="str">
        <f>IFERROR(__xludf.DUMMYFUNCTION("""COMPUTED_VALUE"""),"S094")</f>
        <v>S094</v>
      </c>
      <c r="D424" s="7" t="str">
        <f>IFERROR(__xludf.DUMMYFUNCTION("""COMPUTED_VALUE"""),"API Gateways, Rate Limiting &amp; Throttling (Kong, Envoy)")</f>
        <v>API Gateways, Rate Limiting &amp; Throttling (Kong, Envoy)</v>
      </c>
    </row>
    <row r="425">
      <c r="A425" s="7" t="str">
        <f>IFERROR(__xludf.DUMMYFUNCTION("""COMPUTED_VALUE"""),"R10")</f>
        <v>R10</v>
      </c>
      <c r="B425" s="7" t="str">
        <f>IFERROR(__xludf.DUMMYFUNCTION("""COMPUTED_VALUE"""),"DevOps Engineer")</f>
        <v>DevOps Engineer</v>
      </c>
      <c r="C425" s="7" t="str">
        <f>IFERROR(__xludf.DUMMYFUNCTION("""COMPUTED_VALUE"""),"S095")</f>
        <v>S095</v>
      </c>
      <c r="D425" s="7" t="str">
        <f>IFERROR(__xludf.DUMMYFUNCTION("""COMPUTED_VALUE"""),"Microservices Architecture &amp; Service Mesh")</f>
        <v>Microservices Architecture &amp; Service Mesh</v>
      </c>
    </row>
    <row r="426">
      <c r="A426" s="7" t="str">
        <f>IFERROR(__xludf.DUMMYFUNCTION("""COMPUTED_VALUE"""),"R10")</f>
        <v>R10</v>
      </c>
      <c r="B426" s="7" t="str">
        <f>IFERROR(__xludf.DUMMYFUNCTION("""COMPUTED_VALUE"""),"DevOps Engineer")</f>
        <v>DevOps Engineer</v>
      </c>
      <c r="C426" s="7" t="str">
        <f>IFERROR(__xludf.DUMMYFUNCTION("""COMPUTED_VALUE"""),"S171")</f>
        <v>S171</v>
      </c>
      <c r="D426" s="7" t="str">
        <f>IFERROR(__xludf.DUMMYFUNCTION("""COMPUTED_VALUE"""),"Containerization with Docker")</f>
        <v>Containerization with Docker</v>
      </c>
    </row>
    <row r="427">
      <c r="A427" s="7" t="str">
        <f>IFERROR(__xludf.DUMMYFUNCTION("""COMPUTED_VALUE"""),"R10")</f>
        <v>R10</v>
      </c>
      <c r="B427" s="7" t="str">
        <f>IFERROR(__xludf.DUMMYFUNCTION("""COMPUTED_VALUE"""),"DevOps Engineer")</f>
        <v>DevOps Engineer</v>
      </c>
      <c r="C427" s="7" t="str">
        <f>IFERROR(__xludf.DUMMYFUNCTION("""COMPUTED_VALUE"""),"S172")</f>
        <v>S172</v>
      </c>
      <c r="D427" s="7" t="str">
        <f>IFERROR(__xludf.DUMMYFUNCTION("""COMPUTED_VALUE"""),"Kubernetes Cluster Orchestration (K8s)")</f>
        <v>Kubernetes Cluster Orchestration (K8s)</v>
      </c>
    </row>
    <row r="428">
      <c r="A428" s="7" t="str">
        <f>IFERROR(__xludf.DUMMYFUNCTION("""COMPUTED_VALUE"""),"R10")</f>
        <v>R10</v>
      </c>
      <c r="B428" s="7" t="str">
        <f>IFERROR(__xludf.DUMMYFUNCTION("""COMPUTED_VALUE"""),"DevOps Engineer")</f>
        <v>DevOps Engineer</v>
      </c>
      <c r="C428" s="7" t="str">
        <f>IFERROR(__xludf.DUMMYFUNCTION("""COMPUTED_VALUE"""),"S173")</f>
        <v>S173</v>
      </c>
      <c r="D428" s="7" t="str">
        <f>IFERROR(__xludf.DUMMYFUNCTION("""COMPUTED_VALUE"""),"Kubernetes Package Management (Helm &amp; Kustomize)")</f>
        <v>Kubernetes Package Management (Helm &amp; Kustomize)</v>
      </c>
    </row>
    <row r="429">
      <c r="A429" s="7" t="str">
        <f>IFERROR(__xludf.DUMMYFUNCTION("""COMPUTED_VALUE"""),"R10")</f>
        <v>R10</v>
      </c>
      <c r="B429" s="7" t="str">
        <f>IFERROR(__xludf.DUMMYFUNCTION("""COMPUTED_VALUE"""),"DevOps Engineer")</f>
        <v>DevOps Engineer</v>
      </c>
      <c r="C429" s="7" t="str">
        <f>IFERROR(__xludf.DUMMYFUNCTION("""COMPUTED_VALUE"""),"S174")</f>
        <v>S174</v>
      </c>
      <c r="D429" s="7" t="str">
        <f>IFERROR(__xludf.DUMMYFUNCTION("""COMPUTED_VALUE"""),"Amazon Web Services Core (EC2, S3, RDS, IAM, VPC)")</f>
        <v>Amazon Web Services Core (EC2, S3, RDS, IAM, VPC)</v>
      </c>
    </row>
    <row r="430">
      <c r="A430" s="7" t="str">
        <f>IFERROR(__xludf.DUMMYFUNCTION("""COMPUTED_VALUE"""),"R10")</f>
        <v>R10</v>
      </c>
      <c r="B430" s="7" t="str">
        <f>IFERROR(__xludf.DUMMYFUNCTION("""COMPUTED_VALUE"""),"DevOps Engineer")</f>
        <v>DevOps Engineer</v>
      </c>
      <c r="C430" s="7" t="str">
        <f>IFERROR(__xludf.DUMMYFUNCTION("""COMPUTED_VALUE"""),"S175")</f>
        <v>S175</v>
      </c>
      <c r="D430" s="7" t="str">
        <f>IFERROR(__xludf.DUMMYFUNCTION("""COMPUTED_VALUE"""),"Microsoft Azure Cloud Services")</f>
        <v>Microsoft Azure Cloud Services</v>
      </c>
    </row>
    <row r="431">
      <c r="A431" s="7" t="str">
        <f>IFERROR(__xludf.DUMMYFUNCTION("""COMPUTED_VALUE"""),"R10")</f>
        <v>R10</v>
      </c>
      <c r="B431" s="7" t="str">
        <f>IFERROR(__xludf.DUMMYFUNCTION("""COMPUTED_VALUE"""),"DevOps Engineer")</f>
        <v>DevOps Engineer</v>
      </c>
      <c r="C431" s="7" t="str">
        <f>IFERROR(__xludf.DUMMYFUNCTION("""COMPUTED_VALUE"""),"S176")</f>
        <v>S176</v>
      </c>
      <c r="D431" s="7" t="str">
        <f>IFERROR(__xludf.DUMMYFUNCTION("""COMPUTED_VALUE"""),"Google Cloud Platform (GCP) Services")</f>
        <v>Google Cloud Platform (GCP) Services</v>
      </c>
    </row>
    <row r="432">
      <c r="A432" s="7" t="str">
        <f>IFERROR(__xludf.DUMMYFUNCTION("""COMPUTED_VALUE"""),"R10")</f>
        <v>R10</v>
      </c>
      <c r="B432" s="7" t="str">
        <f>IFERROR(__xludf.DUMMYFUNCTION("""COMPUTED_VALUE"""),"DevOps Engineer")</f>
        <v>DevOps Engineer</v>
      </c>
      <c r="C432" s="7" t="str">
        <f>IFERROR(__xludf.DUMMYFUNCTION("""COMPUTED_VALUE"""),"S178")</f>
        <v>S178</v>
      </c>
      <c r="D432" s="7" t="str">
        <f>IFERROR(__xludf.DUMMYFUNCTION("""COMPUTED_VALUE"""),"Infrastructure as Code (Terraform &amp; OpenTofu)")</f>
        <v>Infrastructure as Code (Terraform &amp; OpenTofu)</v>
      </c>
    </row>
    <row r="433">
      <c r="A433" s="7" t="str">
        <f>IFERROR(__xludf.DUMMYFUNCTION("""COMPUTED_VALUE"""),"R10")</f>
        <v>R10</v>
      </c>
      <c r="B433" s="7" t="str">
        <f>IFERROR(__xludf.DUMMYFUNCTION("""COMPUTED_VALUE"""),"DevOps Engineer")</f>
        <v>DevOps Engineer</v>
      </c>
      <c r="C433" s="7" t="str">
        <f>IFERROR(__xludf.DUMMYFUNCTION("""COMPUTED_VALUE"""),"S179")</f>
        <v>S179</v>
      </c>
      <c r="D433" s="7" t="str">
        <f>IFERROR(__xludf.DUMMYFUNCTION("""COMPUTED_VALUE"""),"Configuration Management (Ansible, Chef, Puppet)")</f>
        <v>Configuration Management (Ansible, Chef, Puppet)</v>
      </c>
    </row>
    <row r="434">
      <c r="A434" s="7" t="str">
        <f>IFERROR(__xludf.DUMMYFUNCTION("""COMPUTED_VALUE"""),"R10")</f>
        <v>R10</v>
      </c>
      <c r="B434" s="7" t="str">
        <f>IFERROR(__xludf.DUMMYFUNCTION("""COMPUTED_VALUE"""),"DevOps Engineer")</f>
        <v>DevOps Engineer</v>
      </c>
      <c r="C434" s="7" t="str">
        <f>IFERROR(__xludf.DUMMYFUNCTION("""COMPUTED_VALUE"""),"S180")</f>
        <v>S180</v>
      </c>
      <c r="D434" s="7" t="str">
        <f>IFERROR(__xludf.DUMMYFUNCTION("""COMPUTED_VALUE"""),"CI/CD Pipelines with GitHub Actions")</f>
        <v>CI/CD Pipelines with GitHub Actions</v>
      </c>
    </row>
    <row r="435">
      <c r="A435" s="7" t="str">
        <f>IFERROR(__xludf.DUMMYFUNCTION("""COMPUTED_VALUE"""),"R10")</f>
        <v>R10</v>
      </c>
      <c r="B435" s="7" t="str">
        <f>IFERROR(__xludf.DUMMYFUNCTION("""COMPUTED_VALUE"""),"DevOps Engineer")</f>
        <v>DevOps Engineer</v>
      </c>
      <c r="C435" s="7" t="str">
        <f>IFERROR(__xludf.DUMMYFUNCTION("""COMPUTED_VALUE"""),"S181")</f>
        <v>S181</v>
      </c>
      <c r="D435" s="7" t="str">
        <f>IFERROR(__xludf.DUMMYFUNCTION("""COMPUTED_VALUE"""),"CI/CD Automation with GitLab CI &amp; Jenkins")</f>
        <v>CI/CD Automation with GitLab CI &amp; Jenkins</v>
      </c>
    </row>
    <row r="436">
      <c r="A436" s="7" t="str">
        <f>IFERROR(__xludf.DUMMYFUNCTION("""COMPUTED_VALUE"""),"R10")</f>
        <v>R10</v>
      </c>
      <c r="B436" s="7" t="str">
        <f>IFERROR(__xludf.DUMMYFUNCTION("""COMPUTED_VALUE"""),"DevOps Engineer")</f>
        <v>DevOps Engineer</v>
      </c>
      <c r="C436" s="7" t="str">
        <f>IFERROR(__xludf.DUMMYFUNCTION("""COMPUTED_VALUE"""),"S182")</f>
        <v>S182</v>
      </c>
      <c r="D436" s="7" t="str">
        <f>IFERROR(__xludf.DUMMYFUNCTION("""COMPUTED_VALUE"""),"GitOps &amp; Continuous Delivery (ArgoCD, Flux)")</f>
        <v>GitOps &amp; Continuous Delivery (ArgoCD, Flux)</v>
      </c>
    </row>
    <row r="437">
      <c r="A437" s="7" t="str">
        <f>IFERROR(__xludf.DUMMYFUNCTION("""COMPUTED_VALUE"""),"R10")</f>
        <v>R10</v>
      </c>
      <c r="B437" s="7" t="str">
        <f>IFERROR(__xludf.DUMMYFUNCTION("""COMPUTED_VALUE"""),"DevOps Engineer")</f>
        <v>DevOps Engineer</v>
      </c>
      <c r="C437" s="7" t="str">
        <f>IFERROR(__xludf.DUMMYFUNCTION("""COMPUTED_VALUE"""),"S183")</f>
        <v>S183</v>
      </c>
      <c r="D437" s="7" t="str">
        <f>IFERROR(__xludf.DUMMYFUNCTION("""COMPUTED_VALUE"""),"Web Servers, Reverse Proxy &amp; Load Balancing (Nginx, HAProxy)")</f>
        <v>Web Servers, Reverse Proxy &amp; Load Balancing (Nginx, HAProxy)</v>
      </c>
    </row>
    <row r="438">
      <c r="A438" s="7" t="str">
        <f>IFERROR(__xludf.DUMMYFUNCTION("""COMPUTED_VALUE"""),"R10")</f>
        <v>R10</v>
      </c>
      <c r="B438" s="7" t="str">
        <f>IFERROR(__xludf.DUMMYFUNCTION("""COMPUTED_VALUE"""),"DevOps Engineer")</f>
        <v>DevOps Engineer</v>
      </c>
      <c r="C438" s="7" t="str">
        <f>IFERROR(__xludf.DUMMYFUNCTION("""COMPUTED_VALUE"""),"S184")</f>
        <v>S184</v>
      </c>
      <c r="D438" s="7" t="str">
        <f>IFERROR(__xludf.DUMMYFUNCTION("""COMPUTED_VALUE"""),"Infrastructure &amp; Metrics Monitoring (Prometheus &amp; Grafana)")</f>
        <v>Infrastructure &amp; Metrics Monitoring (Prometheus &amp; Grafana)</v>
      </c>
    </row>
    <row r="439">
      <c r="A439" s="7" t="str">
        <f>IFERROR(__xludf.DUMMYFUNCTION("""COMPUTED_VALUE"""),"R10")</f>
        <v>R10</v>
      </c>
      <c r="B439" s="7" t="str">
        <f>IFERROR(__xludf.DUMMYFUNCTION("""COMPUTED_VALUE"""),"DevOps Engineer")</f>
        <v>DevOps Engineer</v>
      </c>
      <c r="C439" s="7" t="str">
        <f>IFERROR(__xludf.DUMMYFUNCTION("""COMPUTED_VALUE"""),"S185")</f>
        <v>S185</v>
      </c>
      <c r="D439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440">
      <c r="A440" s="7" t="str">
        <f>IFERROR(__xludf.DUMMYFUNCTION("""COMPUTED_VALUE"""),"R10")</f>
        <v>R10</v>
      </c>
      <c r="B440" s="7" t="str">
        <f>IFERROR(__xludf.DUMMYFUNCTION("""COMPUTED_VALUE"""),"DevOps Engineer")</f>
        <v>DevOps Engineer</v>
      </c>
      <c r="C440" s="7" t="str">
        <f>IFERROR(__xludf.DUMMYFUNCTION("""COMPUTED_VALUE"""),"S186")</f>
        <v>S186</v>
      </c>
      <c r="D440" s="7" t="str">
        <f>IFERROR(__xludf.DUMMYFUNCTION("""COMPUTED_VALUE"""),"Site Reliability Engineering (SLIs, SLOs, SLAs &amp; Error Budgets)")</f>
        <v>Site Reliability Engineering (SLIs, SLOs, SLAs &amp; Error Budgets)</v>
      </c>
    </row>
    <row r="441">
      <c r="A441" s="7" t="str">
        <f>IFERROR(__xludf.DUMMYFUNCTION("""COMPUTED_VALUE"""),"R10")</f>
        <v>R10</v>
      </c>
      <c r="B441" s="7" t="str">
        <f>IFERROR(__xludf.DUMMYFUNCTION("""COMPUTED_VALUE"""),"DevOps Engineer")</f>
        <v>DevOps Engineer</v>
      </c>
      <c r="C441" s="7" t="str">
        <f>IFERROR(__xludf.DUMMYFUNCTION("""COMPUTED_VALUE"""),"S188")</f>
        <v>S188</v>
      </c>
      <c r="D441" s="7" t="str">
        <f>IFERROR(__xludf.DUMMYFUNCTION("""COMPUTED_VALUE"""),"High Availability, Failover &amp; Disaster Recovery")</f>
        <v>High Availability, Failover &amp; Disaster Recovery</v>
      </c>
    </row>
    <row r="442">
      <c r="A442" s="7" t="str">
        <f>IFERROR(__xludf.DUMMYFUNCTION("""COMPUTED_VALUE"""),"R10")</f>
        <v>R10</v>
      </c>
      <c r="B442" s="7" t="str">
        <f>IFERROR(__xludf.DUMMYFUNCTION("""COMPUTED_VALUE"""),"DevOps Engineer")</f>
        <v>DevOps Engineer</v>
      </c>
      <c r="C442" s="7" t="str">
        <f>IFERROR(__xludf.DUMMYFUNCTION("""COMPUTED_VALUE"""),"S191")</f>
        <v>S191</v>
      </c>
      <c r="D442" s="7" t="str">
        <f>IFERROR(__xludf.DUMMYFUNCTION("""COMPUTED_VALUE"""),"Enterprise Linux System Administration (RHEL, Ubuntu, systemd)")</f>
        <v>Enterprise Linux System Administration (RHEL, Ubuntu, systemd)</v>
      </c>
    </row>
    <row r="443">
      <c r="A443" s="7" t="str">
        <f>IFERROR(__xludf.DUMMYFUNCTION("""COMPUTED_VALUE"""),"R10")</f>
        <v>R10</v>
      </c>
      <c r="B443" s="7" t="str">
        <f>IFERROR(__xludf.DUMMYFUNCTION("""COMPUTED_VALUE"""),"DevOps Engineer")</f>
        <v>DevOps Engineer</v>
      </c>
      <c r="C443" s="7" t="str">
        <f>IFERROR(__xludf.DUMMYFUNCTION("""COMPUTED_VALUE"""),"S193")</f>
        <v>S193</v>
      </c>
      <c r="D443" s="7" t="str">
        <f>IFERROR(__xludf.DUMMYFUNCTION("""COMPUTED_VALUE"""),"Virtualization &amp; Hypervisors (VMware vSphere, Proxmox, KVM)")</f>
        <v>Virtualization &amp; Hypervisors (VMware vSphere, Proxmox, KVM)</v>
      </c>
    </row>
    <row r="444">
      <c r="A444" s="7" t="str">
        <f>IFERROR(__xludf.DUMMYFUNCTION("""COMPUTED_VALUE"""),"R10")</f>
        <v>R10</v>
      </c>
      <c r="B444" s="7" t="str">
        <f>IFERROR(__xludf.DUMMYFUNCTION("""COMPUTED_VALUE"""),"DevOps Engineer")</f>
        <v>DevOps Engineer</v>
      </c>
      <c r="C444" s="7" t="str">
        <f>IFERROR(__xludf.DUMMYFUNCTION("""COMPUTED_VALUE"""),"S194")</f>
        <v>S194</v>
      </c>
      <c r="D444" s="7" t="str">
        <f>IFERROR(__xludf.DUMMYFUNCTION("""COMPUTED_VALUE"""),"TCP/IP Networking, Subnetting, VLANs &amp; VPNs")</f>
        <v>TCP/IP Networking, Subnetting, VLANs &amp; VPNs</v>
      </c>
    </row>
    <row r="445">
      <c r="A445" s="7" t="str">
        <f>IFERROR(__xludf.DUMMYFUNCTION("""COMPUTED_VALUE"""),"R10")</f>
        <v>R10</v>
      </c>
      <c r="B445" s="7" t="str">
        <f>IFERROR(__xludf.DUMMYFUNCTION("""COMPUTED_VALUE"""),"DevOps Engineer")</f>
        <v>DevOps Engineer</v>
      </c>
      <c r="C445" s="7" t="str">
        <f>IFERROR(__xludf.DUMMYFUNCTION("""COMPUTED_VALUE"""),"S197")</f>
        <v>S197</v>
      </c>
      <c r="D445" s="7" t="str">
        <f>IFERROR(__xludf.DUMMYFUNCTION("""COMPUTED_VALUE"""),"Network Security, Firewalls &amp; WAF")</f>
        <v>Network Security, Firewalls &amp; WAF</v>
      </c>
    </row>
    <row r="446">
      <c r="A446" s="7" t="str">
        <f>IFERROR(__xludf.DUMMYFUNCTION("""COMPUTED_VALUE"""),"R10")</f>
        <v>R10</v>
      </c>
      <c r="B446" s="7" t="str">
        <f>IFERROR(__xludf.DUMMYFUNCTION("""COMPUTED_VALUE"""),"DevOps Engineer")</f>
        <v>DevOps Engineer</v>
      </c>
      <c r="C446" s="7" t="str">
        <f>IFERROR(__xludf.DUMMYFUNCTION("""COMPUTED_VALUE"""),"S213")</f>
        <v>S213</v>
      </c>
      <c r="D446" s="7" t="str">
        <f>IFERROR(__xludf.DUMMYFUNCTION("""COMPUTED_VALUE"""),"Container &amp; Kubernetes Security (Trivy, Falco, RBAC)")</f>
        <v>Container &amp; Kubernetes Security (Trivy, Falco, RBAC)</v>
      </c>
    </row>
    <row r="447">
      <c r="A447" s="7" t="str">
        <f>IFERROR(__xludf.DUMMYFUNCTION("""COMPUTED_VALUE"""),"R10")</f>
        <v>R10</v>
      </c>
      <c r="B447" s="7" t="str">
        <f>IFERROR(__xludf.DUMMYFUNCTION("""COMPUTED_VALUE"""),"DevOps Engineer")</f>
        <v>DevOps Engineer</v>
      </c>
      <c r="C447" s="7" t="str">
        <f>IFERROR(__xludf.DUMMYFUNCTION("""COMPUTED_VALUE"""),"S214")</f>
        <v>S214</v>
      </c>
      <c r="D447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448">
      <c r="A448" s="7" t="str">
        <f>IFERROR(__xludf.DUMMYFUNCTION("""COMPUTED_VALUE"""),"R10")</f>
        <v>R10</v>
      </c>
      <c r="B448" s="7" t="str">
        <f>IFERROR(__xludf.DUMMYFUNCTION("""COMPUTED_VALUE"""),"DevOps Engineer")</f>
        <v>DevOps Engineer</v>
      </c>
      <c r="C448" s="7" t="str">
        <f>IFERROR(__xludf.DUMMYFUNCTION("""COMPUTED_VALUE"""),"S215")</f>
        <v>S215</v>
      </c>
      <c r="D448" s="7" t="str">
        <f>IFERROR(__xludf.DUMMYFUNCTION("""COMPUTED_VALUE"""),"Secrets Management (HashiCorp Vault, AWS Secrets Manager)")</f>
        <v>Secrets Management (HashiCorp Vault, AWS Secrets Manager)</v>
      </c>
    </row>
    <row r="449">
      <c r="A449" s="7" t="str">
        <f>IFERROR(__xludf.DUMMYFUNCTION("""COMPUTED_VALUE"""),"R10")</f>
        <v>R10</v>
      </c>
      <c r="B449" s="7" t="str">
        <f>IFERROR(__xludf.DUMMYFUNCTION("""COMPUTED_VALUE"""),"DevOps Engineer")</f>
        <v>DevOps Engineer</v>
      </c>
      <c r="C449" s="7" t="str">
        <f>IFERROR(__xludf.DUMMYFUNCTION("""COMPUTED_VALUE"""),"S246")</f>
        <v>S246</v>
      </c>
      <c r="D449" s="7" t="str">
        <f>IFERROR(__xludf.DUMMYFUNCTION("""COMPUTED_VALUE"""),"Agile Methodologies, Scrum Framework &amp; Kanban")</f>
        <v>Agile Methodologies, Scrum Framework &amp; Kanban</v>
      </c>
    </row>
    <row r="450">
      <c r="A450" s="7" t="str">
        <f>IFERROR(__xludf.DUMMYFUNCTION("""COMPUTED_VALUE"""),"R10")</f>
        <v>R10</v>
      </c>
      <c r="B450" s="7" t="str">
        <f>IFERROR(__xludf.DUMMYFUNCTION("""COMPUTED_VALUE"""),"DevOps Engineer")</f>
        <v>DevOps Engineer</v>
      </c>
      <c r="C450" s="7" t="str">
        <f>IFERROR(__xludf.DUMMYFUNCTION("""COMPUTED_VALUE"""),"S247")</f>
        <v>S247</v>
      </c>
      <c r="D450" s="7" t="str">
        <f>IFERROR(__xludf.DUMMYFUNCTION("""COMPUTED_VALUE"""),"Project Tracking &amp; Documentation Tools (Jira, Confluence, Linear)")</f>
        <v>Project Tracking &amp; Documentation Tools (Jira, Confluence, Linear)</v>
      </c>
    </row>
    <row r="451">
      <c r="A451" s="7" t="str">
        <f>IFERROR(__xludf.DUMMYFUNCTION("""COMPUTED_VALUE"""),"R11")</f>
        <v>R11</v>
      </c>
      <c r="B451" s="7" t="str">
        <f>IFERROR(__xludf.DUMMYFUNCTION("""COMPUTED_VALUE"""),"Site Reliability Engineer (SRE)")</f>
        <v>Site Reliability Engineer (SRE)</v>
      </c>
      <c r="C451" s="7" t="str">
        <f>IFERROR(__xludf.DUMMYFUNCTION("""COMPUTED_VALUE"""),"S002")</f>
        <v>S002</v>
      </c>
      <c r="D451" s="7" t="str">
        <f>IFERROR(__xludf.DUMMYFUNCTION("""COMPUTED_VALUE"""),"Operating Systems Concepts")</f>
        <v>Operating Systems Concepts</v>
      </c>
    </row>
    <row r="452">
      <c r="A452" s="7" t="str">
        <f>IFERROR(__xludf.DUMMYFUNCTION("""COMPUTED_VALUE"""),"R11")</f>
        <v>R11</v>
      </c>
      <c r="B452" s="7" t="str">
        <f>IFERROR(__xludf.DUMMYFUNCTION("""COMPUTED_VALUE"""),"Site Reliability Engineer (SRE)")</f>
        <v>Site Reliability Engineer (SRE)</v>
      </c>
      <c r="C452" s="7" t="str">
        <f>IFERROR(__xludf.DUMMYFUNCTION("""COMPUTED_VALUE"""),"S003")</f>
        <v>S003</v>
      </c>
      <c r="D452" s="7" t="str">
        <f>IFERROR(__xludf.DUMMYFUNCTION("""COMPUTED_VALUE"""),"Process &amp; Thread Management")</f>
        <v>Process &amp; Thread Management</v>
      </c>
    </row>
    <row r="453">
      <c r="A453" s="7" t="str">
        <f>IFERROR(__xludf.DUMMYFUNCTION("""COMPUTED_VALUE"""),"R11")</f>
        <v>R11</v>
      </c>
      <c r="B453" s="7" t="str">
        <f>IFERROR(__xludf.DUMMYFUNCTION("""COMPUTED_VALUE"""),"Site Reliability Engineer (SRE)")</f>
        <v>Site Reliability Engineer (SRE)</v>
      </c>
      <c r="C453" s="7" t="str">
        <f>IFERROR(__xludf.DUMMYFUNCTION("""COMPUTED_VALUE"""),"S004")</f>
        <v>S004</v>
      </c>
      <c r="D453" s="7" t="str">
        <f>IFERROR(__xludf.DUMMYFUNCTION("""COMPUTED_VALUE"""),"Memory Management &amp; Paging")</f>
        <v>Memory Management &amp; Paging</v>
      </c>
    </row>
    <row r="454">
      <c r="A454" s="7" t="str">
        <f>IFERROR(__xludf.DUMMYFUNCTION("""COMPUTED_VALUE"""),"R11")</f>
        <v>R11</v>
      </c>
      <c r="B454" s="7" t="str">
        <f>IFERROR(__xludf.DUMMYFUNCTION("""COMPUTED_VALUE"""),"Site Reliability Engineer (SRE)")</f>
        <v>Site Reliability Engineer (SRE)</v>
      </c>
      <c r="C454" s="7" t="str">
        <f>IFERROR(__xludf.DUMMYFUNCTION("""COMPUTED_VALUE"""),"S005")</f>
        <v>S005</v>
      </c>
      <c r="D454" s="7" t="str">
        <f>IFERROR(__xludf.DUMMYFUNCTION("""COMPUTED_VALUE"""),"File Systems &amp; Storage I/O")</f>
        <v>File Systems &amp; Storage I/O</v>
      </c>
    </row>
    <row r="455">
      <c r="A455" s="7" t="str">
        <f>IFERROR(__xludf.DUMMYFUNCTION("""COMPUTED_VALUE"""),"R11")</f>
        <v>R11</v>
      </c>
      <c r="B455" s="7" t="str">
        <f>IFERROR(__xludf.DUMMYFUNCTION("""COMPUTED_VALUE"""),"Site Reliability Engineer (SRE)")</f>
        <v>Site Reliability Engineer (SRE)</v>
      </c>
      <c r="C455" s="7" t="str">
        <f>IFERROR(__xludf.DUMMYFUNCTION("""COMPUTED_VALUE"""),"S006")</f>
        <v>S006</v>
      </c>
      <c r="D455" s="7" t="str">
        <f>IFERROR(__xludf.DUMMYFUNCTION("""COMPUTED_VALUE"""),"Basic Data Structures (Arrays, Lists, Stacks, Queues)")</f>
        <v>Basic Data Structures (Arrays, Lists, Stacks, Queues)</v>
      </c>
    </row>
    <row r="456">
      <c r="A456" s="7" t="str">
        <f>IFERROR(__xludf.DUMMYFUNCTION("""COMPUTED_VALUE"""),"R11")</f>
        <v>R11</v>
      </c>
      <c r="B456" s="7" t="str">
        <f>IFERROR(__xludf.DUMMYFUNCTION("""COMPUTED_VALUE"""),"Site Reliability Engineer (SRE)")</f>
        <v>Site Reliability Engineer (SRE)</v>
      </c>
      <c r="C456" s="7" t="str">
        <f>IFERROR(__xludf.DUMMYFUNCTION("""COMPUTED_VALUE"""),"S010")</f>
        <v>S010</v>
      </c>
      <c r="D456" s="7" t="str">
        <f>IFERROR(__xludf.DUMMYFUNCTION("""COMPUTED_VALUE"""),"Sorting &amp; Searching Algorithms")</f>
        <v>Sorting &amp; Searching Algorithms</v>
      </c>
    </row>
    <row r="457">
      <c r="A457" s="7" t="str">
        <f>IFERROR(__xludf.DUMMYFUNCTION("""COMPUTED_VALUE"""),"R11")</f>
        <v>R11</v>
      </c>
      <c r="B457" s="7" t="str">
        <f>IFERROR(__xludf.DUMMYFUNCTION("""COMPUTED_VALUE"""),"Site Reliability Engineer (SRE)")</f>
        <v>Site Reliability Engineer (SRE)</v>
      </c>
      <c r="C457" s="7" t="str">
        <f>IFERROR(__xludf.DUMMYFUNCTION("""COMPUTED_VALUE"""),"S012")</f>
        <v>S012</v>
      </c>
      <c r="D457" s="7" t="str">
        <f>IFERROR(__xludf.DUMMYFUNCTION("""COMPUTED_VALUE"""),"Time &amp; Space Complexity (Big-O Analysis)")</f>
        <v>Time &amp; Space Complexity (Big-O Analysis)</v>
      </c>
    </row>
    <row r="458">
      <c r="A458" s="7" t="str">
        <f>IFERROR(__xludf.DUMMYFUNCTION("""COMPUTED_VALUE"""),"R11")</f>
        <v>R11</v>
      </c>
      <c r="B458" s="7" t="str">
        <f>IFERROR(__xludf.DUMMYFUNCTION("""COMPUTED_VALUE"""),"Site Reliability Engineer (SRE)")</f>
        <v>Site Reliability Engineer (SRE)</v>
      </c>
      <c r="C458" s="7" t="str">
        <f>IFERROR(__xludf.DUMMYFUNCTION("""COMPUTED_VALUE"""),"S017")</f>
        <v>S017</v>
      </c>
      <c r="D458" s="7" t="str">
        <f>IFERROR(__xludf.DUMMYFUNCTION("""COMPUTED_VALUE"""),"Git Version Control Fundamentals")</f>
        <v>Git Version Control Fundamentals</v>
      </c>
    </row>
    <row r="459">
      <c r="A459" s="7" t="str">
        <f>IFERROR(__xludf.DUMMYFUNCTION("""COMPUTED_VALUE"""),"R11")</f>
        <v>R11</v>
      </c>
      <c r="B459" s="7" t="str">
        <f>IFERROR(__xludf.DUMMYFUNCTION("""COMPUTED_VALUE"""),"Site Reliability Engineer (SRE)")</f>
        <v>Site Reliability Engineer (SRE)</v>
      </c>
      <c r="C459" s="7" t="str">
        <f>IFERROR(__xludf.DUMMYFUNCTION("""COMPUTED_VALUE"""),"S018")</f>
        <v>S018</v>
      </c>
      <c r="D459" s="7" t="str">
        <f>IFERROR(__xludf.DUMMYFUNCTION("""COMPUTED_VALUE"""),"GitHub / GitLab Workflows &amp; Pull Requests")</f>
        <v>GitHub / GitLab Workflows &amp; Pull Requests</v>
      </c>
    </row>
    <row r="460">
      <c r="A460" s="7" t="str">
        <f>IFERROR(__xludf.DUMMYFUNCTION("""COMPUTED_VALUE"""),"R11")</f>
        <v>R11</v>
      </c>
      <c r="B460" s="7" t="str">
        <f>IFERROR(__xludf.DUMMYFUNCTION("""COMPUTED_VALUE"""),"Site Reliability Engineer (SRE)")</f>
        <v>Site Reliability Engineer (SRE)</v>
      </c>
      <c r="C460" s="7" t="str">
        <f>IFERROR(__xludf.DUMMYFUNCTION("""COMPUTED_VALUE"""),"S019")</f>
        <v>S019</v>
      </c>
      <c r="D460" s="7" t="str">
        <f>IFERROR(__xludf.DUMMYFUNCTION("""COMPUTED_VALUE"""),"Linux Command Line &amp; File Permissions")</f>
        <v>Linux Command Line &amp; File Permissions</v>
      </c>
    </row>
    <row r="461">
      <c r="A461" s="7" t="str">
        <f>IFERROR(__xludf.DUMMYFUNCTION("""COMPUTED_VALUE"""),"R11")</f>
        <v>R11</v>
      </c>
      <c r="B461" s="7" t="str">
        <f>IFERROR(__xludf.DUMMYFUNCTION("""COMPUTED_VALUE"""),"Site Reliability Engineer (SRE)")</f>
        <v>Site Reliability Engineer (SRE)</v>
      </c>
      <c r="C461" s="7" t="str">
        <f>IFERROR(__xludf.DUMMYFUNCTION("""COMPUTED_VALUE"""),"S020")</f>
        <v>S020</v>
      </c>
      <c r="D461" s="7" t="str">
        <f>IFERROR(__xludf.DUMMYFUNCTION("""COMPUTED_VALUE"""),"Bash &amp; Shell Scripting")</f>
        <v>Bash &amp; Shell Scripting</v>
      </c>
    </row>
    <row r="462">
      <c r="A462" s="7" t="str">
        <f>IFERROR(__xludf.DUMMYFUNCTION("""COMPUTED_VALUE"""),"R11")</f>
        <v>R11</v>
      </c>
      <c r="B462" s="7" t="str">
        <f>IFERROR(__xludf.DUMMYFUNCTION("""COMPUTED_VALUE"""),"Site Reliability Engineer (SRE)")</f>
        <v>Site Reliability Engineer (SRE)</v>
      </c>
      <c r="C462" s="7" t="str">
        <f>IFERROR(__xludf.DUMMYFUNCTION("""COMPUTED_VALUE"""),"S022")</f>
        <v>S022</v>
      </c>
      <c r="D462" s="7" t="str">
        <f>IFERROR(__xludf.DUMMYFUNCTION("""COMPUTED_VALUE"""),"Computer Networking &amp; OSI Model")</f>
        <v>Computer Networking &amp; OSI Model</v>
      </c>
    </row>
    <row r="463">
      <c r="A463" s="7" t="str">
        <f>IFERROR(__xludf.DUMMYFUNCTION("""COMPUTED_VALUE"""),"R11")</f>
        <v>R11</v>
      </c>
      <c r="B463" s="7" t="str">
        <f>IFERROR(__xludf.DUMMYFUNCTION("""COMPUTED_VALUE"""),"Site Reliability Engineer (SRE)")</f>
        <v>Site Reliability Engineer (SRE)</v>
      </c>
      <c r="C463" s="7" t="str">
        <f>IFERROR(__xludf.DUMMYFUNCTION("""COMPUTED_VALUE"""),"S023")</f>
        <v>S023</v>
      </c>
      <c r="D463" s="7" t="str">
        <f>IFERROR(__xludf.DUMMYFUNCTION("""COMPUTED_VALUE"""),"HTTP/HTTPS Protocols &amp; Status Codes")</f>
        <v>HTTP/HTTPS Protocols &amp; Status Codes</v>
      </c>
    </row>
    <row r="464">
      <c r="A464" s="7" t="str">
        <f>IFERROR(__xludf.DUMMYFUNCTION("""COMPUTED_VALUE"""),"R11")</f>
        <v>R11</v>
      </c>
      <c r="B464" s="7" t="str">
        <f>IFERROR(__xludf.DUMMYFUNCTION("""COMPUTED_VALUE"""),"Site Reliability Engineer (SRE)")</f>
        <v>Site Reliability Engineer (SRE)</v>
      </c>
      <c r="C464" s="7" t="str">
        <f>IFERROR(__xludf.DUMMYFUNCTION("""COMPUTED_VALUE"""),"S024")</f>
        <v>S024</v>
      </c>
      <c r="D464" s="7" t="str">
        <f>IFERROR(__xludf.DUMMYFUNCTION("""COMPUTED_VALUE"""),"DNS, Domain Routing &amp; SSL/TLS")</f>
        <v>DNS, Domain Routing &amp; SSL/TLS</v>
      </c>
    </row>
    <row r="465">
      <c r="A465" s="7" t="str">
        <f>IFERROR(__xludf.DUMMYFUNCTION("""COMPUTED_VALUE"""),"R11")</f>
        <v>R11</v>
      </c>
      <c r="B465" s="7" t="str">
        <f>IFERROR(__xludf.DUMMYFUNCTION("""COMPUTED_VALUE"""),"Site Reliability Engineer (SRE)")</f>
        <v>Site Reliability Engineer (SRE)</v>
      </c>
      <c r="C465" s="7" t="str">
        <f>IFERROR(__xludf.DUMMYFUNCTION("""COMPUTED_VALUE"""),"S026")</f>
        <v>S026</v>
      </c>
      <c r="D465" s="7" t="str">
        <f>IFERROR(__xludf.DUMMYFUNCTION("""COMPUTED_VALUE"""),"Data Serialization (JSON, XML, YAML, Protobuf)")</f>
        <v>Data Serialization (JSON, XML, YAML, Protobuf)</v>
      </c>
    </row>
    <row r="466">
      <c r="A466" s="7" t="str">
        <f>IFERROR(__xludf.DUMMYFUNCTION("""COMPUTED_VALUE"""),"R11")</f>
        <v>R11</v>
      </c>
      <c r="B466" s="7" t="str">
        <f>IFERROR(__xludf.DUMMYFUNCTION("""COMPUTED_VALUE"""),"Site Reliability Engineer (SRE)")</f>
        <v>Site Reliability Engineer (SRE)</v>
      </c>
      <c r="C466" s="7" t="str">
        <f>IFERROR(__xludf.DUMMYFUNCTION("""COMPUTED_VALUE"""),"S028")</f>
        <v>S028</v>
      </c>
      <c r="D466" s="7" t="str">
        <f>IFERROR(__xludf.DUMMYFUNCTION("""COMPUTED_VALUE"""),"Technical Writing &amp; Markdown Documentation")</f>
        <v>Technical Writing &amp; Markdown Documentation</v>
      </c>
    </row>
    <row r="467">
      <c r="A467" s="7" t="str">
        <f>IFERROR(__xludf.DUMMYFUNCTION("""COMPUTED_VALUE"""),"R11")</f>
        <v>R11</v>
      </c>
      <c r="B467" s="7" t="str">
        <f>IFERROR(__xludf.DUMMYFUNCTION("""COMPUTED_VALUE"""),"Site Reliability Engineer (SRE)")</f>
        <v>Site Reliability Engineer (SRE)</v>
      </c>
      <c r="C467" s="7" t="str">
        <f>IFERROR(__xludf.DUMMYFUNCTION("""COMPUTED_VALUE"""),"S029")</f>
        <v>S029</v>
      </c>
      <c r="D467" s="7" t="str">
        <f>IFERROR(__xludf.DUMMYFUNCTION("""COMPUTED_VALUE"""),"Debugging, Profiling &amp; Root Cause Analysis")</f>
        <v>Debugging, Profiling &amp; Root Cause Analysis</v>
      </c>
    </row>
    <row r="468">
      <c r="A468" s="7" t="str">
        <f>IFERROR(__xludf.DUMMYFUNCTION("""COMPUTED_VALUE"""),"R11")</f>
        <v>R11</v>
      </c>
      <c r="B468" s="7" t="str">
        <f>IFERROR(__xludf.DUMMYFUNCTION("""COMPUTED_VALUE"""),"Site Reliability Engineer (SRE)")</f>
        <v>Site Reliability Engineer (SRE)</v>
      </c>
      <c r="C468" s="7" t="str">
        <f>IFERROR(__xludf.DUMMYFUNCTION("""COMPUTED_VALUE"""),"S068")</f>
        <v>S068</v>
      </c>
      <c r="D468" s="7" t="str">
        <f>IFERROR(__xludf.DUMMYFUNCTION("""COMPUTED_VALUE"""),"Python Programming Fundamentals")</f>
        <v>Python Programming Fundamentals</v>
      </c>
    </row>
    <row r="469">
      <c r="A469" s="7" t="str">
        <f>IFERROR(__xludf.DUMMYFUNCTION("""COMPUTED_VALUE"""),"R11")</f>
        <v>R11</v>
      </c>
      <c r="B469" s="7" t="str">
        <f>IFERROR(__xludf.DUMMYFUNCTION("""COMPUTED_VALUE"""),"Site Reliability Engineer (SRE)")</f>
        <v>Site Reliability Engineer (SRE)</v>
      </c>
      <c r="C469" s="7" t="str">
        <f>IFERROR(__xludf.DUMMYFUNCTION("""COMPUTED_VALUE"""),"S077")</f>
        <v>S077</v>
      </c>
      <c r="D469" s="7" t="str">
        <f>IFERROR(__xludf.DUMMYFUNCTION("""COMPUTED_VALUE"""),"Go (Golang) Programming")</f>
        <v>Go (Golang) Programming</v>
      </c>
    </row>
    <row r="470">
      <c r="A470" s="7" t="str">
        <f>IFERROR(__xludf.DUMMYFUNCTION("""COMPUTED_VALUE"""),"R11")</f>
        <v>R11</v>
      </c>
      <c r="B470" s="7" t="str">
        <f>IFERROR(__xludf.DUMMYFUNCTION("""COMPUTED_VALUE"""),"Site Reliability Engineer (SRE)")</f>
        <v>Site Reliability Engineer (SRE)</v>
      </c>
      <c r="C470" s="7" t="str">
        <f>IFERROR(__xludf.DUMMYFUNCTION("""COMPUTED_VALUE"""),"S086")</f>
        <v>S086</v>
      </c>
      <c r="D470" s="7" t="str">
        <f>IFERROR(__xludf.DUMMYFUNCTION("""COMPUTED_VALUE"""),"RESTful API Design &amp; OpenAPI/Swagger")</f>
        <v>RESTful API Design &amp; OpenAPI/Swagger</v>
      </c>
    </row>
    <row r="471">
      <c r="A471" s="7" t="str">
        <f>IFERROR(__xludf.DUMMYFUNCTION("""COMPUTED_VALUE"""),"R11")</f>
        <v>R11</v>
      </c>
      <c r="B471" s="7" t="str">
        <f>IFERROR(__xludf.DUMMYFUNCTION("""COMPUTED_VALUE"""),"Site Reliability Engineer (SRE)")</f>
        <v>Site Reliability Engineer (SRE)</v>
      </c>
      <c r="C471" s="7" t="str">
        <f>IFERROR(__xludf.DUMMYFUNCTION("""COMPUTED_VALUE"""),"S094")</f>
        <v>S094</v>
      </c>
      <c r="D471" s="7" t="str">
        <f>IFERROR(__xludf.DUMMYFUNCTION("""COMPUTED_VALUE"""),"API Gateways, Rate Limiting &amp; Throttling (Kong, Envoy)")</f>
        <v>API Gateways, Rate Limiting &amp; Throttling (Kong, Envoy)</v>
      </c>
    </row>
    <row r="472">
      <c r="A472" s="7" t="str">
        <f>IFERROR(__xludf.DUMMYFUNCTION("""COMPUTED_VALUE"""),"R11")</f>
        <v>R11</v>
      </c>
      <c r="B472" s="7" t="str">
        <f>IFERROR(__xludf.DUMMYFUNCTION("""COMPUTED_VALUE"""),"Site Reliability Engineer (SRE)")</f>
        <v>Site Reliability Engineer (SRE)</v>
      </c>
      <c r="C472" s="7" t="str">
        <f>IFERROR(__xludf.DUMMYFUNCTION("""COMPUTED_VALUE"""),"S095")</f>
        <v>S095</v>
      </c>
      <c r="D472" s="7" t="str">
        <f>IFERROR(__xludf.DUMMYFUNCTION("""COMPUTED_VALUE"""),"Microservices Architecture &amp; Service Mesh")</f>
        <v>Microservices Architecture &amp; Service Mesh</v>
      </c>
    </row>
    <row r="473">
      <c r="A473" s="7" t="str">
        <f>IFERROR(__xludf.DUMMYFUNCTION("""COMPUTED_VALUE"""),"R11")</f>
        <v>R11</v>
      </c>
      <c r="B473" s="7" t="str">
        <f>IFERROR(__xludf.DUMMYFUNCTION("""COMPUTED_VALUE"""),"Site Reliability Engineer (SRE)")</f>
        <v>Site Reliability Engineer (SRE)</v>
      </c>
      <c r="C473" s="7" t="str">
        <f>IFERROR(__xludf.DUMMYFUNCTION("""COMPUTED_VALUE"""),"S099")</f>
        <v>S099</v>
      </c>
      <c r="D473" s="7" t="str">
        <f>IFERROR(__xludf.DUMMYFUNCTION("""COMPUTED_VALUE"""),"Backend Caching Strategies (In-Memory, CDN, Write-Through)")</f>
        <v>Backend Caching Strategies (In-Memory, CDN, Write-Through)</v>
      </c>
    </row>
    <row r="474">
      <c r="A474" s="7" t="str">
        <f>IFERROR(__xludf.DUMMYFUNCTION("""COMPUTED_VALUE"""),"R11")</f>
        <v>R11</v>
      </c>
      <c r="B474" s="7" t="str">
        <f>IFERROR(__xludf.DUMMYFUNCTION("""COMPUTED_VALUE"""),"Site Reliability Engineer (SRE)")</f>
        <v>Site Reliability Engineer (SRE)</v>
      </c>
      <c r="C474" s="7" t="str">
        <f>IFERROR(__xludf.DUMMYFUNCTION("""COMPUTED_VALUE"""),"S100")</f>
        <v>S100</v>
      </c>
      <c r="D474" s="7" t="str">
        <f>IFERROR(__xludf.DUMMYFUNCTION("""COMPUTED_VALUE"""),"Multithreading, Concurrency &amp; Parallel Processing")</f>
        <v>Multithreading, Concurrency &amp; Parallel Processing</v>
      </c>
    </row>
    <row r="475">
      <c r="A475" s="7" t="str">
        <f>IFERROR(__xludf.DUMMYFUNCTION("""COMPUTED_VALUE"""),"R11")</f>
        <v>R11</v>
      </c>
      <c r="B475" s="7" t="str">
        <f>IFERROR(__xludf.DUMMYFUNCTION("""COMPUTED_VALUE"""),"Site Reliability Engineer (SRE)")</f>
        <v>Site Reliability Engineer (SRE)</v>
      </c>
      <c r="C475" s="7" t="str">
        <f>IFERROR(__xludf.DUMMYFUNCTION("""COMPUTED_VALUE"""),"S104")</f>
        <v>S104</v>
      </c>
      <c r="D475" s="7" t="str">
        <f>IFERROR(__xludf.DUMMYFUNCTION("""COMPUTED_VALUE"""),"Load &amp; Performance Testing (JMeter, k6, Locust)")</f>
        <v>Load &amp; Performance Testing (JMeter, k6, Locust)</v>
      </c>
    </row>
    <row r="476">
      <c r="A476" s="7" t="str">
        <f>IFERROR(__xludf.DUMMYFUNCTION("""COMPUTED_VALUE"""),"R11")</f>
        <v>R11</v>
      </c>
      <c r="B476" s="7" t="str">
        <f>IFERROR(__xludf.DUMMYFUNCTION("""COMPUTED_VALUE"""),"Site Reliability Engineer (SRE)")</f>
        <v>Site Reliability Engineer (SRE)</v>
      </c>
      <c r="C476" s="7" t="str">
        <f>IFERROR(__xludf.DUMMYFUNCTION("""COMPUTED_VALUE"""),"S109")</f>
        <v>S109</v>
      </c>
      <c r="D476" s="7" t="str">
        <f>IFERROR(__xludf.DUMMYFUNCTION("""COMPUTED_VALUE"""),"PostgreSQL Administration &amp; Development")</f>
        <v>PostgreSQL Administration &amp; Development</v>
      </c>
    </row>
    <row r="477">
      <c r="A477" s="7" t="str">
        <f>IFERROR(__xludf.DUMMYFUNCTION("""COMPUTED_VALUE"""),"R11")</f>
        <v>R11</v>
      </c>
      <c r="B477" s="7" t="str">
        <f>IFERROR(__xludf.DUMMYFUNCTION("""COMPUTED_VALUE"""),"Site Reliability Engineer (SRE)")</f>
        <v>Site Reliability Engineer (SRE)</v>
      </c>
      <c r="C477" s="7" t="str">
        <f>IFERROR(__xludf.DUMMYFUNCTION("""COMPUTED_VALUE"""),"S114")</f>
        <v>S114</v>
      </c>
      <c r="D477" s="7" t="str">
        <f>IFERROR(__xludf.DUMMYFUNCTION("""COMPUTED_VALUE"""),"Database Indexing, Query Plans &amp; Optimization")</f>
        <v>Database Indexing, Query Plans &amp; Optimization</v>
      </c>
    </row>
    <row r="478">
      <c r="A478" s="7" t="str">
        <f>IFERROR(__xludf.DUMMYFUNCTION("""COMPUTED_VALUE"""),"R11")</f>
        <v>R11</v>
      </c>
      <c r="B478" s="7" t="str">
        <f>IFERROR(__xludf.DUMMYFUNCTION("""COMPUTED_VALUE"""),"Site Reliability Engineer (SRE)")</f>
        <v>Site Reliability Engineer (SRE)</v>
      </c>
      <c r="C478" s="7" t="str">
        <f>IFERROR(__xludf.DUMMYFUNCTION("""COMPUTED_VALUE"""),"S116")</f>
        <v>S116</v>
      </c>
      <c r="D478" s="7" t="str">
        <f>IFERROR(__xludf.DUMMYFUNCTION("""COMPUTED_VALUE"""),"Database Replication, Sharding &amp; Partitioning")</f>
        <v>Database Replication, Sharding &amp; Partitioning</v>
      </c>
    </row>
    <row r="479">
      <c r="A479" s="7" t="str">
        <f>IFERROR(__xludf.DUMMYFUNCTION("""COMPUTED_VALUE"""),"R11")</f>
        <v>R11</v>
      </c>
      <c r="B479" s="7" t="str">
        <f>IFERROR(__xludf.DUMMYFUNCTION("""COMPUTED_VALUE"""),"Site Reliability Engineer (SRE)")</f>
        <v>Site Reliability Engineer (SRE)</v>
      </c>
      <c r="C479" s="7" t="str">
        <f>IFERROR(__xludf.DUMMYFUNCTION("""COMPUTED_VALUE"""),"S117")</f>
        <v>S117</v>
      </c>
      <c r="D479" s="7" t="str">
        <f>IFERROR(__xludf.DUMMYFUNCTION("""COMPUTED_VALUE"""),"Database Backup, Point-in-Time Recovery &amp; Migration")</f>
        <v>Database Backup, Point-in-Time Recovery &amp; Migration</v>
      </c>
    </row>
    <row r="480">
      <c r="A480" s="7" t="str">
        <f>IFERROR(__xludf.DUMMYFUNCTION("""COMPUTED_VALUE"""),"R11")</f>
        <v>R11</v>
      </c>
      <c r="B480" s="7" t="str">
        <f>IFERROR(__xludf.DUMMYFUNCTION("""COMPUTED_VALUE"""),"Site Reliability Engineer (SRE)")</f>
        <v>Site Reliability Engineer (SRE)</v>
      </c>
      <c r="C480" s="7" t="str">
        <f>IFERROR(__xludf.DUMMYFUNCTION("""COMPUTED_VALUE"""),"S120")</f>
        <v>S120</v>
      </c>
      <c r="D480" s="7" t="str">
        <f>IFERROR(__xludf.DUMMYFUNCTION("""COMPUTED_VALUE"""),"Key-Value Stores &amp; In-Memory DBs (Redis, Memcached)")</f>
        <v>Key-Value Stores &amp; In-Memory DBs (Redis, Memcached)</v>
      </c>
    </row>
    <row r="481">
      <c r="A481" s="7" t="str">
        <f>IFERROR(__xludf.DUMMYFUNCTION("""COMPUTED_VALUE"""),"R11")</f>
        <v>R11</v>
      </c>
      <c r="B481" s="7" t="str">
        <f>IFERROR(__xludf.DUMMYFUNCTION("""COMPUTED_VALUE"""),"Site Reliability Engineer (SRE)")</f>
        <v>Site Reliability Engineer (SRE)</v>
      </c>
      <c r="C481" s="7" t="str">
        <f>IFERROR(__xludf.DUMMYFUNCTION("""COMPUTED_VALUE"""),"S171")</f>
        <v>S171</v>
      </c>
      <c r="D481" s="7" t="str">
        <f>IFERROR(__xludf.DUMMYFUNCTION("""COMPUTED_VALUE"""),"Containerization with Docker")</f>
        <v>Containerization with Docker</v>
      </c>
    </row>
    <row r="482">
      <c r="A482" s="7" t="str">
        <f>IFERROR(__xludf.DUMMYFUNCTION("""COMPUTED_VALUE"""),"R11")</f>
        <v>R11</v>
      </c>
      <c r="B482" s="7" t="str">
        <f>IFERROR(__xludf.DUMMYFUNCTION("""COMPUTED_VALUE"""),"Site Reliability Engineer (SRE)")</f>
        <v>Site Reliability Engineer (SRE)</v>
      </c>
      <c r="C482" s="7" t="str">
        <f>IFERROR(__xludf.DUMMYFUNCTION("""COMPUTED_VALUE"""),"S172")</f>
        <v>S172</v>
      </c>
      <c r="D482" s="7" t="str">
        <f>IFERROR(__xludf.DUMMYFUNCTION("""COMPUTED_VALUE"""),"Kubernetes Cluster Orchestration (K8s)")</f>
        <v>Kubernetes Cluster Orchestration (K8s)</v>
      </c>
    </row>
    <row r="483">
      <c r="A483" s="7" t="str">
        <f>IFERROR(__xludf.DUMMYFUNCTION("""COMPUTED_VALUE"""),"R11")</f>
        <v>R11</v>
      </c>
      <c r="B483" s="7" t="str">
        <f>IFERROR(__xludf.DUMMYFUNCTION("""COMPUTED_VALUE"""),"Site Reliability Engineer (SRE)")</f>
        <v>Site Reliability Engineer (SRE)</v>
      </c>
      <c r="C483" s="7" t="str">
        <f>IFERROR(__xludf.DUMMYFUNCTION("""COMPUTED_VALUE"""),"S173")</f>
        <v>S173</v>
      </c>
      <c r="D483" s="7" t="str">
        <f>IFERROR(__xludf.DUMMYFUNCTION("""COMPUTED_VALUE"""),"Kubernetes Package Management (Helm &amp; Kustomize)")</f>
        <v>Kubernetes Package Management (Helm &amp; Kustomize)</v>
      </c>
    </row>
    <row r="484">
      <c r="A484" s="7" t="str">
        <f>IFERROR(__xludf.DUMMYFUNCTION("""COMPUTED_VALUE"""),"R11")</f>
        <v>R11</v>
      </c>
      <c r="B484" s="7" t="str">
        <f>IFERROR(__xludf.DUMMYFUNCTION("""COMPUTED_VALUE"""),"Site Reliability Engineer (SRE)")</f>
        <v>Site Reliability Engineer (SRE)</v>
      </c>
      <c r="C484" s="7" t="str">
        <f>IFERROR(__xludf.DUMMYFUNCTION("""COMPUTED_VALUE"""),"S174")</f>
        <v>S174</v>
      </c>
      <c r="D484" s="7" t="str">
        <f>IFERROR(__xludf.DUMMYFUNCTION("""COMPUTED_VALUE"""),"Amazon Web Services Core (EC2, S3, RDS, IAM, VPC)")</f>
        <v>Amazon Web Services Core (EC2, S3, RDS, IAM, VPC)</v>
      </c>
    </row>
    <row r="485">
      <c r="A485" s="7" t="str">
        <f>IFERROR(__xludf.DUMMYFUNCTION("""COMPUTED_VALUE"""),"R11")</f>
        <v>R11</v>
      </c>
      <c r="B485" s="7" t="str">
        <f>IFERROR(__xludf.DUMMYFUNCTION("""COMPUTED_VALUE"""),"Site Reliability Engineer (SRE)")</f>
        <v>Site Reliability Engineer (SRE)</v>
      </c>
      <c r="C485" s="7" t="str">
        <f>IFERROR(__xludf.DUMMYFUNCTION("""COMPUTED_VALUE"""),"S178")</f>
        <v>S178</v>
      </c>
      <c r="D485" s="7" t="str">
        <f>IFERROR(__xludf.DUMMYFUNCTION("""COMPUTED_VALUE"""),"Infrastructure as Code (Terraform &amp; OpenTofu)")</f>
        <v>Infrastructure as Code (Terraform &amp; OpenTofu)</v>
      </c>
    </row>
    <row r="486">
      <c r="A486" s="7" t="str">
        <f>IFERROR(__xludf.DUMMYFUNCTION("""COMPUTED_VALUE"""),"R11")</f>
        <v>R11</v>
      </c>
      <c r="B486" s="7" t="str">
        <f>IFERROR(__xludf.DUMMYFUNCTION("""COMPUTED_VALUE"""),"Site Reliability Engineer (SRE)")</f>
        <v>Site Reliability Engineer (SRE)</v>
      </c>
      <c r="C486" s="7" t="str">
        <f>IFERROR(__xludf.DUMMYFUNCTION("""COMPUTED_VALUE"""),"S179")</f>
        <v>S179</v>
      </c>
      <c r="D486" s="7" t="str">
        <f>IFERROR(__xludf.DUMMYFUNCTION("""COMPUTED_VALUE"""),"Configuration Management (Ansible, Chef, Puppet)")</f>
        <v>Configuration Management (Ansible, Chef, Puppet)</v>
      </c>
    </row>
    <row r="487">
      <c r="A487" s="7" t="str">
        <f>IFERROR(__xludf.DUMMYFUNCTION("""COMPUTED_VALUE"""),"R11")</f>
        <v>R11</v>
      </c>
      <c r="B487" s="7" t="str">
        <f>IFERROR(__xludf.DUMMYFUNCTION("""COMPUTED_VALUE"""),"Site Reliability Engineer (SRE)")</f>
        <v>Site Reliability Engineer (SRE)</v>
      </c>
      <c r="C487" s="7" t="str">
        <f>IFERROR(__xludf.DUMMYFUNCTION("""COMPUTED_VALUE"""),"S180")</f>
        <v>S180</v>
      </c>
      <c r="D487" s="7" t="str">
        <f>IFERROR(__xludf.DUMMYFUNCTION("""COMPUTED_VALUE"""),"CI/CD Pipelines with GitHub Actions")</f>
        <v>CI/CD Pipelines with GitHub Actions</v>
      </c>
    </row>
    <row r="488">
      <c r="A488" s="7" t="str">
        <f>IFERROR(__xludf.DUMMYFUNCTION("""COMPUTED_VALUE"""),"R11")</f>
        <v>R11</v>
      </c>
      <c r="B488" s="7" t="str">
        <f>IFERROR(__xludf.DUMMYFUNCTION("""COMPUTED_VALUE"""),"Site Reliability Engineer (SRE)")</f>
        <v>Site Reliability Engineer (SRE)</v>
      </c>
      <c r="C488" s="7" t="str">
        <f>IFERROR(__xludf.DUMMYFUNCTION("""COMPUTED_VALUE"""),"S182")</f>
        <v>S182</v>
      </c>
      <c r="D488" s="7" t="str">
        <f>IFERROR(__xludf.DUMMYFUNCTION("""COMPUTED_VALUE"""),"GitOps &amp; Continuous Delivery (ArgoCD, Flux)")</f>
        <v>GitOps &amp; Continuous Delivery (ArgoCD, Flux)</v>
      </c>
    </row>
    <row r="489">
      <c r="A489" s="7" t="str">
        <f>IFERROR(__xludf.DUMMYFUNCTION("""COMPUTED_VALUE"""),"R11")</f>
        <v>R11</v>
      </c>
      <c r="B489" s="7" t="str">
        <f>IFERROR(__xludf.DUMMYFUNCTION("""COMPUTED_VALUE"""),"Site Reliability Engineer (SRE)")</f>
        <v>Site Reliability Engineer (SRE)</v>
      </c>
      <c r="C489" s="7" t="str">
        <f>IFERROR(__xludf.DUMMYFUNCTION("""COMPUTED_VALUE"""),"S183")</f>
        <v>S183</v>
      </c>
      <c r="D489" s="7" t="str">
        <f>IFERROR(__xludf.DUMMYFUNCTION("""COMPUTED_VALUE"""),"Web Servers, Reverse Proxy &amp; Load Balancing (Nginx, HAProxy)")</f>
        <v>Web Servers, Reverse Proxy &amp; Load Balancing (Nginx, HAProxy)</v>
      </c>
    </row>
    <row r="490">
      <c r="A490" s="7" t="str">
        <f>IFERROR(__xludf.DUMMYFUNCTION("""COMPUTED_VALUE"""),"R11")</f>
        <v>R11</v>
      </c>
      <c r="B490" s="7" t="str">
        <f>IFERROR(__xludf.DUMMYFUNCTION("""COMPUTED_VALUE"""),"Site Reliability Engineer (SRE)")</f>
        <v>Site Reliability Engineer (SRE)</v>
      </c>
      <c r="C490" s="7" t="str">
        <f>IFERROR(__xludf.DUMMYFUNCTION("""COMPUTED_VALUE"""),"S184")</f>
        <v>S184</v>
      </c>
      <c r="D490" s="7" t="str">
        <f>IFERROR(__xludf.DUMMYFUNCTION("""COMPUTED_VALUE"""),"Infrastructure &amp; Metrics Monitoring (Prometheus &amp; Grafana)")</f>
        <v>Infrastructure &amp; Metrics Monitoring (Prometheus &amp; Grafana)</v>
      </c>
    </row>
    <row r="491">
      <c r="A491" s="7" t="str">
        <f>IFERROR(__xludf.DUMMYFUNCTION("""COMPUTED_VALUE"""),"R11")</f>
        <v>R11</v>
      </c>
      <c r="B491" s="7" t="str">
        <f>IFERROR(__xludf.DUMMYFUNCTION("""COMPUTED_VALUE"""),"Site Reliability Engineer (SRE)")</f>
        <v>Site Reliability Engineer (SRE)</v>
      </c>
      <c r="C491" s="7" t="str">
        <f>IFERROR(__xludf.DUMMYFUNCTION("""COMPUTED_VALUE"""),"S185")</f>
        <v>S185</v>
      </c>
      <c r="D491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492">
      <c r="A492" s="7" t="str">
        <f>IFERROR(__xludf.DUMMYFUNCTION("""COMPUTED_VALUE"""),"R11")</f>
        <v>R11</v>
      </c>
      <c r="B492" s="7" t="str">
        <f>IFERROR(__xludf.DUMMYFUNCTION("""COMPUTED_VALUE"""),"Site Reliability Engineer (SRE)")</f>
        <v>Site Reliability Engineer (SRE)</v>
      </c>
      <c r="C492" s="7" t="str">
        <f>IFERROR(__xludf.DUMMYFUNCTION("""COMPUTED_VALUE"""),"S186")</f>
        <v>S186</v>
      </c>
      <c r="D492" s="7" t="str">
        <f>IFERROR(__xludf.DUMMYFUNCTION("""COMPUTED_VALUE"""),"Site Reliability Engineering (SLIs, SLOs, SLAs &amp; Error Budgets)")</f>
        <v>Site Reliability Engineering (SLIs, SLOs, SLAs &amp; Error Budgets)</v>
      </c>
    </row>
    <row r="493">
      <c r="A493" s="7" t="str">
        <f>IFERROR(__xludf.DUMMYFUNCTION("""COMPUTED_VALUE"""),"R11")</f>
        <v>R11</v>
      </c>
      <c r="B493" s="7" t="str">
        <f>IFERROR(__xludf.DUMMYFUNCTION("""COMPUTED_VALUE"""),"Site Reliability Engineer (SRE)")</f>
        <v>Site Reliability Engineer (SRE)</v>
      </c>
      <c r="C493" s="7" t="str">
        <f>IFERROR(__xludf.DUMMYFUNCTION("""COMPUTED_VALUE"""),"S187")</f>
        <v>S187</v>
      </c>
      <c r="D493" s="7" t="str">
        <f>IFERROR(__xludf.DUMMYFUNCTION("""COMPUTED_VALUE"""),"Chaos Engineering &amp; Fault Injection")</f>
        <v>Chaos Engineering &amp; Fault Injection</v>
      </c>
    </row>
    <row r="494">
      <c r="A494" s="7" t="str">
        <f>IFERROR(__xludf.DUMMYFUNCTION("""COMPUTED_VALUE"""),"R11")</f>
        <v>R11</v>
      </c>
      <c r="B494" s="7" t="str">
        <f>IFERROR(__xludf.DUMMYFUNCTION("""COMPUTED_VALUE"""),"Site Reliability Engineer (SRE)")</f>
        <v>Site Reliability Engineer (SRE)</v>
      </c>
      <c r="C494" s="7" t="str">
        <f>IFERROR(__xludf.DUMMYFUNCTION("""COMPUTED_VALUE"""),"S188")</f>
        <v>S188</v>
      </c>
      <c r="D494" s="7" t="str">
        <f>IFERROR(__xludf.DUMMYFUNCTION("""COMPUTED_VALUE"""),"High Availability, Failover &amp; Disaster Recovery")</f>
        <v>High Availability, Failover &amp; Disaster Recovery</v>
      </c>
    </row>
    <row r="495">
      <c r="A495" s="7" t="str">
        <f>IFERROR(__xludf.DUMMYFUNCTION("""COMPUTED_VALUE"""),"R11")</f>
        <v>R11</v>
      </c>
      <c r="B495" s="7" t="str">
        <f>IFERROR(__xludf.DUMMYFUNCTION("""COMPUTED_VALUE"""),"Site Reliability Engineer (SRE)")</f>
        <v>Site Reliability Engineer (SRE)</v>
      </c>
      <c r="C495" s="7" t="str">
        <f>IFERROR(__xludf.DUMMYFUNCTION("""COMPUTED_VALUE"""),"S191")</f>
        <v>S191</v>
      </c>
      <c r="D495" s="7" t="str">
        <f>IFERROR(__xludf.DUMMYFUNCTION("""COMPUTED_VALUE"""),"Enterprise Linux System Administration (RHEL, Ubuntu, systemd)")</f>
        <v>Enterprise Linux System Administration (RHEL, Ubuntu, systemd)</v>
      </c>
    </row>
    <row r="496">
      <c r="A496" s="7" t="str">
        <f>IFERROR(__xludf.DUMMYFUNCTION("""COMPUTED_VALUE"""),"R11")</f>
        <v>R11</v>
      </c>
      <c r="B496" s="7" t="str">
        <f>IFERROR(__xludf.DUMMYFUNCTION("""COMPUTED_VALUE"""),"Site Reliability Engineer (SRE)")</f>
        <v>Site Reliability Engineer (SRE)</v>
      </c>
      <c r="C496" s="7" t="str">
        <f>IFERROR(__xludf.DUMMYFUNCTION("""COMPUTED_VALUE"""),"S194")</f>
        <v>S194</v>
      </c>
      <c r="D496" s="7" t="str">
        <f>IFERROR(__xludf.DUMMYFUNCTION("""COMPUTED_VALUE"""),"TCP/IP Networking, Subnetting, VLANs &amp; VPNs")</f>
        <v>TCP/IP Networking, Subnetting, VLANs &amp; VPNs</v>
      </c>
    </row>
    <row r="497">
      <c r="A497" s="7" t="str">
        <f>IFERROR(__xludf.DUMMYFUNCTION("""COMPUTED_VALUE"""),"R11")</f>
        <v>R11</v>
      </c>
      <c r="B497" s="7" t="str">
        <f>IFERROR(__xludf.DUMMYFUNCTION("""COMPUTED_VALUE"""),"Site Reliability Engineer (SRE)")</f>
        <v>Site Reliability Engineer (SRE)</v>
      </c>
      <c r="C497" s="7" t="str">
        <f>IFERROR(__xludf.DUMMYFUNCTION("""COMPUTED_VALUE"""),"S243")</f>
        <v>S243</v>
      </c>
      <c r="D497" s="7" t="str">
        <f>IFERROR(__xludf.DUMMYFUNCTION("""COMPUTED_VALUE"""),"Large-Scale System Design &amp; High-Scalability Architecture")</f>
        <v>Large-Scale System Design &amp; High-Scalability Architecture</v>
      </c>
    </row>
    <row r="498">
      <c r="A498" s="7" t="str">
        <f>IFERROR(__xludf.DUMMYFUNCTION("""COMPUTED_VALUE"""),"R11")</f>
        <v>R11</v>
      </c>
      <c r="B498" s="7" t="str">
        <f>IFERROR(__xludf.DUMMYFUNCTION("""COMPUTED_VALUE"""),"Site Reliability Engineer (SRE)")</f>
        <v>Site Reliability Engineer (SRE)</v>
      </c>
      <c r="C498" s="7" t="str">
        <f>IFERROR(__xludf.DUMMYFUNCTION("""COMPUTED_VALUE"""),"S244")</f>
        <v>S244</v>
      </c>
      <c r="D498" s="7" t="str">
        <f>IFERROR(__xludf.DUMMYFUNCTION("""COMPUTED_VALUE"""),"Distributed Systems Theory (CAP Theorem, Consensus, Raft/Paxos)")</f>
        <v>Distributed Systems Theory (CAP Theorem, Consensus, Raft/Paxos)</v>
      </c>
    </row>
    <row r="499">
      <c r="A499" s="7" t="str">
        <f>IFERROR(__xludf.DUMMYFUNCTION("""COMPUTED_VALUE"""),"R11")</f>
        <v>R11</v>
      </c>
      <c r="B499" s="7" t="str">
        <f>IFERROR(__xludf.DUMMYFUNCTION("""COMPUTED_VALUE"""),"Site Reliability Engineer (SRE)")</f>
        <v>Site Reliability Engineer (SRE)</v>
      </c>
      <c r="C499" s="7" t="str">
        <f>IFERROR(__xludf.DUMMYFUNCTION("""COMPUTED_VALUE"""),"S246")</f>
        <v>S246</v>
      </c>
      <c r="D499" s="7" t="str">
        <f>IFERROR(__xludf.DUMMYFUNCTION("""COMPUTED_VALUE"""),"Agile Methodologies, Scrum Framework &amp; Kanban")</f>
        <v>Agile Methodologies, Scrum Framework &amp; Kanban</v>
      </c>
    </row>
    <row r="500">
      <c r="A500" s="7" t="str">
        <f>IFERROR(__xludf.DUMMYFUNCTION("""COMPUTED_VALUE"""),"R11")</f>
        <v>R11</v>
      </c>
      <c r="B500" s="7" t="str">
        <f>IFERROR(__xludf.DUMMYFUNCTION("""COMPUTED_VALUE"""),"Site Reliability Engineer (SRE)")</f>
        <v>Site Reliability Engineer (SRE)</v>
      </c>
      <c r="C500" s="7" t="str">
        <f>IFERROR(__xludf.DUMMYFUNCTION("""COMPUTED_VALUE"""),"S247")</f>
        <v>S247</v>
      </c>
      <c r="D500" s="7" t="str">
        <f>IFERROR(__xludf.DUMMYFUNCTION("""COMPUTED_VALUE"""),"Project Tracking &amp; Documentation Tools (Jira, Confluence, Linear)")</f>
        <v>Project Tracking &amp; Documentation Tools (Jira, Confluence, Linear)</v>
      </c>
    </row>
    <row r="501">
      <c r="A501" s="7" t="str">
        <f>IFERROR(__xludf.DUMMYFUNCTION("""COMPUTED_VALUE"""),"R12")</f>
        <v>R12</v>
      </c>
      <c r="B501" s="7" t="str">
        <f>IFERROR(__xludf.DUMMYFUNCTION("""COMPUTED_VALUE"""),"Cybersecurity Analyst")</f>
        <v>Cybersecurity Analyst</v>
      </c>
      <c r="C501" s="7" t="str">
        <f>IFERROR(__xludf.DUMMYFUNCTION("""COMPUTED_VALUE"""),"S002")</f>
        <v>S002</v>
      </c>
      <c r="D501" s="7" t="str">
        <f>IFERROR(__xludf.DUMMYFUNCTION("""COMPUTED_VALUE"""),"Operating Systems Concepts")</f>
        <v>Operating Systems Concepts</v>
      </c>
    </row>
    <row r="502">
      <c r="A502" s="7" t="str">
        <f>IFERROR(__xludf.DUMMYFUNCTION("""COMPUTED_VALUE"""),"R12")</f>
        <v>R12</v>
      </c>
      <c r="B502" s="7" t="str">
        <f>IFERROR(__xludf.DUMMYFUNCTION("""COMPUTED_VALUE"""),"Cybersecurity Analyst")</f>
        <v>Cybersecurity Analyst</v>
      </c>
      <c r="C502" s="7" t="str">
        <f>IFERROR(__xludf.DUMMYFUNCTION("""COMPUTED_VALUE"""),"S005")</f>
        <v>S005</v>
      </c>
      <c r="D502" s="7" t="str">
        <f>IFERROR(__xludf.DUMMYFUNCTION("""COMPUTED_VALUE"""),"File Systems &amp; Storage I/O")</f>
        <v>File Systems &amp; Storage I/O</v>
      </c>
    </row>
    <row r="503">
      <c r="A503" s="7" t="str">
        <f>IFERROR(__xludf.DUMMYFUNCTION("""COMPUTED_VALUE"""),"R12")</f>
        <v>R12</v>
      </c>
      <c r="B503" s="7" t="str">
        <f>IFERROR(__xludf.DUMMYFUNCTION("""COMPUTED_VALUE"""),"Cybersecurity Analyst")</f>
        <v>Cybersecurity Analyst</v>
      </c>
      <c r="C503" s="7" t="str">
        <f>IFERROR(__xludf.DUMMYFUNCTION("""COMPUTED_VALUE"""),"S017")</f>
        <v>S017</v>
      </c>
      <c r="D503" s="7" t="str">
        <f>IFERROR(__xludf.DUMMYFUNCTION("""COMPUTED_VALUE"""),"Git Version Control Fundamentals")</f>
        <v>Git Version Control Fundamentals</v>
      </c>
    </row>
    <row r="504">
      <c r="A504" s="7" t="str">
        <f>IFERROR(__xludf.DUMMYFUNCTION("""COMPUTED_VALUE"""),"R12")</f>
        <v>R12</v>
      </c>
      <c r="B504" s="7" t="str">
        <f>IFERROR(__xludf.DUMMYFUNCTION("""COMPUTED_VALUE"""),"Cybersecurity Analyst")</f>
        <v>Cybersecurity Analyst</v>
      </c>
      <c r="C504" s="7" t="str">
        <f>IFERROR(__xludf.DUMMYFUNCTION("""COMPUTED_VALUE"""),"S019")</f>
        <v>S019</v>
      </c>
      <c r="D504" s="7" t="str">
        <f>IFERROR(__xludf.DUMMYFUNCTION("""COMPUTED_VALUE"""),"Linux Command Line &amp; File Permissions")</f>
        <v>Linux Command Line &amp; File Permissions</v>
      </c>
    </row>
    <row r="505">
      <c r="A505" s="7" t="str">
        <f>IFERROR(__xludf.DUMMYFUNCTION("""COMPUTED_VALUE"""),"R12")</f>
        <v>R12</v>
      </c>
      <c r="B505" s="7" t="str">
        <f>IFERROR(__xludf.DUMMYFUNCTION("""COMPUTED_VALUE"""),"Cybersecurity Analyst")</f>
        <v>Cybersecurity Analyst</v>
      </c>
      <c r="C505" s="7" t="str">
        <f>IFERROR(__xludf.DUMMYFUNCTION("""COMPUTED_VALUE"""),"S020")</f>
        <v>S020</v>
      </c>
      <c r="D505" s="7" t="str">
        <f>IFERROR(__xludf.DUMMYFUNCTION("""COMPUTED_VALUE"""),"Bash &amp; Shell Scripting")</f>
        <v>Bash &amp; Shell Scripting</v>
      </c>
    </row>
    <row r="506">
      <c r="A506" s="7" t="str">
        <f>IFERROR(__xludf.DUMMYFUNCTION("""COMPUTED_VALUE"""),"R12")</f>
        <v>R12</v>
      </c>
      <c r="B506" s="7" t="str">
        <f>IFERROR(__xludf.DUMMYFUNCTION("""COMPUTED_VALUE"""),"Cybersecurity Analyst")</f>
        <v>Cybersecurity Analyst</v>
      </c>
      <c r="C506" s="7" t="str">
        <f>IFERROR(__xludf.DUMMYFUNCTION("""COMPUTED_VALUE"""),"S021")</f>
        <v>S021</v>
      </c>
      <c r="D506" s="7" t="str">
        <f>IFERROR(__xludf.DUMMYFUNCTION("""COMPUTED_VALUE"""),"PowerShell Scripting")</f>
        <v>PowerShell Scripting</v>
      </c>
    </row>
    <row r="507">
      <c r="A507" s="7" t="str">
        <f>IFERROR(__xludf.DUMMYFUNCTION("""COMPUTED_VALUE"""),"R12")</f>
        <v>R12</v>
      </c>
      <c r="B507" s="7" t="str">
        <f>IFERROR(__xludf.DUMMYFUNCTION("""COMPUTED_VALUE"""),"Cybersecurity Analyst")</f>
        <v>Cybersecurity Analyst</v>
      </c>
      <c r="C507" s="7" t="str">
        <f>IFERROR(__xludf.DUMMYFUNCTION("""COMPUTED_VALUE"""),"S022")</f>
        <v>S022</v>
      </c>
      <c r="D507" s="7" t="str">
        <f>IFERROR(__xludf.DUMMYFUNCTION("""COMPUTED_VALUE"""),"Computer Networking &amp; OSI Model")</f>
        <v>Computer Networking &amp; OSI Model</v>
      </c>
    </row>
    <row r="508">
      <c r="A508" s="7" t="str">
        <f>IFERROR(__xludf.DUMMYFUNCTION("""COMPUTED_VALUE"""),"R12")</f>
        <v>R12</v>
      </c>
      <c r="B508" s="7" t="str">
        <f>IFERROR(__xludf.DUMMYFUNCTION("""COMPUTED_VALUE"""),"Cybersecurity Analyst")</f>
        <v>Cybersecurity Analyst</v>
      </c>
      <c r="C508" s="7" t="str">
        <f>IFERROR(__xludf.DUMMYFUNCTION("""COMPUTED_VALUE"""),"S023")</f>
        <v>S023</v>
      </c>
      <c r="D508" s="7" t="str">
        <f>IFERROR(__xludf.DUMMYFUNCTION("""COMPUTED_VALUE"""),"HTTP/HTTPS Protocols &amp; Status Codes")</f>
        <v>HTTP/HTTPS Protocols &amp; Status Codes</v>
      </c>
    </row>
    <row r="509">
      <c r="A509" s="7" t="str">
        <f>IFERROR(__xludf.DUMMYFUNCTION("""COMPUTED_VALUE"""),"R12")</f>
        <v>R12</v>
      </c>
      <c r="B509" s="7" t="str">
        <f>IFERROR(__xludf.DUMMYFUNCTION("""COMPUTED_VALUE"""),"Cybersecurity Analyst")</f>
        <v>Cybersecurity Analyst</v>
      </c>
      <c r="C509" s="7" t="str">
        <f>IFERROR(__xludf.DUMMYFUNCTION("""COMPUTED_VALUE"""),"S024")</f>
        <v>S024</v>
      </c>
      <c r="D509" s="7" t="str">
        <f>IFERROR(__xludf.DUMMYFUNCTION("""COMPUTED_VALUE"""),"DNS, Domain Routing &amp; SSL/TLS")</f>
        <v>DNS, Domain Routing &amp; SSL/TLS</v>
      </c>
    </row>
    <row r="510">
      <c r="A510" s="7" t="str">
        <f>IFERROR(__xludf.DUMMYFUNCTION("""COMPUTED_VALUE"""),"R12")</f>
        <v>R12</v>
      </c>
      <c r="B510" s="7" t="str">
        <f>IFERROR(__xludf.DUMMYFUNCTION("""COMPUTED_VALUE"""),"Cybersecurity Analyst")</f>
        <v>Cybersecurity Analyst</v>
      </c>
      <c r="C510" s="7" t="str">
        <f>IFERROR(__xludf.DUMMYFUNCTION("""COMPUTED_VALUE"""),"S025")</f>
        <v>S025</v>
      </c>
      <c r="D510" s="7" t="str">
        <f>IFERROR(__xludf.DUMMYFUNCTION("""COMPUTED_VALUE"""),"Regular Expressions (Regex)")</f>
        <v>Regular Expressions (Regex)</v>
      </c>
    </row>
    <row r="511">
      <c r="A511" s="7" t="str">
        <f>IFERROR(__xludf.DUMMYFUNCTION("""COMPUTED_VALUE"""),"R12")</f>
        <v>R12</v>
      </c>
      <c r="B511" s="7" t="str">
        <f>IFERROR(__xludf.DUMMYFUNCTION("""COMPUTED_VALUE"""),"Cybersecurity Analyst")</f>
        <v>Cybersecurity Analyst</v>
      </c>
      <c r="C511" s="7" t="str">
        <f>IFERROR(__xludf.DUMMYFUNCTION("""COMPUTED_VALUE"""),"S026")</f>
        <v>S026</v>
      </c>
      <c r="D511" s="7" t="str">
        <f>IFERROR(__xludf.DUMMYFUNCTION("""COMPUTED_VALUE"""),"Data Serialization (JSON, XML, YAML, Protobuf)")</f>
        <v>Data Serialization (JSON, XML, YAML, Protobuf)</v>
      </c>
    </row>
    <row r="512">
      <c r="A512" s="7" t="str">
        <f>IFERROR(__xludf.DUMMYFUNCTION("""COMPUTED_VALUE"""),"R12")</f>
        <v>R12</v>
      </c>
      <c r="B512" s="7" t="str">
        <f>IFERROR(__xludf.DUMMYFUNCTION("""COMPUTED_VALUE"""),"Cybersecurity Analyst")</f>
        <v>Cybersecurity Analyst</v>
      </c>
      <c r="C512" s="7" t="str">
        <f>IFERROR(__xludf.DUMMYFUNCTION("""COMPUTED_VALUE"""),"S028")</f>
        <v>S028</v>
      </c>
      <c r="D512" s="7" t="str">
        <f>IFERROR(__xludf.DUMMYFUNCTION("""COMPUTED_VALUE"""),"Technical Writing &amp; Markdown Documentation")</f>
        <v>Technical Writing &amp; Markdown Documentation</v>
      </c>
    </row>
    <row r="513">
      <c r="A513" s="7" t="str">
        <f>IFERROR(__xludf.DUMMYFUNCTION("""COMPUTED_VALUE"""),"R12")</f>
        <v>R12</v>
      </c>
      <c r="B513" s="7" t="str">
        <f>IFERROR(__xludf.DUMMYFUNCTION("""COMPUTED_VALUE"""),"Cybersecurity Analyst")</f>
        <v>Cybersecurity Analyst</v>
      </c>
      <c r="C513" s="7" t="str">
        <f>IFERROR(__xludf.DUMMYFUNCTION("""COMPUTED_VALUE"""),"S068")</f>
        <v>S068</v>
      </c>
      <c r="D513" s="7" t="str">
        <f>IFERROR(__xludf.DUMMYFUNCTION("""COMPUTED_VALUE"""),"Python Programming Fundamentals")</f>
        <v>Python Programming Fundamentals</v>
      </c>
    </row>
    <row r="514">
      <c r="A514" s="7" t="str">
        <f>IFERROR(__xludf.DUMMYFUNCTION("""COMPUTED_VALUE"""),"R12")</f>
        <v>R12</v>
      </c>
      <c r="B514" s="7" t="str">
        <f>IFERROR(__xludf.DUMMYFUNCTION("""COMPUTED_VALUE"""),"Cybersecurity Analyst")</f>
        <v>Cybersecurity Analyst</v>
      </c>
      <c r="C514" s="7" t="str">
        <f>IFERROR(__xludf.DUMMYFUNCTION("""COMPUTED_VALUE"""),"S191")</f>
        <v>S191</v>
      </c>
      <c r="D514" s="7" t="str">
        <f>IFERROR(__xludf.DUMMYFUNCTION("""COMPUTED_VALUE"""),"Enterprise Linux System Administration (RHEL, Ubuntu, systemd)")</f>
        <v>Enterprise Linux System Administration (RHEL, Ubuntu, systemd)</v>
      </c>
    </row>
    <row r="515">
      <c r="A515" s="7" t="str">
        <f>IFERROR(__xludf.DUMMYFUNCTION("""COMPUTED_VALUE"""),"R12")</f>
        <v>R12</v>
      </c>
      <c r="B515" s="7" t="str">
        <f>IFERROR(__xludf.DUMMYFUNCTION("""COMPUTED_VALUE"""),"Cybersecurity Analyst")</f>
        <v>Cybersecurity Analyst</v>
      </c>
      <c r="C515" s="7" t="str">
        <f>IFERROR(__xludf.DUMMYFUNCTION("""COMPUTED_VALUE"""),"S192")</f>
        <v>S192</v>
      </c>
      <c r="D515" s="7" t="str">
        <f>IFERROR(__xludf.DUMMYFUNCTION("""COMPUTED_VALUE"""),"Windows Server &amp; Active Directory Administration")</f>
        <v>Windows Server &amp; Active Directory Administration</v>
      </c>
    </row>
    <row r="516">
      <c r="A516" s="7" t="str">
        <f>IFERROR(__xludf.DUMMYFUNCTION("""COMPUTED_VALUE"""),"R12")</f>
        <v>R12</v>
      </c>
      <c r="B516" s="7" t="str">
        <f>IFERROR(__xludf.DUMMYFUNCTION("""COMPUTED_VALUE"""),"Cybersecurity Analyst")</f>
        <v>Cybersecurity Analyst</v>
      </c>
      <c r="C516" s="7" t="str">
        <f>IFERROR(__xludf.DUMMYFUNCTION("""COMPUTED_VALUE"""),"S194")</f>
        <v>S194</v>
      </c>
      <c r="D516" s="7" t="str">
        <f>IFERROR(__xludf.DUMMYFUNCTION("""COMPUTED_VALUE"""),"TCP/IP Networking, Subnetting, VLANs &amp; VPNs")</f>
        <v>TCP/IP Networking, Subnetting, VLANs &amp; VPNs</v>
      </c>
    </row>
    <row r="517">
      <c r="A517" s="7" t="str">
        <f>IFERROR(__xludf.DUMMYFUNCTION("""COMPUTED_VALUE"""),"R12")</f>
        <v>R12</v>
      </c>
      <c r="B517" s="7" t="str">
        <f>IFERROR(__xludf.DUMMYFUNCTION("""COMPUTED_VALUE"""),"Cybersecurity Analyst")</f>
        <v>Cybersecurity Analyst</v>
      </c>
      <c r="C517" s="7" t="str">
        <f>IFERROR(__xludf.DUMMYFUNCTION("""COMPUTED_VALUE"""),"S196")</f>
        <v>S196</v>
      </c>
      <c r="D517" s="7" t="str">
        <f>IFERROR(__xludf.DUMMYFUNCTION("""COMPUTED_VALUE"""),"Cybersecurity Principles &amp; CIA Triad")</f>
        <v>Cybersecurity Principles &amp; CIA Triad</v>
      </c>
    </row>
    <row r="518">
      <c r="A518" s="7" t="str">
        <f>IFERROR(__xludf.DUMMYFUNCTION("""COMPUTED_VALUE"""),"R12")</f>
        <v>R12</v>
      </c>
      <c r="B518" s="7" t="str">
        <f>IFERROR(__xludf.DUMMYFUNCTION("""COMPUTED_VALUE"""),"Cybersecurity Analyst")</f>
        <v>Cybersecurity Analyst</v>
      </c>
      <c r="C518" s="7" t="str">
        <f>IFERROR(__xludf.DUMMYFUNCTION("""COMPUTED_VALUE"""),"S197")</f>
        <v>S197</v>
      </c>
      <c r="D518" s="7" t="str">
        <f>IFERROR(__xludf.DUMMYFUNCTION("""COMPUTED_VALUE"""),"Network Security, Firewalls &amp; WAF")</f>
        <v>Network Security, Firewalls &amp; WAF</v>
      </c>
    </row>
    <row r="519">
      <c r="A519" s="7" t="str">
        <f>IFERROR(__xludf.DUMMYFUNCTION("""COMPUTED_VALUE"""),"R12")</f>
        <v>R12</v>
      </c>
      <c r="B519" s="7" t="str">
        <f>IFERROR(__xludf.DUMMYFUNCTION("""COMPUTED_VALUE"""),"Cybersecurity Analyst")</f>
        <v>Cybersecurity Analyst</v>
      </c>
      <c r="C519" s="7" t="str">
        <f>IFERROR(__xludf.DUMMYFUNCTION("""COMPUTED_VALUE"""),"S198")</f>
        <v>S198</v>
      </c>
      <c r="D519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520">
      <c r="A520" s="7" t="str">
        <f>IFERROR(__xludf.DUMMYFUNCTION("""COMPUTED_VALUE"""),"R12")</f>
        <v>R12</v>
      </c>
      <c r="B520" s="7" t="str">
        <f>IFERROR(__xludf.DUMMYFUNCTION("""COMPUTED_VALUE"""),"Cybersecurity Analyst")</f>
        <v>Cybersecurity Analyst</v>
      </c>
      <c r="C520" s="7" t="str">
        <f>IFERROR(__xludf.DUMMYFUNCTION("""COMPUTED_VALUE"""),"S199")</f>
        <v>S199</v>
      </c>
      <c r="D520" s="7" t="str">
        <f>IFERROR(__xludf.DUMMYFUNCTION("""COMPUTED_VALUE"""),"Packet Capture &amp; Traffic Analysis (Wireshark, tcpdump, Nmap)")</f>
        <v>Packet Capture &amp; Traffic Analysis (Wireshark, tcpdump, Nmap)</v>
      </c>
    </row>
    <row r="521">
      <c r="A521" s="7" t="str">
        <f>IFERROR(__xludf.DUMMYFUNCTION("""COMPUTED_VALUE"""),"R12")</f>
        <v>R12</v>
      </c>
      <c r="B521" s="7" t="str">
        <f>IFERROR(__xludf.DUMMYFUNCTION("""COMPUTED_VALUE"""),"Cybersecurity Analyst")</f>
        <v>Cybersecurity Analyst</v>
      </c>
      <c r="C521" s="7" t="str">
        <f>IFERROR(__xludf.DUMMYFUNCTION("""COMPUTED_VALUE"""),"S200")</f>
        <v>S200</v>
      </c>
      <c r="D521" s="7" t="str">
        <f>IFERROR(__xludf.DUMMYFUNCTION("""COMPUTED_VALUE"""),"Web Application Security &amp; OWASP Top 10")</f>
        <v>Web Application Security &amp; OWASP Top 10</v>
      </c>
    </row>
    <row r="522">
      <c r="A522" s="7" t="str">
        <f>IFERROR(__xludf.DUMMYFUNCTION("""COMPUTED_VALUE"""),"R12")</f>
        <v>R12</v>
      </c>
      <c r="B522" s="7" t="str">
        <f>IFERROR(__xludf.DUMMYFUNCTION("""COMPUTED_VALUE"""),"Cybersecurity Analyst")</f>
        <v>Cybersecurity Analyst</v>
      </c>
      <c r="C522" s="7" t="str">
        <f>IFERROR(__xludf.DUMMYFUNCTION("""COMPUTED_VALUE"""),"S203")</f>
        <v>S203</v>
      </c>
      <c r="D522" s="7" t="str">
        <f>IFERROR(__xludf.DUMMYFUNCTION("""COMPUTED_VALUE"""),"Vulnerability Assessment &amp; Management (Nessus, OpenVAS, Qualys)")</f>
        <v>Vulnerability Assessment &amp; Management (Nessus, OpenVAS, Qualys)</v>
      </c>
    </row>
    <row r="523">
      <c r="A523" s="7" t="str">
        <f>IFERROR(__xludf.DUMMYFUNCTION("""COMPUTED_VALUE"""),"R12")</f>
        <v>R12</v>
      </c>
      <c r="B523" s="7" t="str">
        <f>IFERROR(__xludf.DUMMYFUNCTION("""COMPUTED_VALUE"""),"Cybersecurity Analyst")</f>
        <v>Cybersecurity Analyst</v>
      </c>
      <c r="C523" s="7" t="str">
        <f>IFERROR(__xludf.DUMMYFUNCTION("""COMPUTED_VALUE"""),"S204")</f>
        <v>S204</v>
      </c>
      <c r="D523" s="7" t="str">
        <f>IFERROR(__xludf.DUMMYFUNCTION("""COMPUTED_VALUE"""),"Security Information &amp; Event Management (SIEM: Splunk, Sentinel, QRadar)")</f>
        <v>Security Information &amp; Event Management (SIEM: Splunk, Sentinel, QRadar)</v>
      </c>
    </row>
    <row r="524">
      <c r="A524" s="7" t="str">
        <f>IFERROR(__xludf.DUMMYFUNCTION("""COMPUTED_VALUE"""),"R12")</f>
        <v>R12</v>
      </c>
      <c r="B524" s="7" t="str">
        <f>IFERROR(__xludf.DUMMYFUNCTION("""COMPUTED_VALUE"""),"Cybersecurity Analyst")</f>
        <v>Cybersecurity Analyst</v>
      </c>
      <c r="C524" s="7" t="str">
        <f>IFERROR(__xludf.DUMMYFUNCTION("""COMPUTED_VALUE"""),"S205")</f>
        <v>S205</v>
      </c>
      <c r="D524" s="7" t="str">
        <f>IFERROR(__xludf.DUMMYFUNCTION("""COMPUTED_VALUE"""),"Security Operations Center (SOC) &amp; Threat Hunting")</f>
        <v>Security Operations Center (SOC) &amp; Threat Hunting</v>
      </c>
    </row>
    <row r="525">
      <c r="A525" s="7" t="str">
        <f>IFERROR(__xludf.DUMMYFUNCTION("""COMPUTED_VALUE"""),"R12")</f>
        <v>R12</v>
      </c>
      <c r="B525" s="7" t="str">
        <f>IFERROR(__xludf.DUMMYFUNCTION("""COMPUTED_VALUE"""),"Cybersecurity Analyst")</f>
        <v>Cybersecurity Analyst</v>
      </c>
      <c r="C525" s="7" t="str">
        <f>IFERROR(__xludf.DUMMYFUNCTION("""COMPUTED_VALUE"""),"S206")</f>
        <v>S206</v>
      </c>
      <c r="D525" s="7" t="str">
        <f>IFERROR(__xludf.DUMMYFUNCTION("""COMPUTED_VALUE"""),"Endpoint Detection &amp; Response (EDR / XDR: CrowdStrike, Defender)")</f>
        <v>Endpoint Detection &amp; Response (EDR / XDR: CrowdStrike, Defender)</v>
      </c>
    </row>
    <row r="526">
      <c r="A526" s="7" t="str">
        <f>IFERROR(__xludf.DUMMYFUNCTION("""COMPUTED_VALUE"""),"R12")</f>
        <v>R12</v>
      </c>
      <c r="B526" s="7" t="str">
        <f>IFERROR(__xludf.DUMMYFUNCTION("""COMPUTED_VALUE"""),"Cybersecurity Analyst")</f>
        <v>Cybersecurity Analyst</v>
      </c>
      <c r="C526" s="7" t="str">
        <f>IFERROR(__xludf.DUMMYFUNCTION("""COMPUTED_VALUE"""),"S207")</f>
        <v>S207</v>
      </c>
      <c r="D526" s="7" t="str">
        <f>IFERROR(__xludf.DUMMYFUNCTION("""COMPUTED_VALUE"""),"Incident Response &amp; Digital Forensics (DFIR)")</f>
        <v>Incident Response &amp; Digital Forensics (DFIR)</v>
      </c>
    </row>
    <row r="527">
      <c r="A527" s="7" t="str">
        <f>IFERROR(__xludf.DUMMYFUNCTION("""COMPUTED_VALUE"""),"R12")</f>
        <v>R12</v>
      </c>
      <c r="B527" s="7" t="str">
        <f>IFERROR(__xludf.DUMMYFUNCTION("""COMPUTED_VALUE"""),"Cybersecurity Analyst")</f>
        <v>Cybersecurity Analyst</v>
      </c>
      <c r="C527" s="7" t="str">
        <f>IFERROR(__xludf.DUMMYFUNCTION("""COMPUTED_VALUE"""),"S209")</f>
        <v>S209</v>
      </c>
      <c r="D527" s="7" t="str">
        <f>IFERROR(__xludf.DUMMYFUNCTION("""COMPUTED_VALUE"""),"Applied Cryptography, Hashing &amp; PKI Certificates")</f>
        <v>Applied Cryptography, Hashing &amp; PKI Certificates</v>
      </c>
    </row>
    <row r="528">
      <c r="A528" s="7" t="str">
        <f>IFERROR(__xludf.DUMMYFUNCTION("""COMPUTED_VALUE"""),"R12")</f>
        <v>R12</v>
      </c>
      <c r="B528" s="7" t="str">
        <f>IFERROR(__xludf.DUMMYFUNCTION("""COMPUTED_VALUE"""),"Cybersecurity Analyst")</f>
        <v>Cybersecurity Analyst</v>
      </c>
      <c r="C528" s="7" t="str">
        <f>IFERROR(__xludf.DUMMYFUNCTION("""COMPUTED_VALUE"""),"S210")</f>
        <v>S210</v>
      </c>
      <c r="D528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529">
      <c r="A529" s="7" t="str">
        <f>IFERROR(__xludf.DUMMYFUNCTION("""COMPUTED_VALUE"""),"R12")</f>
        <v>R12</v>
      </c>
      <c r="B529" s="7" t="str">
        <f>IFERROR(__xludf.DUMMYFUNCTION("""COMPUTED_VALUE"""),"Cybersecurity Analyst")</f>
        <v>Cybersecurity Analyst</v>
      </c>
      <c r="C529" s="7" t="str">
        <f>IFERROR(__xludf.DUMMYFUNCTION("""COMPUTED_VALUE"""),"S217")</f>
        <v>S217</v>
      </c>
      <c r="D529" s="7" t="str">
        <f>IFERROR(__xludf.DUMMYFUNCTION("""COMPUTED_VALUE"""),"Governance, Risk &amp; Compliance (ISO 27001, SOC 2, NIST, GDPR)")</f>
        <v>Governance, Risk &amp; Compliance (ISO 27001, SOC 2, NIST, GDPR)</v>
      </c>
    </row>
    <row r="530">
      <c r="A530" s="7" t="str">
        <f>IFERROR(__xludf.DUMMYFUNCTION("""COMPUTED_VALUE"""),"R12")</f>
        <v>R12</v>
      </c>
      <c r="B530" s="7" t="str">
        <f>IFERROR(__xludf.DUMMYFUNCTION("""COMPUTED_VALUE"""),"Cybersecurity Analyst")</f>
        <v>Cybersecurity Analyst</v>
      </c>
      <c r="C530" s="7" t="str">
        <f>IFERROR(__xludf.DUMMYFUNCTION("""COMPUTED_VALUE"""),"S218")</f>
        <v>S218</v>
      </c>
      <c r="D530" s="7" t="str">
        <f>IFERROR(__xludf.DUMMYFUNCTION("""COMPUTED_VALUE"""),"Security Auditing &amp; IT Risk Assessment")</f>
        <v>Security Auditing &amp; IT Risk Assessment</v>
      </c>
    </row>
    <row r="531">
      <c r="A531" s="7" t="str">
        <f>IFERROR(__xludf.DUMMYFUNCTION("""COMPUTED_VALUE"""),"R12")</f>
        <v>R12</v>
      </c>
      <c r="B531" s="7" t="str">
        <f>IFERROR(__xludf.DUMMYFUNCTION("""COMPUTED_VALUE"""),"Cybersecurity Analyst")</f>
        <v>Cybersecurity Analyst</v>
      </c>
      <c r="C531" s="7" t="str">
        <f>IFERROR(__xludf.DUMMYFUNCTION("""COMPUTED_VALUE"""),"S242")</f>
        <v>S242</v>
      </c>
      <c r="D531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532">
      <c r="A532" s="7" t="str">
        <f>IFERROR(__xludf.DUMMYFUNCTION("""COMPUTED_VALUE"""),"R12")</f>
        <v>R12</v>
      </c>
      <c r="B532" s="7" t="str">
        <f>IFERROR(__xludf.DUMMYFUNCTION("""COMPUTED_VALUE"""),"Cybersecurity Analyst")</f>
        <v>Cybersecurity Analyst</v>
      </c>
      <c r="C532" s="7" t="str">
        <f>IFERROR(__xludf.DUMMYFUNCTION("""COMPUTED_VALUE"""),"S246")</f>
        <v>S246</v>
      </c>
      <c r="D532" s="7" t="str">
        <f>IFERROR(__xludf.DUMMYFUNCTION("""COMPUTED_VALUE"""),"Agile Methodologies, Scrum Framework &amp; Kanban")</f>
        <v>Agile Methodologies, Scrum Framework &amp; Kanban</v>
      </c>
    </row>
    <row r="533">
      <c r="A533" s="7" t="str">
        <f>IFERROR(__xludf.DUMMYFUNCTION("""COMPUTED_VALUE"""),"R12")</f>
        <v>R12</v>
      </c>
      <c r="B533" s="7" t="str">
        <f>IFERROR(__xludf.DUMMYFUNCTION("""COMPUTED_VALUE"""),"Cybersecurity Analyst")</f>
        <v>Cybersecurity Analyst</v>
      </c>
      <c r="C533" s="7" t="str">
        <f>IFERROR(__xludf.DUMMYFUNCTION("""COMPUTED_VALUE"""),"S247")</f>
        <v>S247</v>
      </c>
      <c r="D533" s="7" t="str">
        <f>IFERROR(__xludf.DUMMYFUNCTION("""COMPUTED_VALUE"""),"Project Tracking &amp; Documentation Tools (Jira, Confluence, Linear)")</f>
        <v>Project Tracking &amp; Documentation Tools (Jira, Confluence, Linear)</v>
      </c>
    </row>
    <row r="534">
      <c r="A534" s="7" t="str">
        <f>IFERROR(__xludf.DUMMYFUNCTION("""COMPUTED_VALUE"""),"R13")</f>
        <v>R13</v>
      </c>
      <c r="B534" s="7" t="str">
        <f>IFERROR(__xludf.DUMMYFUNCTION("""COMPUTED_VALUE"""),"Penetration Tester")</f>
        <v>Penetration Tester</v>
      </c>
      <c r="C534" s="7" t="str">
        <f>IFERROR(__xludf.DUMMYFUNCTION("""COMPUTED_VALUE"""),"S002")</f>
        <v>S002</v>
      </c>
      <c r="D534" s="7" t="str">
        <f>IFERROR(__xludf.DUMMYFUNCTION("""COMPUTED_VALUE"""),"Operating Systems Concepts")</f>
        <v>Operating Systems Concepts</v>
      </c>
    </row>
    <row r="535">
      <c r="A535" s="7" t="str">
        <f>IFERROR(__xludf.DUMMYFUNCTION("""COMPUTED_VALUE"""),"R13")</f>
        <v>R13</v>
      </c>
      <c r="B535" s="7" t="str">
        <f>IFERROR(__xludf.DUMMYFUNCTION("""COMPUTED_VALUE"""),"Penetration Tester")</f>
        <v>Penetration Tester</v>
      </c>
      <c r="C535" s="7" t="str">
        <f>IFERROR(__xludf.DUMMYFUNCTION("""COMPUTED_VALUE"""),"S004")</f>
        <v>S004</v>
      </c>
      <c r="D535" s="7" t="str">
        <f>IFERROR(__xludf.DUMMYFUNCTION("""COMPUTED_VALUE"""),"Memory Management &amp; Paging")</f>
        <v>Memory Management &amp; Paging</v>
      </c>
    </row>
    <row r="536">
      <c r="A536" s="7" t="str">
        <f>IFERROR(__xludf.DUMMYFUNCTION("""COMPUTED_VALUE"""),"R13")</f>
        <v>R13</v>
      </c>
      <c r="B536" s="7" t="str">
        <f>IFERROR(__xludf.DUMMYFUNCTION("""COMPUTED_VALUE"""),"Penetration Tester")</f>
        <v>Penetration Tester</v>
      </c>
      <c r="C536" s="7" t="str">
        <f>IFERROR(__xludf.DUMMYFUNCTION("""COMPUTED_VALUE"""),"S017")</f>
        <v>S017</v>
      </c>
      <c r="D536" s="7" t="str">
        <f>IFERROR(__xludf.DUMMYFUNCTION("""COMPUTED_VALUE"""),"Git Version Control Fundamentals")</f>
        <v>Git Version Control Fundamentals</v>
      </c>
    </row>
    <row r="537">
      <c r="A537" s="7" t="str">
        <f>IFERROR(__xludf.DUMMYFUNCTION("""COMPUTED_VALUE"""),"R13")</f>
        <v>R13</v>
      </c>
      <c r="B537" s="7" t="str">
        <f>IFERROR(__xludf.DUMMYFUNCTION("""COMPUTED_VALUE"""),"Penetration Tester")</f>
        <v>Penetration Tester</v>
      </c>
      <c r="C537" s="7" t="str">
        <f>IFERROR(__xludf.DUMMYFUNCTION("""COMPUTED_VALUE"""),"S019")</f>
        <v>S019</v>
      </c>
      <c r="D537" s="7" t="str">
        <f>IFERROR(__xludf.DUMMYFUNCTION("""COMPUTED_VALUE"""),"Linux Command Line &amp; File Permissions")</f>
        <v>Linux Command Line &amp; File Permissions</v>
      </c>
    </row>
    <row r="538">
      <c r="A538" s="7" t="str">
        <f>IFERROR(__xludf.DUMMYFUNCTION("""COMPUTED_VALUE"""),"R13")</f>
        <v>R13</v>
      </c>
      <c r="B538" s="7" t="str">
        <f>IFERROR(__xludf.DUMMYFUNCTION("""COMPUTED_VALUE"""),"Penetration Tester")</f>
        <v>Penetration Tester</v>
      </c>
      <c r="C538" s="7" t="str">
        <f>IFERROR(__xludf.DUMMYFUNCTION("""COMPUTED_VALUE"""),"S020")</f>
        <v>S020</v>
      </c>
      <c r="D538" s="7" t="str">
        <f>IFERROR(__xludf.DUMMYFUNCTION("""COMPUTED_VALUE"""),"Bash &amp; Shell Scripting")</f>
        <v>Bash &amp; Shell Scripting</v>
      </c>
    </row>
    <row r="539">
      <c r="A539" s="7" t="str">
        <f>IFERROR(__xludf.DUMMYFUNCTION("""COMPUTED_VALUE"""),"R13")</f>
        <v>R13</v>
      </c>
      <c r="B539" s="7" t="str">
        <f>IFERROR(__xludf.DUMMYFUNCTION("""COMPUTED_VALUE"""),"Penetration Tester")</f>
        <v>Penetration Tester</v>
      </c>
      <c r="C539" s="7" t="str">
        <f>IFERROR(__xludf.DUMMYFUNCTION("""COMPUTED_VALUE"""),"S021")</f>
        <v>S021</v>
      </c>
      <c r="D539" s="7" t="str">
        <f>IFERROR(__xludf.DUMMYFUNCTION("""COMPUTED_VALUE"""),"PowerShell Scripting")</f>
        <v>PowerShell Scripting</v>
      </c>
    </row>
    <row r="540">
      <c r="A540" s="7" t="str">
        <f>IFERROR(__xludf.DUMMYFUNCTION("""COMPUTED_VALUE"""),"R13")</f>
        <v>R13</v>
      </c>
      <c r="B540" s="7" t="str">
        <f>IFERROR(__xludf.DUMMYFUNCTION("""COMPUTED_VALUE"""),"Penetration Tester")</f>
        <v>Penetration Tester</v>
      </c>
      <c r="C540" s="7" t="str">
        <f>IFERROR(__xludf.DUMMYFUNCTION("""COMPUTED_VALUE"""),"S022")</f>
        <v>S022</v>
      </c>
      <c r="D540" s="7" t="str">
        <f>IFERROR(__xludf.DUMMYFUNCTION("""COMPUTED_VALUE"""),"Computer Networking &amp; OSI Model")</f>
        <v>Computer Networking &amp; OSI Model</v>
      </c>
    </row>
    <row r="541">
      <c r="A541" s="7" t="str">
        <f>IFERROR(__xludf.DUMMYFUNCTION("""COMPUTED_VALUE"""),"R13")</f>
        <v>R13</v>
      </c>
      <c r="B541" s="7" t="str">
        <f>IFERROR(__xludf.DUMMYFUNCTION("""COMPUTED_VALUE"""),"Penetration Tester")</f>
        <v>Penetration Tester</v>
      </c>
      <c r="C541" s="7" t="str">
        <f>IFERROR(__xludf.DUMMYFUNCTION("""COMPUTED_VALUE"""),"S023")</f>
        <v>S023</v>
      </c>
      <c r="D541" s="7" t="str">
        <f>IFERROR(__xludf.DUMMYFUNCTION("""COMPUTED_VALUE"""),"HTTP/HTTPS Protocols &amp; Status Codes")</f>
        <v>HTTP/HTTPS Protocols &amp; Status Codes</v>
      </c>
    </row>
    <row r="542">
      <c r="A542" s="7" t="str">
        <f>IFERROR(__xludf.DUMMYFUNCTION("""COMPUTED_VALUE"""),"R13")</f>
        <v>R13</v>
      </c>
      <c r="B542" s="7" t="str">
        <f>IFERROR(__xludf.DUMMYFUNCTION("""COMPUTED_VALUE"""),"Penetration Tester")</f>
        <v>Penetration Tester</v>
      </c>
      <c r="C542" s="7" t="str">
        <f>IFERROR(__xludf.DUMMYFUNCTION("""COMPUTED_VALUE"""),"S024")</f>
        <v>S024</v>
      </c>
      <c r="D542" s="7" t="str">
        <f>IFERROR(__xludf.DUMMYFUNCTION("""COMPUTED_VALUE"""),"DNS, Domain Routing &amp; SSL/TLS")</f>
        <v>DNS, Domain Routing &amp; SSL/TLS</v>
      </c>
    </row>
    <row r="543">
      <c r="A543" s="7" t="str">
        <f>IFERROR(__xludf.DUMMYFUNCTION("""COMPUTED_VALUE"""),"R13")</f>
        <v>R13</v>
      </c>
      <c r="B543" s="7" t="str">
        <f>IFERROR(__xludf.DUMMYFUNCTION("""COMPUTED_VALUE"""),"Penetration Tester")</f>
        <v>Penetration Tester</v>
      </c>
      <c r="C543" s="7" t="str">
        <f>IFERROR(__xludf.DUMMYFUNCTION("""COMPUTED_VALUE"""),"S025")</f>
        <v>S025</v>
      </c>
      <c r="D543" s="7" t="str">
        <f>IFERROR(__xludf.DUMMYFUNCTION("""COMPUTED_VALUE"""),"Regular Expressions (Regex)")</f>
        <v>Regular Expressions (Regex)</v>
      </c>
    </row>
    <row r="544">
      <c r="A544" s="7" t="str">
        <f>IFERROR(__xludf.DUMMYFUNCTION("""COMPUTED_VALUE"""),"R13")</f>
        <v>R13</v>
      </c>
      <c r="B544" s="7" t="str">
        <f>IFERROR(__xludf.DUMMYFUNCTION("""COMPUTED_VALUE"""),"Penetration Tester")</f>
        <v>Penetration Tester</v>
      </c>
      <c r="C544" s="7" t="str">
        <f>IFERROR(__xludf.DUMMYFUNCTION("""COMPUTED_VALUE"""),"S026")</f>
        <v>S026</v>
      </c>
      <c r="D544" s="7" t="str">
        <f>IFERROR(__xludf.DUMMYFUNCTION("""COMPUTED_VALUE"""),"Data Serialization (JSON, XML, YAML, Protobuf)")</f>
        <v>Data Serialization (JSON, XML, YAML, Protobuf)</v>
      </c>
    </row>
    <row r="545">
      <c r="A545" s="7" t="str">
        <f>IFERROR(__xludf.DUMMYFUNCTION("""COMPUTED_VALUE"""),"R13")</f>
        <v>R13</v>
      </c>
      <c r="B545" s="7" t="str">
        <f>IFERROR(__xludf.DUMMYFUNCTION("""COMPUTED_VALUE"""),"Penetration Tester")</f>
        <v>Penetration Tester</v>
      </c>
      <c r="C545" s="7" t="str">
        <f>IFERROR(__xludf.DUMMYFUNCTION("""COMPUTED_VALUE"""),"S028")</f>
        <v>S028</v>
      </c>
      <c r="D545" s="7" t="str">
        <f>IFERROR(__xludf.DUMMYFUNCTION("""COMPUTED_VALUE"""),"Technical Writing &amp; Markdown Documentation")</f>
        <v>Technical Writing &amp; Markdown Documentation</v>
      </c>
    </row>
    <row r="546">
      <c r="A546" s="7" t="str">
        <f>IFERROR(__xludf.DUMMYFUNCTION("""COMPUTED_VALUE"""),"R13")</f>
        <v>R13</v>
      </c>
      <c r="B546" s="7" t="str">
        <f>IFERROR(__xludf.DUMMYFUNCTION("""COMPUTED_VALUE"""),"Penetration Tester")</f>
        <v>Penetration Tester</v>
      </c>
      <c r="C546" s="7" t="str">
        <f>IFERROR(__xludf.DUMMYFUNCTION("""COMPUTED_VALUE"""),"S031")</f>
        <v>S031</v>
      </c>
      <c r="D546" s="7" t="str">
        <f>IFERROR(__xludf.DUMMYFUNCTION("""COMPUTED_VALUE"""),"Semantic HTML5")</f>
        <v>Semantic HTML5</v>
      </c>
    </row>
    <row r="547">
      <c r="A547" s="7" t="str">
        <f>IFERROR(__xludf.DUMMYFUNCTION("""COMPUTED_VALUE"""),"R13")</f>
        <v>R13</v>
      </c>
      <c r="B547" s="7" t="str">
        <f>IFERROR(__xludf.DUMMYFUNCTION("""COMPUTED_VALUE"""),"Penetration Tester")</f>
        <v>Penetration Tester</v>
      </c>
      <c r="C547" s="7" t="str">
        <f>IFERROR(__xludf.DUMMYFUNCTION("""COMPUTED_VALUE"""),"S034")</f>
        <v>S034</v>
      </c>
      <c r="D547" s="7" t="str">
        <f>IFERROR(__xludf.DUMMYFUNCTION("""COMPUTED_VALUE"""),"JavaScript Fundamentals (ES6+)")</f>
        <v>JavaScript Fundamentals (ES6+)</v>
      </c>
    </row>
    <row r="548">
      <c r="A548" s="7" t="str">
        <f>IFERROR(__xludf.DUMMYFUNCTION("""COMPUTED_VALUE"""),"R13")</f>
        <v>R13</v>
      </c>
      <c r="B548" s="7" t="str">
        <f>IFERROR(__xludf.DUMMYFUNCTION("""COMPUTED_VALUE"""),"Penetration Tester")</f>
        <v>Penetration Tester</v>
      </c>
      <c r="C548" s="7" t="str">
        <f>IFERROR(__xludf.DUMMYFUNCTION("""COMPUTED_VALUE"""),"S068")</f>
        <v>S068</v>
      </c>
      <c r="D548" s="7" t="str">
        <f>IFERROR(__xludf.DUMMYFUNCTION("""COMPUTED_VALUE"""),"Python Programming Fundamentals")</f>
        <v>Python Programming Fundamentals</v>
      </c>
    </row>
    <row r="549">
      <c r="A549" s="7" t="str">
        <f>IFERROR(__xludf.DUMMYFUNCTION("""COMPUTED_VALUE"""),"R13")</f>
        <v>R13</v>
      </c>
      <c r="B549" s="7" t="str">
        <f>IFERROR(__xludf.DUMMYFUNCTION("""COMPUTED_VALUE"""),"Penetration Tester")</f>
        <v>Penetration Tester</v>
      </c>
      <c r="C549" s="7" t="str">
        <f>IFERROR(__xludf.DUMMYFUNCTION("""COMPUTED_VALUE"""),"S082")</f>
        <v>S082</v>
      </c>
      <c r="D549" s="7" t="str">
        <f>IFERROR(__xludf.DUMMYFUNCTION("""COMPUTED_VALUE"""),"C Programming &amp; Pointers")</f>
        <v>C Programming &amp; Pointers</v>
      </c>
    </row>
    <row r="550">
      <c r="A550" s="7" t="str">
        <f>IFERROR(__xludf.DUMMYFUNCTION("""COMPUTED_VALUE"""),"R13")</f>
        <v>R13</v>
      </c>
      <c r="B550" s="7" t="str">
        <f>IFERROR(__xludf.DUMMYFUNCTION("""COMPUTED_VALUE"""),"Penetration Tester")</f>
        <v>Penetration Tester</v>
      </c>
      <c r="C550" s="7" t="str">
        <f>IFERROR(__xludf.DUMMYFUNCTION("""COMPUTED_VALUE"""),"S086")</f>
        <v>S086</v>
      </c>
      <c r="D550" s="7" t="str">
        <f>IFERROR(__xludf.DUMMYFUNCTION("""COMPUTED_VALUE"""),"RESTful API Design &amp; OpenAPI/Swagger")</f>
        <v>RESTful API Design &amp; OpenAPI/Swagger</v>
      </c>
    </row>
    <row r="551">
      <c r="A551" s="7" t="str">
        <f>IFERROR(__xludf.DUMMYFUNCTION("""COMPUTED_VALUE"""),"R13")</f>
        <v>R13</v>
      </c>
      <c r="B551" s="7" t="str">
        <f>IFERROR(__xludf.DUMMYFUNCTION("""COMPUTED_VALUE"""),"Penetration Tester")</f>
        <v>Penetration Tester</v>
      </c>
      <c r="C551" s="7" t="str">
        <f>IFERROR(__xludf.DUMMYFUNCTION("""COMPUTED_VALUE"""),"S091")</f>
        <v>S091</v>
      </c>
      <c r="D551" s="7" t="str">
        <f>IFERROR(__xludf.DUMMYFUNCTION("""COMPUTED_VALUE"""),"Authentication &amp; Session Management (JWT, Cookies)")</f>
        <v>Authentication &amp; Session Management (JWT, Cookies)</v>
      </c>
    </row>
    <row r="552">
      <c r="A552" s="7" t="str">
        <f>IFERROR(__xludf.DUMMYFUNCTION("""COMPUTED_VALUE"""),"R13")</f>
        <v>R13</v>
      </c>
      <c r="B552" s="7" t="str">
        <f>IFERROR(__xludf.DUMMYFUNCTION("""COMPUTED_VALUE"""),"Penetration Tester")</f>
        <v>Penetration Tester</v>
      </c>
      <c r="C552" s="7" t="str">
        <f>IFERROR(__xludf.DUMMYFUNCTION("""COMPUTED_VALUE"""),"S092")</f>
        <v>S092</v>
      </c>
      <c r="D552" s="7" t="str">
        <f>IFERROR(__xludf.DUMMYFUNCTION("""COMPUTED_VALUE"""),"OAuth 2.0, OpenID Connect (OIDC) &amp; SSO")</f>
        <v>OAuth 2.0, OpenID Connect (OIDC) &amp; SSO</v>
      </c>
    </row>
    <row r="553">
      <c r="A553" s="7" t="str">
        <f>IFERROR(__xludf.DUMMYFUNCTION("""COMPUTED_VALUE"""),"R13")</f>
        <v>R13</v>
      </c>
      <c r="B553" s="7" t="str">
        <f>IFERROR(__xludf.DUMMYFUNCTION("""COMPUTED_VALUE"""),"Penetration Tester")</f>
        <v>Penetration Tester</v>
      </c>
      <c r="C553" s="7" t="str">
        <f>IFERROR(__xludf.DUMMYFUNCTION("""COMPUTED_VALUE"""),"S107")</f>
        <v>S107</v>
      </c>
      <c r="D553" s="7" t="str">
        <f>IFERROR(__xludf.DUMMYFUNCTION("""COMPUTED_VALUE"""),"SQL Querying (Joins, Aggregations, Subqueries)")</f>
        <v>SQL Querying (Joins, Aggregations, Subqueries)</v>
      </c>
    </row>
    <row r="554">
      <c r="A554" s="7" t="str">
        <f>IFERROR(__xludf.DUMMYFUNCTION("""COMPUTED_VALUE"""),"R13")</f>
        <v>R13</v>
      </c>
      <c r="B554" s="7" t="str">
        <f>IFERROR(__xludf.DUMMYFUNCTION("""COMPUTED_VALUE"""),"Penetration Tester")</f>
        <v>Penetration Tester</v>
      </c>
      <c r="C554" s="7" t="str">
        <f>IFERROR(__xludf.DUMMYFUNCTION("""COMPUTED_VALUE"""),"S191")</f>
        <v>S191</v>
      </c>
      <c r="D554" s="7" t="str">
        <f>IFERROR(__xludf.DUMMYFUNCTION("""COMPUTED_VALUE"""),"Enterprise Linux System Administration (RHEL, Ubuntu, systemd)")</f>
        <v>Enterprise Linux System Administration (RHEL, Ubuntu, systemd)</v>
      </c>
    </row>
    <row r="555">
      <c r="A555" s="7" t="str">
        <f>IFERROR(__xludf.DUMMYFUNCTION("""COMPUTED_VALUE"""),"R13")</f>
        <v>R13</v>
      </c>
      <c r="B555" s="7" t="str">
        <f>IFERROR(__xludf.DUMMYFUNCTION("""COMPUTED_VALUE"""),"Penetration Tester")</f>
        <v>Penetration Tester</v>
      </c>
      <c r="C555" s="7" t="str">
        <f>IFERROR(__xludf.DUMMYFUNCTION("""COMPUTED_VALUE"""),"S192")</f>
        <v>S192</v>
      </c>
      <c r="D555" s="7" t="str">
        <f>IFERROR(__xludf.DUMMYFUNCTION("""COMPUTED_VALUE"""),"Windows Server &amp; Active Directory Administration")</f>
        <v>Windows Server &amp; Active Directory Administration</v>
      </c>
    </row>
    <row r="556">
      <c r="A556" s="7" t="str">
        <f>IFERROR(__xludf.DUMMYFUNCTION("""COMPUTED_VALUE"""),"R13")</f>
        <v>R13</v>
      </c>
      <c r="B556" s="7" t="str">
        <f>IFERROR(__xludf.DUMMYFUNCTION("""COMPUTED_VALUE"""),"Penetration Tester")</f>
        <v>Penetration Tester</v>
      </c>
      <c r="C556" s="7" t="str">
        <f>IFERROR(__xludf.DUMMYFUNCTION("""COMPUTED_VALUE"""),"S194")</f>
        <v>S194</v>
      </c>
      <c r="D556" s="7" t="str">
        <f>IFERROR(__xludf.DUMMYFUNCTION("""COMPUTED_VALUE"""),"TCP/IP Networking, Subnetting, VLANs &amp; VPNs")</f>
        <v>TCP/IP Networking, Subnetting, VLANs &amp; VPNs</v>
      </c>
    </row>
    <row r="557">
      <c r="A557" s="7" t="str">
        <f>IFERROR(__xludf.DUMMYFUNCTION("""COMPUTED_VALUE"""),"R13")</f>
        <v>R13</v>
      </c>
      <c r="B557" s="7" t="str">
        <f>IFERROR(__xludf.DUMMYFUNCTION("""COMPUTED_VALUE"""),"Penetration Tester")</f>
        <v>Penetration Tester</v>
      </c>
      <c r="C557" s="7" t="str">
        <f>IFERROR(__xludf.DUMMYFUNCTION("""COMPUTED_VALUE"""),"S196")</f>
        <v>S196</v>
      </c>
      <c r="D557" s="7" t="str">
        <f>IFERROR(__xludf.DUMMYFUNCTION("""COMPUTED_VALUE"""),"Cybersecurity Principles &amp; CIA Triad")</f>
        <v>Cybersecurity Principles &amp; CIA Triad</v>
      </c>
    </row>
    <row r="558">
      <c r="A558" s="7" t="str">
        <f>IFERROR(__xludf.DUMMYFUNCTION("""COMPUTED_VALUE"""),"R13")</f>
        <v>R13</v>
      </c>
      <c r="B558" s="7" t="str">
        <f>IFERROR(__xludf.DUMMYFUNCTION("""COMPUTED_VALUE"""),"Penetration Tester")</f>
        <v>Penetration Tester</v>
      </c>
      <c r="C558" s="7" t="str">
        <f>IFERROR(__xludf.DUMMYFUNCTION("""COMPUTED_VALUE"""),"S197")</f>
        <v>S197</v>
      </c>
      <c r="D558" s="7" t="str">
        <f>IFERROR(__xludf.DUMMYFUNCTION("""COMPUTED_VALUE"""),"Network Security, Firewalls &amp; WAF")</f>
        <v>Network Security, Firewalls &amp; WAF</v>
      </c>
    </row>
    <row r="559">
      <c r="A559" s="7" t="str">
        <f>IFERROR(__xludf.DUMMYFUNCTION("""COMPUTED_VALUE"""),"R13")</f>
        <v>R13</v>
      </c>
      <c r="B559" s="7" t="str">
        <f>IFERROR(__xludf.DUMMYFUNCTION("""COMPUTED_VALUE"""),"Penetration Tester")</f>
        <v>Penetration Tester</v>
      </c>
      <c r="C559" s="7" t="str">
        <f>IFERROR(__xludf.DUMMYFUNCTION("""COMPUTED_VALUE"""),"S199")</f>
        <v>S199</v>
      </c>
      <c r="D559" s="7" t="str">
        <f>IFERROR(__xludf.DUMMYFUNCTION("""COMPUTED_VALUE"""),"Packet Capture &amp; Traffic Analysis (Wireshark, tcpdump, Nmap)")</f>
        <v>Packet Capture &amp; Traffic Analysis (Wireshark, tcpdump, Nmap)</v>
      </c>
    </row>
    <row r="560">
      <c r="A560" s="7" t="str">
        <f>IFERROR(__xludf.DUMMYFUNCTION("""COMPUTED_VALUE"""),"R13")</f>
        <v>R13</v>
      </c>
      <c r="B560" s="7" t="str">
        <f>IFERROR(__xludf.DUMMYFUNCTION("""COMPUTED_VALUE"""),"Penetration Tester")</f>
        <v>Penetration Tester</v>
      </c>
      <c r="C560" s="7" t="str">
        <f>IFERROR(__xludf.DUMMYFUNCTION("""COMPUTED_VALUE"""),"S200")</f>
        <v>S200</v>
      </c>
      <c r="D560" s="7" t="str">
        <f>IFERROR(__xludf.DUMMYFUNCTION("""COMPUTED_VALUE"""),"Web Application Security &amp; OWASP Top 10")</f>
        <v>Web Application Security &amp; OWASP Top 10</v>
      </c>
    </row>
    <row r="561">
      <c r="A561" s="7" t="str">
        <f>IFERROR(__xludf.DUMMYFUNCTION("""COMPUTED_VALUE"""),"R13")</f>
        <v>R13</v>
      </c>
      <c r="B561" s="7" t="str">
        <f>IFERROR(__xludf.DUMMYFUNCTION("""COMPUTED_VALUE"""),"Penetration Tester")</f>
        <v>Penetration Tester</v>
      </c>
      <c r="C561" s="7" t="str">
        <f>IFERROR(__xludf.DUMMYFUNCTION("""COMPUTED_VALUE"""),"S201")</f>
        <v>S201</v>
      </c>
      <c r="D561" s="7" t="str">
        <f>IFERROR(__xludf.DUMMYFUNCTION("""COMPUTED_VALUE"""),"Web Application Penetration Testing (Burp Suite, OWASP ZAP)")</f>
        <v>Web Application Penetration Testing (Burp Suite, OWASP ZAP)</v>
      </c>
    </row>
    <row r="562">
      <c r="A562" s="7" t="str">
        <f>IFERROR(__xludf.DUMMYFUNCTION("""COMPUTED_VALUE"""),"R13")</f>
        <v>R13</v>
      </c>
      <c r="B562" s="7" t="str">
        <f>IFERROR(__xludf.DUMMYFUNCTION("""COMPUTED_VALUE"""),"Penetration Tester")</f>
        <v>Penetration Tester</v>
      </c>
      <c r="C562" s="7" t="str">
        <f>IFERROR(__xludf.DUMMYFUNCTION("""COMPUTED_VALUE"""),"S202")</f>
        <v>S202</v>
      </c>
      <c r="D562" s="7" t="str">
        <f>IFERROR(__xludf.DUMMYFUNCTION("""COMPUTED_VALUE"""),"Network &amp; System Exploitation (Metasploit, Kali Linux)")</f>
        <v>Network &amp; System Exploitation (Metasploit, Kali Linux)</v>
      </c>
    </row>
    <row r="563">
      <c r="A563" s="7" t="str">
        <f>IFERROR(__xludf.DUMMYFUNCTION("""COMPUTED_VALUE"""),"R13")</f>
        <v>R13</v>
      </c>
      <c r="B563" s="7" t="str">
        <f>IFERROR(__xludf.DUMMYFUNCTION("""COMPUTED_VALUE"""),"Penetration Tester")</f>
        <v>Penetration Tester</v>
      </c>
      <c r="C563" s="7" t="str">
        <f>IFERROR(__xludf.DUMMYFUNCTION("""COMPUTED_VALUE"""),"S203")</f>
        <v>S203</v>
      </c>
      <c r="D563" s="7" t="str">
        <f>IFERROR(__xludf.DUMMYFUNCTION("""COMPUTED_VALUE"""),"Vulnerability Assessment &amp; Management (Nessus, OpenVAS, Qualys)")</f>
        <v>Vulnerability Assessment &amp; Management (Nessus, OpenVAS, Qualys)</v>
      </c>
    </row>
    <row r="564">
      <c r="A564" s="7" t="str">
        <f>IFERROR(__xludf.DUMMYFUNCTION("""COMPUTED_VALUE"""),"R13")</f>
        <v>R13</v>
      </c>
      <c r="B564" s="7" t="str">
        <f>IFERROR(__xludf.DUMMYFUNCTION("""COMPUTED_VALUE"""),"Penetration Tester")</f>
        <v>Penetration Tester</v>
      </c>
      <c r="C564" s="7" t="str">
        <f>IFERROR(__xludf.DUMMYFUNCTION("""COMPUTED_VALUE"""),"S208")</f>
        <v>S208</v>
      </c>
      <c r="D564" s="7" t="str">
        <f>IFERROR(__xludf.DUMMYFUNCTION("""COMPUTED_VALUE"""),"Malware Analysis &amp; Reverse Engineering (Ghidra, IDA Pro)")</f>
        <v>Malware Analysis &amp; Reverse Engineering (Ghidra, IDA Pro)</v>
      </c>
    </row>
    <row r="565">
      <c r="A565" s="7" t="str">
        <f>IFERROR(__xludf.DUMMYFUNCTION("""COMPUTED_VALUE"""),"R13")</f>
        <v>R13</v>
      </c>
      <c r="B565" s="7" t="str">
        <f>IFERROR(__xludf.DUMMYFUNCTION("""COMPUTED_VALUE"""),"Penetration Tester")</f>
        <v>Penetration Tester</v>
      </c>
      <c r="C565" s="7" t="str">
        <f>IFERROR(__xludf.DUMMYFUNCTION("""COMPUTED_VALUE"""),"S209")</f>
        <v>S209</v>
      </c>
      <c r="D565" s="7" t="str">
        <f>IFERROR(__xludf.DUMMYFUNCTION("""COMPUTED_VALUE"""),"Applied Cryptography, Hashing &amp; PKI Certificates")</f>
        <v>Applied Cryptography, Hashing &amp; PKI Certificates</v>
      </c>
    </row>
    <row r="566">
      <c r="A566" s="7" t="str">
        <f>IFERROR(__xludf.DUMMYFUNCTION("""COMPUTED_VALUE"""),"R13")</f>
        <v>R13</v>
      </c>
      <c r="B566" s="7" t="str">
        <f>IFERROR(__xludf.DUMMYFUNCTION("""COMPUTED_VALUE"""),"Penetration Tester")</f>
        <v>Penetration Tester</v>
      </c>
      <c r="C566" s="7" t="str">
        <f>IFERROR(__xludf.DUMMYFUNCTION("""COMPUTED_VALUE"""),"S213")</f>
        <v>S213</v>
      </c>
      <c r="D566" s="7" t="str">
        <f>IFERROR(__xludf.DUMMYFUNCTION("""COMPUTED_VALUE"""),"Container &amp; Kubernetes Security (Trivy, Falco, RBAC)")</f>
        <v>Container &amp; Kubernetes Security (Trivy, Falco, RBAC)</v>
      </c>
    </row>
    <row r="567">
      <c r="A567" s="7" t="str">
        <f>IFERROR(__xludf.DUMMYFUNCTION("""COMPUTED_VALUE"""),"R13")</f>
        <v>R13</v>
      </c>
      <c r="B567" s="7" t="str">
        <f>IFERROR(__xludf.DUMMYFUNCTION("""COMPUTED_VALUE"""),"Penetration Tester")</f>
        <v>Penetration Tester</v>
      </c>
      <c r="C567" s="7" t="str">
        <f>IFERROR(__xludf.DUMMYFUNCTION("""COMPUTED_VALUE"""),"S216")</f>
        <v>S216</v>
      </c>
      <c r="D567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568">
      <c r="A568" s="7" t="str">
        <f>IFERROR(__xludf.DUMMYFUNCTION("""COMPUTED_VALUE"""),"R13")</f>
        <v>R13</v>
      </c>
      <c r="B568" s="7" t="str">
        <f>IFERROR(__xludf.DUMMYFUNCTION("""COMPUTED_VALUE"""),"Penetration Tester")</f>
        <v>Penetration Tester</v>
      </c>
      <c r="C568" s="7" t="str">
        <f>IFERROR(__xludf.DUMMYFUNCTION("""COMPUTED_VALUE"""),"S219")</f>
        <v>S219</v>
      </c>
      <c r="D568" s="7" t="str">
        <f>IFERROR(__xludf.DUMMYFUNCTION("""COMPUTED_VALUE"""),"Secure Coding Practices &amp; Threat Mitigation")</f>
        <v>Secure Coding Practices &amp; Threat Mitigation</v>
      </c>
    </row>
    <row r="569">
      <c r="A569" s="7" t="str">
        <f>IFERROR(__xludf.DUMMYFUNCTION("""COMPUTED_VALUE"""),"R13")</f>
        <v>R13</v>
      </c>
      <c r="B569" s="7" t="str">
        <f>IFERROR(__xludf.DUMMYFUNCTION("""COMPUTED_VALUE"""),"Penetration Tester")</f>
        <v>Penetration Tester</v>
      </c>
      <c r="C569" s="7" t="str">
        <f>IFERROR(__xludf.DUMMYFUNCTION("""COMPUTED_VALUE"""),"S220")</f>
        <v>S220</v>
      </c>
      <c r="D569" s="7" t="str">
        <f>IFERROR(__xludf.DUMMYFUNCTION("""COMPUTED_VALUE"""),"Wireless, IoT &amp; Hardware Security Testing")</f>
        <v>Wireless, IoT &amp; Hardware Security Testing</v>
      </c>
    </row>
    <row r="570">
      <c r="A570" s="7" t="str">
        <f>IFERROR(__xludf.DUMMYFUNCTION("""COMPUTED_VALUE"""),"R13")</f>
        <v>R13</v>
      </c>
      <c r="B570" s="7" t="str">
        <f>IFERROR(__xludf.DUMMYFUNCTION("""COMPUTED_VALUE"""),"Penetration Tester")</f>
        <v>Penetration Tester</v>
      </c>
      <c r="C570" s="7" t="str">
        <f>IFERROR(__xludf.DUMMYFUNCTION("""COMPUTED_VALUE"""),"S246")</f>
        <v>S246</v>
      </c>
      <c r="D570" s="7" t="str">
        <f>IFERROR(__xludf.DUMMYFUNCTION("""COMPUTED_VALUE"""),"Agile Methodologies, Scrum Framework &amp; Kanban")</f>
        <v>Agile Methodologies, Scrum Framework &amp; Kanban</v>
      </c>
    </row>
    <row r="571">
      <c r="A571" s="7" t="str">
        <f>IFERROR(__xludf.DUMMYFUNCTION("""COMPUTED_VALUE"""),"R13")</f>
        <v>R13</v>
      </c>
      <c r="B571" s="7" t="str">
        <f>IFERROR(__xludf.DUMMYFUNCTION("""COMPUTED_VALUE"""),"Penetration Tester")</f>
        <v>Penetration Tester</v>
      </c>
      <c r="C571" s="7" t="str">
        <f>IFERROR(__xludf.DUMMYFUNCTION("""COMPUTED_VALUE"""),"S247")</f>
        <v>S247</v>
      </c>
      <c r="D571" s="7" t="str">
        <f>IFERROR(__xludf.DUMMYFUNCTION("""COMPUTED_VALUE"""),"Project Tracking &amp; Documentation Tools (Jira, Confluence, Linear)")</f>
        <v>Project Tracking &amp; Documentation Tools (Jira, Confluence, Linear)</v>
      </c>
    </row>
    <row r="572">
      <c r="A572" s="7" t="str">
        <f>IFERROR(__xludf.DUMMYFUNCTION("""COMPUTED_VALUE"""),"R14")</f>
        <v>R14</v>
      </c>
      <c r="B572" s="7" t="str">
        <f>IFERROR(__xludf.DUMMYFUNCTION("""COMPUTED_VALUE"""),"Security Engineer")</f>
        <v>Security Engineer</v>
      </c>
      <c r="C572" s="7" t="str">
        <f>IFERROR(__xludf.DUMMYFUNCTION("""COMPUTED_VALUE"""),"S002")</f>
        <v>S002</v>
      </c>
      <c r="D572" s="7" t="str">
        <f>IFERROR(__xludf.DUMMYFUNCTION("""COMPUTED_VALUE"""),"Operating Systems Concepts")</f>
        <v>Operating Systems Concepts</v>
      </c>
    </row>
    <row r="573">
      <c r="A573" s="7" t="str">
        <f>IFERROR(__xludf.DUMMYFUNCTION("""COMPUTED_VALUE"""),"R14")</f>
        <v>R14</v>
      </c>
      <c r="B573" s="7" t="str">
        <f>IFERROR(__xludf.DUMMYFUNCTION("""COMPUTED_VALUE"""),"Security Engineer")</f>
        <v>Security Engineer</v>
      </c>
      <c r="C573" s="7" t="str">
        <f>IFERROR(__xludf.DUMMYFUNCTION("""COMPUTED_VALUE"""),"S003")</f>
        <v>S003</v>
      </c>
      <c r="D573" s="7" t="str">
        <f>IFERROR(__xludf.DUMMYFUNCTION("""COMPUTED_VALUE"""),"Process &amp; Thread Management")</f>
        <v>Process &amp; Thread Management</v>
      </c>
    </row>
    <row r="574">
      <c r="A574" s="7" t="str">
        <f>IFERROR(__xludf.DUMMYFUNCTION("""COMPUTED_VALUE"""),"R14")</f>
        <v>R14</v>
      </c>
      <c r="B574" s="7" t="str">
        <f>IFERROR(__xludf.DUMMYFUNCTION("""COMPUTED_VALUE"""),"Security Engineer")</f>
        <v>Security Engineer</v>
      </c>
      <c r="C574" s="7" t="str">
        <f>IFERROR(__xludf.DUMMYFUNCTION("""COMPUTED_VALUE"""),"S004")</f>
        <v>S004</v>
      </c>
      <c r="D574" s="7" t="str">
        <f>IFERROR(__xludf.DUMMYFUNCTION("""COMPUTED_VALUE"""),"Memory Management &amp; Paging")</f>
        <v>Memory Management &amp; Paging</v>
      </c>
    </row>
    <row r="575">
      <c r="A575" s="7" t="str">
        <f>IFERROR(__xludf.DUMMYFUNCTION("""COMPUTED_VALUE"""),"R14")</f>
        <v>R14</v>
      </c>
      <c r="B575" s="7" t="str">
        <f>IFERROR(__xludf.DUMMYFUNCTION("""COMPUTED_VALUE"""),"Security Engineer")</f>
        <v>Security Engineer</v>
      </c>
      <c r="C575" s="7" t="str">
        <f>IFERROR(__xludf.DUMMYFUNCTION("""COMPUTED_VALUE"""),"S013")</f>
        <v>S013</v>
      </c>
      <c r="D575" s="7" t="str">
        <f>IFERROR(__xludf.DUMMYFUNCTION("""COMPUTED_VALUE"""),"Object-Oriented Programming (OOP)")</f>
        <v>Object-Oriented Programming (OOP)</v>
      </c>
    </row>
    <row r="576">
      <c r="A576" s="7" t="str">
        <f>IFERROR(__xludf.DUMMYFUNCTION("""COMPUTED_VALUE"""),"R14")</f>
        <v>R14</v>
      </c>
      <c r="B576" s="7" t="str">
        <f>IFERROR(__xludf.DUMMYFUNCTION("""COMPUTED_VALUE"""),"Security Engineer")</f>
        <v>Security Engineer</v>
      </c>
      <c r="C576" s="7" t="str">
        <f>IFERROR(__xludf.DUMMYFUNCTION("""COMPUTED_VALUE"""),"S017")</f>
        <v>S017</v>
      </c>
      <c r="D576" s="7" t="str">
        <f>IFERROR(__xludf.DUMMYFUNCTION("""COMPUTED_VALUE"""),"Git Version Control Fundamentals")</f>
        <v>Git Version Control Fundamentals</v>
      </c>
    </row>
    <row r="577">
      <c r="A577" s="7" t="str">
        <f>IFERROR(__xludf.DUMMYFUNCTION("""COMPUTED_VALUE"""),"R14")</f>
        <v>R14</v>
      </c>
      <c r="B577" s="7" t="str">
        <f>IFERROR(__xludf.DUMMYFUNCTION("""COMPUTED_VALUE"""),"Security Engineer")</f>
        <v>Security Engineer</v>
      </c>
      <c r="C577" s="7" t="str">
        <f>IFERROR(__xludf.DUMMYFUNCTION("""COMPUTED_VALUE"""),"S018")</f>
        <v>S018</v>
      </c>
      <c r="D577" s="7" t="str">
        <f>IFERROR(__xludf.DUMMYFUNCTION("""COMPUTED_VALUE"""),"GitHub / GitLab Workflows &amp; Pull Requests")</f>
        <v>GitHub / GitLab Workflows &amp; Pull Requests</v>
      </c>
    </row>
    <row r="578">
      <c r="A578" s="7" t="str">
        <f>IFERROR(__xludf.DUMMYFUNCTION("""COMPUTED_VALUE"""),"R14")</f>
        <v>R14</v>
      </c>
      <c r="B578" s="7" t="str">
        <f>IFERROR(__xludf.DUMMYFUNCTION("""COMPUTED_VALUE"""),"Security Engineer")</f>
        <v>Security Engineer</v>
      </c>
      <c r="C578" s="7" t="str">
        <f>IFERROR(__xludf.DUMMYFUNCTION("""COMPUTED_VALUE"""),"S019")</f>
        <v>S019</v>
      </c>
      <c r="D578" s="7" t="str">
        <f>IFERROR(__xludf.DUMMYFUNCTION("""COMPUTED_VALUE"""),"Linux Command Line &amp; File Permissions")</f>
        <v>Linux Command Line &amp; File Permissions</v>
      </c>
    </row>
    <row r="579">
      <c r="A579" s="7" t="str">
        <f>IFERROR(__xludf.DUMMYFUNCTION("""COMPUTED_VALUE"""),"R14")</f>
        <v>R14</v>
      </c>
      <c r="B579" s="7" t="str">
        <f>IFERROR(__xludf.DUMMYFUNCTION("""COMPUTED_VALUE"""),"Security Engineer")</f>
        <v>Security Engineer</v>
      </c>
      <c r="C579" s="7" t="str">
        <f>IFERROR(__xludf.DUMMYFUNCTION("""COMPUTED_VALUE"""),"S020")</f>
        <v>S020</v>
      </c>
      <c r="D579" s="7" t="str">
        <f>IFERROR(__xludf.DUMMYFUNCTION("""COMPUTED_VALUE"""),"Bash &amp; Shell Scripting")</f>
        <v>Bash &amp; Shell Scripting</v>
      </c>
    </row>
    <row r="580">
      <c r="A580" s="7" t="str">
        <f>IFERROR(__xludf.DUMMYFUNCTION("""COMPUTED_VALUE"""),"R14")</f>
        <v>R14</v>
      </c>
      <c r="B580" s="7" t="str">
        <f>IFERROR(__xludf.DUMMYFUNCTION("""COMPUTED_VALUE"""),"Security Engineer")</f>
        <v>Security Engineer</v>
      </c>
      <c r="C580" s="7" t="str">
        <f>IFERROR(__xludf.DUMMYFUNCTION("""COMPUTED_VALUE"""),"S022")</f>
        <v>S022</v>
      </c>
      <c r="D580" s="7" t="str">
        <f>IFERROR(__xludf.DUMMYFUNCTION("""COMPUTED_VALUE"""),"Computer Networking &amp; OSI Model")</f>
        <v>Computer Networking &amp; OSI Model</v>
      </c>
    </row>
    <row r="581">
      <c r="A581" s="7" t="str">
        <f>IFERROR(__xludf.DUMMYFUNCTION("""COMPUTED_VALUE"""),"R14")</f>
        <v>R14</v>
      </c>
      <c r="B581" s="7" t="str">
        <f>IFERROR(__xludf.DUMMYFUNCTION("""COMPUTED_VALUE"""),"Security Engineer")</f>
        <v>Security Engineer</v>
      </c>
      <c r="C581" s="7" t="str">
        <f>IFERROR(__xludf.DUMMYFUNCTION("""COMPUTED_VALUE"""),"S023")</f>
        <v>S023</v>
      </c>
      <c r="D581" s="7" t="str">
        <f>IFERROR(__xludf.DUMMYFUNCTION("""COMPUTED_VALUE"""),"HTTP/HTTPS Protocols &amp; Status Codes")</f>
        <v>HTTP/HTTPS Protocols &amp; Status Codes</v>
      </c>
    </row>
    <row r="582">
      <c r="A582" s="7" t="str">
        <f>IFERROR(__xludf.DUMMYFUNCTION("""COMPUTED_VALUE"""),"R14")</f>
        <v>R14</v>
      </c>
      <c r="B582" s="7" t="str">
        <f>IFERROR(__xludf.DUMMYFUNCTION("""COMPUTED_VALUE"""),"Security Engineer")</f>
        <v>Security Engineer</v>
      </c>
      <c r="C582" s="7" t="str">
        <f>IFERROR(__xludf.DUMMYFUNCTION("""COMPUTED_VALUE"""),"S024")</f>
        <v>S024</v>
      </c>
      <c r="D582" s="7" t="str">
        <f>IFERROR(__xludf.DUMMYFUNCTION("""COMPUTED_VALUE"""),"DNS, Domain Routing &amp; SSL/TLS")</f>
        <v>DNS, Domain Routing &amp; SSL/TLS</v>
      </c>
    </row>
    <row r="583">
      <c r="A583" s="7" t="str">
        <f>IFERROR(__xludf.DUMMYFUNCTION("""COMPUTED_VALUE"""),"R14")</f>
        <v>R14</v>
      </c>
      <c r="B583" s="7" t="str">
        <f>IFERROR(__xludf.DUMMYFUNCTION("""COMPUTED_VALUE"""),"Security Engineer")</f>
        <v>Security Engineer</v>
      </c>
      <c r="C583" s="7" t="str">
        <f>IFERROR(__xludf.DUMMYFUNCTION("""COMPUTED_VALUE"""),"S026")</f>
        <v>S026</v>
      </c>
      <c r="D583" s="7" t="str">
        <f>IFERROR(__xludf.DUMMYFUNCTION("""COMPUTED_VALUE"""),"Data Serialization (JSON, XML, YAML, Protobuf)")</f>
        <v>Data Serialization (JSON, XML, YAML, Protobuf)</v>
      </c>
    </row>
    <row r="584">
      <c r="A584" s="7" t="str">
        <f>IFERROR(__xludf.DUMMYFUNCTION("""COMPUTED_VALUE"""),"R14")</f>
        <v>R14</v>
      </c>
      <c r="B584" s="7" t="str">
        <f>IFERROR(__xludf.DUMMYFUNCTION("""COMPUTED_VALUE"""),"Security Engineer")</f>
        <v>Security Engineer</v>
      </c>
      <c r="C584" s="7" t="str">
        <f>IFERROR(__xludf.DUMMYFUNCTION("""COMPUTED_VALUE"""),"S028")</f>
        <v>S028</v>
      </c>
      <c r="D584" s="7" t="str">
        <f>IFERROR(__xludf.DUMMYFUNCTION("""COMPUTED_VALUE"""),"Technical Writing &amp; Markdown Documentation")</f>
        <v>Technical Writing &amp; Markdown Documentation</v>
      </c>
    </row>
    <row r="585">
      <c r="A585" s="7" t="str">
        <f>IFERROR(__xludf.DUMMYFUNCTION("""COMPUTED_VALUE"""),"R14")</f>
        <v>R14</v>
      </c>
      <c r="B585" s="7" t="str">
        <f>IFERROR(__xludf.DUMMYFUNCTION("""COMPUTED_VALUE"""),"Security Engineer")</f>
        <v>Security Engineer</v>
      </c>
      <c r="C585" s="7" t="str">
        <f>IFERROR(__xludf.DUMMYFUNCTION("""COMPUTED_VALUE"""),"S068")</f>
        <v>S068</v>
      </c>
      <c r="D585" s="7" t="str">
        <f>IFERROR(__xludf.DUMMYFUNCTION("""COMPUTED_VALUE"""),"Python Programming Fundamentals")</f>
        <v>Python Programming Fundamentals</v>
      </c>
    </row>
    <row r="586">
      <c r="A586" s="7" t="str">
        <f>IFERROR(__xludf.DUMMYFUNCTION("""COMPUTED_VALUE"""),"R14")</f>
        <v>R14</v>
      </c>
      <c r="B586" s="7" t="str">
        <f>IFERROR(__xludf.DUMMYFUNCTION("""COMPUTED_VALUE"""),"Security Engineer")</f>
        <v>Security Engineer</v>
      </c>
      <c r="C586" s="7" t="str">
        <f>IFERROR(__xludf.DUMMYFUNCTION("""COMPUTED_VALUE"""),"S077")</f>
        <v>S077</v>
      </c>
      <c r="D586" s="7" t="str">
        <f>IFERROR(__xludf.DUMMYFUNCTION("""COMPUTED_VALUE"""),"Go (Golang) Programming")</f>
        <v>Go (Golang) Programming</v>
      </c>
    </row>
    <row r="587">
      <c r="A587" s="7" t="str">
        <f>IFERROR(__xludf.DUMMYFUNCTION("""COMPUTED_VALUE"""),"R14")</f>
        <v>R14</v>
      </c>
      <c r="B587" s="7" t="str">
        <f>IFERROR(__xludf.DUMMYFUNCTION("""COMPUTED_VALUE"""),"Security Engineer")</f>
        <v>Security Engineer</v>
      </c>
      <c r="C587" s="7" t="str">
        <f>IFERROR(__xludf.DUMMYFUNCTION("""COMPUTED_VALUE"""),"S086")</f>
        <v>S086</v>
      </c>
      <c r="D587" s="7" t="str">
        <f>IFERROR(__xludf.DUMMYFUNCTION("""COMPUTED_VALUE"""),"RESTful API Design &amp; OpenAPI/Swagger")</f>
        <v>RESTful API Design &amp; OpenAPI/Swagger</v>
      </c>
    </row>
    <row r="588">
      <c r="A588" s="7" t="str">
        <f>IFERROR(__xludf.DUMMYFUNCTION("""COMPUTED_VALUE"""),"R14")</f>
        <v>R14</v>
      </c>
      <c r="B588" s="7" t="str">
        <f>IFERROR(__xludf.DUMMYFUNCTION("""COMPUTED_VALUE"""),"Security Engineer")</f>
        <v>Security Engineer</v>
      </c>
      <c r="C588" s="7" t="str">
        <f>IFERROR(__xludf.DUMMYFUNCTION("""COMPUTED_VALUE"""),"S091")</f>
        <v>S091</v>
      </c>
      <c r="D588" s="7" t="str">
        <f>IFERROR(__xludf.DUMMYFUNCTION("""COMPUTED_VALUE"""),"Authentication &amp; Session Management (JWT, Cookies)")</f>
        <v>Authentication &amp; Session Management (JWT, Cookies)</v>
      </c>
    </row>
    <row r="589">
      <c r="A589" s="7" t="str">
        <f>IFERROR(__xludf.DUMMYFUNCTION("""COMPUTED_VALUE"""),"R14")</f>
        <v>R14</v>
      </c>
      <c r="B589" s="7" t="str">
        <f>IFERROR(__xludf.DUMMYFUNCTION("""COMPUTED_VALUE"""),"Security Engineer")</f>
        <v>Security Engineer</v>
      </c>
      <c r="C589" s="7" t="str">
        <f>IFERROR(__xludf.DUMMYFUNCTION("""COMPUTED_VALUE"""),"S092")</f>
        <v>S092</v>
      </c>
      <c r="D589" s="7" t="str">
        <f>IFERROR(__xludf.DUMMYFUNCTION("""COMPUTED_VALUE"""),"OAuth 2.0, OpenID Connect (OIDC) &amp; SSO")</f>
        <v>OAuth 2.0, OpenID Connect (OIDC) &amp; SSO</v>
      </c>
    </row>
    <row r="590">
      <c r="A590" s="7" t="str">
        <f>IFERROR(__xludf.DUMMYFUNCTION("""COMPUTED_VALUE"""),"R14")</f>
        <v>R14</v>
      </c>
      <c r="B590" s="7" t="str">
        <f>IFERROR(__xludf.DUMMYFUNCTION("""COMPUTED_VALUE"""),"Security Engineer")</f>
        <v>Security Engineer</v>
      </c>
      <c r="C590" s="7" t="str">
        <f>IFERROR(__xludf.DUMMYFUNCTION("""COMPUTED_VALUE"""),"S093")</f>
        <v>S093</v>
      </c>
      <c r="D590" s="7" t="str">
        <f>IFERROR(__xludf.DUMMYFUNCTION("""COMPUTED_VALUE"""),"Role-Based &amp; Attribute-Based Access Control (RBAC/ABAC)")</f>
        <v>Role-Based &amp; Attribute-Based Access Control (RBAC/ABAC)</v>
      </c>
    </row>
    <row r="591">
      <c r="A591" s="7" t="str">
        <f>IFERROR(__xludf.DUMMYFUNCTION("""COMPUTED_VALUE"""),"R14")</f>
        <v>R14</v>
      </c>
      <c r="B591" s="7" t="str">
        <f>IFERROR(__xludf.DUMMYFUNCTION("""COMPUTED_VALUE"""),"Security Engineer")</f>
        <v>Security Engineer</v>
      </c>
      <c r="C591" s="7" t="str">
        <f>IFERROR(__xludf.DUMMYFUNCTION("""COMPUTED_VALUE"""),"S171")</f>
        <v>S171</v>
      </c>
      <c r="D591" s="7" t="str">
        <f>IFERROR(__xludf.DUMMYFUNCTION("""COMPUTED_VALUE"""),"Containerization with Docker")</f>
        <v>Containerization with Docker</v>
      </c>
    </row>
    <row r="592">
      <c r="A592" s="7" t="str">
        <f>IFERROR(__xludf.DUMMYFUNCTION("""COMPUTED_VALUE"""),"R14")</f>
        <v>R14</v>
      </c>
      <c r="B592" s="7" t="str">
        <f>IFERROR(__xludf.DUMMYFUNCTION("""COMPUTED_VALUE"""),"Security Engineer")</f>
        <v>Security Engineer</v>
      </c>
      <c r="C592" s="7" t="str">
        <f>IFERROR(__xludf.DUMMYFUNCTION("""COMPUTED_VALUE"""),"S172")</f>
        <v>S172</v>
      </c>
      <c r="D592" s="7" t="str">
        <f>IFERROR(__xludf.DUMMYFUNCTION("""COMPUTED_VALUE"""),"Kubernetes Cluster Orchestration (K8s)")</f>
        <v>Kubernetes Cluster Orchestration (K8s)</v>
      </c>
    </row>
    <row r="593">
      <c r="A593" s="7" t="str">
        <f>IFERROR(__xludf.DUMMYFUNCTION("""COMPUTED_VALUE"""),"R14")</f>
        <v>R14</v>
      </c>
      <c r="B593" s="7" t="str">
        <f>IFERROR(__xludf.DUMMYFUNCTION("""COMPUTED_VALUE"""),"Security Engineer")</f>
        <v>Security Engineer</v>
      </c>
      <c r="C593" s="7" t="str">
        <f>IFERROR(__xludf.DUMMYFUNCTION("""COMPUTED_VALUE"""),"S174")</f>
        <v>S174</v>
      </c>
      <c r="D593" s="7" t="str">
        <f>IFERROR(__xludf.DUMMYFUNCTION("""COMPUTED_VALUE"""),"Amazon Web Services Core (EC2, S3, RDS, IAM, VPC)")</f>
        <v>Amazon Web Services Core (EC2, S3, RDS, IAM, VPC)</v>
      </c>
    </row>
    <row r="594">
      <c r="A594" s="7" t="str">
        <f>IFERROR(__xludf.DUMMYFUNCTION("""COMPUTED_VALUE"""),"R14")</f>
        <v>R14</v>
      </c>
      <c r="B594" s="7" t="str">
        <f>IFERROR(__xludf.DUMMYFUNCTION("""COMPUTED_VALUE"""),"Security Engineer")</f>
        <v>Security Engineer</v>
      </c>
      <c r="C594" s="7" t="str">
        <f>IFERROR(__xludf.DUMMYFUNCTION("""COMPUTED_VALUE"""),"S178")</f>
        <v>S178</v>
      </c>
      <c r="D594" s="7" t="str">
        <f>IFERROR(__xludf.DUMMYFUNCTION("""COMPUTED_VALUE"""),"Infrastructure as Code (Terraform &amp; OpenTofu)")</f>
        <v>Infrastructure as Code (Terraform &amp; OpenTofu)</v>
      </c>
    </row>
    <row r="595">
      <c r="A595" s="7" t="str">
        <f>IFERROR(__xludf.DUMMYFUNCTION("""COMPUTED_VALUE"""),"R14")</f>
        <v>R14</v>
      </c>
      <c r="B595" s="7" t="str">
        <f>IFERROR(__xludf.DUMMYFUNCTION("""COMPUTED_VALUE"""),"Security Engineer")</f>
        <v>Security Engineer</v>
      </c>
      <c r="C595" s="7" t="str">
        <f>IFERROR(__xludf.DUMMYFUNCTION("""COMPUTED_VALUE"""),"S180")</f>
        <v>S180</v>
      </c>
      <c r="D595" s="7" t="str">
        <f>IFERROR(__xludf.DUMMYFUNCTION("""COMPUTED_VALUE"""),"CI/CD Pipelines with GitHub Actions")</f>
        <v>CI/CD Pipelines with GitHub Actions</v>
      </c>
    </row>
    <row r="596">
      <c r="A596" s="7" t="str">
        <f>IFERROR(__xludf.DUMMYFUNCTION("""COMPUTED_VALUE"""),"R14")</f>
        <v>R14</v>
      </c>
      <c r="B596" s="7" t="str">
        <f>IFERROR(__xludf.DUMMYFUNCTION("""COMPUTED_VALUE"""),"Security Engineer")</f>
        <v>Security Engineer</v>
      </c>
      <c r="C596" s="7" t="str">
        <f>IFERROR(__xludf.DUMMYFUNCTION("""COMPUTED_VALUE"""),"S191")</f>
        <v>S191</v>
      </c>
      <c r="D596" s="7" t="str">
        <f>IFERROR(__xludf.DUMMYFUNCTION("""COMPUTED_VALUE"""),"Enterprise Linux System Administration (RHEL, Ubuntu, systemd)")</f>
        <v>Enterprise Linux System Administration (RHEL, Ubuntu, systemd)</v>
      </c>
    </row>
    <row r="597">
      <c r="A597" s="7" t="str">
        <f>IFERROR(__xludf.DUMMYFUNCTION("""COMPUTED_VALUE"""),"R14")</f>
        <v>R14</v>
      </c>
      <c r="B597" s="7" t="str">
        <f>IFERROR(__xludf.DUMMYFUNCTION("""COMPUTED_VALUE"""),"Security Engineer")</f>
        <v>Security Engineer</v>
      </c>
      <c r="C597" s="7" t="str">
        <f>IFERROR(__xludf.DUMMYFUNCTION("""COMPUTED_VALUE"""),"S194")</f>
        <v>S194</v>
      </c>
      <c r="D597" s="7" t="str">
        <f>IFERROR(__xludf.DUMMYFUNCTION("""COMPUTED_VALUE"""),"TCP/IP Networking, Subnetting, VLANs &amp; VPNs")</f>
        <v>TCP/IP Networking, Subnetting, VLANs &amp; VPNs</v>
      </c>
    </row>
    <row r="598">
      <c r="A598" s="7" t="str">
        <f>IFERROR(__xludf.DUMMYFUNCTION("""COMPUTED_VALUE"""),"R14")</f>
        <v>R14</v>
      </c>
      <c r="B598" s="7" t="str">
        <f>IFERROR(__xludf.DUMMYFUNCTION("""COMPUTED_VALUE"""),"Security Engineer")</f>
        <v>Security Engineer</v>
      </c>
      <c r="C598" s="7" t="str">
        <f>IFERROR(__xludf.DUMMYFUNCTION("""COMPUTED_VALUE"""),"S196")</f>
        <v>S196</v>
      </c>
      <c r="D598" s="7" t="str">
        <f>IFERROR(__xludf.DUMMYFUNCTION("""COMPUTED_VALUE"""),"Cybersecurity Principles &amp; CIA Triad")</f>
        <v>Cybersecurity Principles &amp; CIA Triad</v>
      </c>
    </row>
    <row r="599">
      <c r="A599" s="7" t="str">
        <f>IFERROR(__xludf.DUMMYFUNCTION("""COMPUTED_VALUE"""),"R14")</f>
        <v>R14</v>
      </c>
      <c r="B599" s="7" t="str">
        <f>IFERROR(__xludf.DUMMYFUNCTION("""COMPUTED_VALUE"""),"Security Engineer")</f>
        <v>Security Engineer</v>
      </c>
      <c r="C599" s="7" t="str">
        <f>IFERROR(__xludf.DUMMYFUNCTION("""COMPUTED_VALUE"""),"S197")</f>
        <v>S197</v>
      </c>
      <c r="D599" s="7" t="str">
        <f>IFERROR(__xludf.DUMMYFUNCTION("""COMPUTED_VALUE"""),"Network Security, Firewalls &amp; WAF")</f>
        <v>Network Security, Firewalls &amp; WAF</v>
      </c>
    </row>
    <row r="600">
      <c r="A600" s="7" t="str">
        <f>IFERROR(__xludf.DUMMYFUNCTION("""COMPUTED_VALUE"""),"R14")</f>
        <v>R14</v>
      </c>
      <c r="B600" s="7" t="str">
        <f>IFERROR(__xludf.DUMMYFUNCTION("""COMPUTED_VALUE"""),"Security Engineer")</f>
        <v>Security Engineer</v>
      </c>
      <c r="C600" s="7" t="str">
        <f>IFERROR(__xludf.DUMMYFUNCTION("""COMPUTED_VALUE"""),"S198")</f>
        <v>S198</v>
      </c>
      <c r="D600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601">
      <c r="A601" s="7" t="str">
        <f>IFERROR(__xludf.DUMMYFUNCTION("""COMPUTED_VALUE"""),"R14")</f>
        <v>R14</v>
      </c>
      <c r="B601" s="7" t="str">
        <f>IFERROR(__xludf.DUMMYFUNCTION("""COMPUTED_VALUE"""),"Security Engineer")</f>
        <v>Security Engineer</v>
      </c>
      <c r="C601" s="7" t="str">
        <f>IFERROR(__xludf.DUMMYFUNCTION("""COMPUTED_VALUE"""),"S199")</f>
        <v>S199</v>
      </c>
      <c r="D601" s="7" t="str">
        <f>IFERROR(__xludf.DUMMYFUNCTION("""COMPUTED_VALUE"""),"Packet Capture &amp; Traffic Analysis (Wireshark, tcpdump, Nmap)")</f>
        <v>Packet Capture &amp; Traffic Analysis (Wireshark, tcpdump, Nmap)</v>
      </c>
    </row>
    <row r="602">
      <c r="A602" s="7" t="str">
        <f>IFERROR(__xludf.DUMMYFUNCTION("""COMPUTED_VALUE"""),"R14")</f>
        <v>R14</v>
      </c>
      <c r="B602" s="7" t="str">
        <f>IFERROR(__xludf.DUMMYFUNCTION("""COMPUTED_VALUE"""),"Security Engineer")</f>
        <v>Security Engineer</v>
      </c>
      <c r="C602" s="7" t="str">
        <f>IFERROR(__xludf.DUMMYFUNCTION("""COMPUTED_VALUE"""),"S200")</f>
        <v>S200</v>
      </c>
      <c r="D602" s="7" t="str">
        <f>IFERROR(__xludf.DUMMYFUNCTION("""COMPUTED_VALUE"""),"Web Application Security &amp; OWASP Top 10")</f>
        <v>Web Application Security &amp; OWASP Top 10</v>
      </c>
    </row>
    <row r="603">
      <c r="A603" s="7" t="str">
        <f>IFERROR(__xludf.DUMMYFUNCTION("""COMPUTED_VALUE"""),"R14")</f>
        <v>R14</v>
      </c>
      <c r="B603" s="7" t="str">
        <f>IFERROR(__xludf.DUMMYFUNCTION("""COMPUTED_VALUE"""),"Security Engineer")</f>
        <v>Security Engineer</v>
      </c>
      <c r="C603" s="7" t="str">
        <f>IFERROR(__xludf.DUMMYFUNCTION("""COMPUTED_VALUE"""),"S201")</f>
        <v>S201</v>
      </c>
      <c r="D603" s="7" t="str">
        <f>IFERROR(__xludf.DUMMYFUNCTION("""COMPUTED_VALUE"""),"Web Application Penetration Testing (Burp Suite, OWASP ZAP)")</f>
        <v>Web Application Penetration Testing (Burp Suite, OWASP ZAP)</v>
      </c>
    </row>
    <row r="604">
      <c r="A604" s="7" t="str">
        <f>IFERROR(__xludf.DUMMYFUNCTION("""COMPUTED_VALUE"""),"R14")</f>
        <v>R14</v>
      </c>
      <c r="B604" s="7" t="str">
        <f>IFERROR(__xludf.DUMMYFUNCTION("""COMPUTED_VALUE"""),"Security Engineer")</f>
        <v>Security Engineer</v>
      </c>
      <c r="C604" s="7" t="str">
        <f>IFERROR(__xludf.DUMMYFUNCTION("""COMPUTED_VALUE"""),"S203")</f>
        <v>S203</v>
      </c>
      <c r="D604" s="7" t="str">
        <f>IFERROR(__xludf.DUMMYFUNCTION("""COMPUTED_VALUE"""),"Vulnerability Assessment &amp; Management (Nessus, OpenVAS, Qualys)")</f>
        <v>Vulnerability Assessment &amp; Management (Nessus, OpenVAS, Qualys)</v>
      </c>
    </row>
    <row r="605">
      <c r="A605" s="7" t="str">
        <f>IFERROR(__xludf.DUMMYFUNCTION("""COMPUTED_VALUE"""),"R14")</f>
        <v>R14</v>
      </c>
      <c r="B605" s="7" t="str">
        <f>IFERROR(__xludf.DUMMYFUNCTION("""COMPUTED_VALUE"""),"Security Engineer")</f>
        <v>Security Engineer</v>
      </c>
      <c r="C605" s="7" t="str">
        <f>IFERROR(__xludf.DUMMYFUNCTION("""COMPUTED_VALUE"""),"S204")</f>
        <v>S204</v>
      </c>
      <c r="D605" s="7" t="str">
        <f>IFERROR(__xludf.DUMMYFUNCTION("""COMPUTED_VALUE"""),"Security Information &amp; Event Management (SIEM: Splunk, Sentinel, QRadar)")</f>
        <v>Security Information &amp; Event Management (SIEM: Splunk, Sentinel, QRadar)</v>
      </c>
    </row>
    <row r="606">
      <c r="A606" s="7" t="str">
        <f>IFERROR(__xludf.DUMMYFUNCTION("""COMPUTED_VALUE"""),"R14")</f>
        <v>R14</v>
      </c>
      <c r="B606" s="7" t="str">
        <f>IFERROR(__xludf.DUMMYFUNCTION("""COMPUTED_VALUE"""),"Security Engineer")</f>
        <v>Security Engineer</v>
      </c>
      <c r="C606" s="7" t="str">
        <f>IFERROR(__xludf.DUMMYFUNCTION("""COMPUTED_VALUE"""),"S206")</f>
        <v>S206</v>
      </c>
      <c r="D606" s="7" t="str">
        <f>IFERROR(__xludf.DUMMYFUNCTION("""COMPUTED_VALUE"""),"Endpoint Detection &amp; Response (EDR / XDR: CrowdStrike, Defender)")</f>
        <v>Endpoint Detection &amp; Response (EDR / XDR: CrowdStrike, Defender)</v>
      </c>
    </row>
    <row r="607">
      <c r="A607" s="7" t="str">
        <f>IFERROR(__xludf.DUMMYFUNCTION("""COMPUTED_VALUE"""),"R14")</f>
        <v>R14</v>
      </c>
      <c r="B607" s="7" t="str">
        <f>IFERROR(__xludf.DUMMYFUNCTION("""COMPUTED_VALUE"""),"Security Engineer")</f>
        <v>Security Engineer</v>
      </c>
      <c r="C607" s="7" t="str">
        <f>IFERROR(__xludf.DUMMYFUNCTION("""COMPUTED_VALUE"""),"S209")</f>
        <v>S209</v>
      </c>
      <c r="D607" s="7" t="str">
        <f>IFERROR(__xludf.DUMMYFUNCTION("""COMPUTED_VALUE"""),"Applied Cryptography, Hashing &amp; PKI Certificates")</f>
        <v>Applied Cryptography, Hashing &amp; PKI Certificates</v>
      </c>
    </row>
    <row r="608">
      <c r="A608" s="7" t="str">
        <f>IFERROR(__xludf.DUMMYFUNCTION("""COMPUTED_VALUE"""),"R14")</f>
        <v>R14</v>
      </c>
      <c r="B608" s="7" t="str">
        <f>IFERROR(__xludf.DUMMYFUNCTION("""COMPUTED_VALUE"""),"Security Engineer")</f>
        <v>Security Engineer</v>
      </c>
      <c r="C608" s="7" t="str">
        <f>IFERROR(__xludf.DUMMYFUNCTION("""COMPUTED_VALUE"""),"S210")</f>
        <v>S210</v>
      </c>
      <c r="D608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609">
      <c r="A609" s="7" t="str">
        <f>IFERROR(__xludf.DUMMYFUNCTION("""COMPUTED_VALUE"""),"R14")</f>
        <v>R14</v>
      </c>
      <c r="B609" s="7" t="str">
        <f>IFERROR(__xludf.DUMMYFUNCTION("""COMPUTED_VALUE"""),"Security Engineer")</f>
        <v>Security Engineer</v>
      </c>
      <c r="C609" s="7" t="str">
        <f>IFERROR(__xludf.DUMMYFUNCTION("""COMPUTED_VALUE"""),"S211")</f>
        <v>S211</v>
      </c>
      <c r="D609" s="7" t="str">
        <f>IFERROR(__xludf.DUMMYFUNCTION("""COMPUTED_VALUE"""),"Zero Trust Network Architecture")</f>
        <v>Zero Trust Network Architecture</v>
      </c>
    </row>
    <row r="610">
      <c r="A610" s="7" t="str">
        <f>IFERROR(__xludf.DUMMYFUNCTION("""COMPUTED_VALUE"""),"R14")</f>
        <v>R14</v>
      </c>
      <c r="B610" s="7" t="str">
        <f>IFERROR(__xludf.DUMMYFUNCTION("""COMPUTED_VALUE"""),"Security Engineer")</f>
        <v>Security Engineer</v>
      </c>
      <c r="C610" s="7" t="str">
        <f>IFERROR(__xludf.DUMMYFUNCTION("""COMPUTED_VALUE"""),"S212")</f>
        <v>S212</v>
      </c>
      <c r="D610" s="7" t="str">
        <f>IFERROR(__xludf.DUMMYFUNCTION("""COMPUTED_VALUE"""),"Cloud Security Posture Management (AWS/Azure Security, CSPM)")</f>
        <v>Cloud Security Posture Management (AWS/Azure Security, CSPM)</v>
      </c>
    </row>
    <row r="611">
      <c r="A611" s="7" t="str">
        <f>IFERROR(__xludf.DUMMYFUNCTION("""COMPUTED_VALUE"""),"R14")</f>
        <v>R14</v>
      </c>
      <c r="B611" s="7" t="str">
        <f>IFERROR(__xludf.DUMMYFUNCTION("""COMPUTED_VALUE"""),"Security Engineer")</f>
        <v>Security Engineer</v>
      </c>
      <c r="C611" s="7" t="str">
        <f>IFERROR(__xludf.DUMMYFUNCTION("""COMPUTED_VALUE"""),"S213")</f>
        <v>S213</v>
      </c>
      <c r="D611" s="7" t="str">
        <f>IFERROR(__xludf.DUMMYFUNCTION("""COMPUTED_VALUE"""),"Container &amp; Kubernetes Security (Trivy, Falco, RBAC)")</f>
        <v>Container &amp; Kubernetes Security (Trivy, Falco, RBAC)</v>
      </c>
    </row>
    <row r="612">
      <c r="A612" s="7" t="str">
        <f>IFERROR(__xludf.DUMMYFUNCTION("""COMPUTED_VALUE"""),"R14")</f>
        <v>R14</v>
      </c>
      <c r="B612" s="7" t="str">
        <f>IFERROR(__xludf.DUMMYFUNCTION("""COMPUTED_VALUE"""),"Security Engineer")</f>
        <v>Security Engineer</v>
      </c>
      <c r="C612" s="7" t="str">
        <f>IFERROR(__xludf.DUMMYFUNCTION("""COMPUTED_VALUE"""),"S214")</f>
        <v>S214</v>
      </c>
      <c r="D612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613">
      <c r="A613" s="7" t="str">
        <f>IFERROR(__xludf.DUMMYFUNCTION("""COMPUTED_VALUE"""),"R14")</f>
        <v>R14</v>
      </c>
      <c r="B613" s="7" t="str">
        <f>IFERROR(__xludf.DUMMYFUNCTION("""COMPUTED_VALUE"""),"Security Engineer")</f>
        <v>Security Engineer</v>
      </c>
      <c r="C613" s="7" t="str">
        <f>IFERROR(__xludf.DUMMYFUNCTION("""COMPUTED_VALUE"""),"S215")</f>
        <v>S215</v>
      </c>
      <c r="D613" s="7" t="str">
        <f>IFERROR(__xludf.DUMMYFUNCTION("""COMPUTED_VALUE"""),"Secrets Management (HashiCorp Vault, AWS Secrets Manager)")</f>
        <v>Secrets Management (HashiCorp Vault, AWS Secrets Manager)</v>
      </c>
    </row>
    <row r="614">
      <c r="A614" s="7" t="str">
        <f>IFERROR(__xludf.DUMMYFUNCTION("""COMPUTED_VALUE"""),"R14")</f>
        <v>R14</v>
      </c>
      <c r="B614" s="7" t="str">
        <f>IFERROR(__xludf.DUMMYFUNCTION("""COMPUTED_VALUE"""),"Security Engineer")</f>
        <v>Security Engineer</v>
      </c>
      <c r="C614" s="7" t="str">
        <f>IFERROR(__xludf.DUMMYFUNCTION("""COMPUTED_VALUE"""),"S216")</f>
        <v>S216</v>
      </c>
      <c r="D614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615">
      <c r="A615" s="7" t="str">
        <f>IFERROR(__xludf.DUMMYFUNCTION("""COMPUTED_VALUE"""),"R14")</f>
        <v>R14</v>
      </c>
      <c r="B615" s="7" t="str">
        <f>IFERROR(__xludf.DUMMYFUNCTION("""COMPUTED_VALUE"""),"Security Engineer")</f>
        <v>Security Engineer</v>
      </c>
      <c r="C615" s="7" t="str">
        <f>IFERROR(__xludf.DUMMYFUNCTION("""COMPUTED_VALUE"""),"S217")</f>
        <v>S217</v>
      </c>
      <c r="D615" s="7" t="str">
        <f>IFERROR(__xludf.DUMMYFUNCTION("""COMPUTED_VALUE"""),"Governance, Risk &amp; Compliance (ISO 27001, SOC 2, NIST, GDPR)")</f>
        <v>Governance, Risk &amp; Compliance (ISO 27001, SOC 2, NIST, GDPR)</v>
      </c>
    </row>
    <row r="616">
      <c r="A616" s="7" t="str">
        <f>IFERROR(__xludf.DUMMYFUNCTION("""COMPUTED_VALUE"""),"R14")</f>
        <v>R14</v>
      </c>
      <c r="B616" s="7" t="str">
        <f>IFERROR(__xludf.DUMMYFUNCTION("""COMPUTED_VALUE"""),"Security Engineer")</f>
        <v>Security Engineer</v>
      </c>
      <c r="C616" s="7" t="str">
        <f>IFERROR(__xludf.DUMMYFUNCTION("""COMPUTED_VALUE"""),"S219")</f>
        <v>S219</v>
      </c>
      <c r="D616" s="7" t="str">
        <f>IFERROR(__xludf.DUMMYFUNCTION("""COMPUTED_VALUE"""),"Secure Coding Practices &amp; Threat Mitigation")</f>
        <v>Secure Coding Practices &amp; Threat Mitigation</v>
      </c>
    </row>
    <row r="617">
      <c r="A617" s="7" t="str">
        <f>IFERROR(__xludf.DUMMYFUNCTION("""COMPUTED_VALUE"""),"R14")</f>
        <v>R14</v>
      </c>
      <c r="B617" s="7" t="str">
        <f>IFERROR(__xludf.DUMMYFUNCTION("""COMPUTED_VALUE"""),"Security Engineer")</f>
        <v>Security Engineer</v>
      </c>
      <c r="C617" s="7" t="str">
        <f>IFERROR(__xludf.DUMMYFUNCTION("""COMPUTED_VALUE"""),"S246")</f>
        <v>S246</v>
      </c>
      <c r="D617" s="7" t="str">
        <f>IFERROR(__xludf.DUMMYFUNCTION("""COMPUTED_VALUE"""),"Agile Methodologies, Scrum Framework &amp; Kanban")</f>
        <v>Agile Methodologies, Scrum Framework &amp; Kanban</v>
      </c>
    </row>
    <row r="618">
      <c r="A618" s="7" t="str">
        <f>IFERROR(__xludf.DUMMYFUNCTION("""COMPUTED_VALUE"""),"R14")</f>
        <v>R14</v>
      </c>
      <c r="B618" s="7" t="str">
        <f>IFERROR(__xludf.DUMMYFUNCTION("""COMPUTED_VALUE"""),"Security Engineer")</f>
        <v>Security Engineer</v>
      </c>
      <c r="C618" s="7" t="str">
        <f>IFERROR(__xludf.DUMMYFUNCTION("""COMPUTED_VALUE"""),"S247")</f>
        <v>S247</v>
      </c>
      <c r="D618" s="7" t="str">
        <f>IFERROR(__xludf.DUMMYFUNCTION("""COMPUTED_VALUE"""),"Project Tracking &amp; Documentation Tools (Jira, Confluence, Linear)")</f>
        <v>Project Tracking &amp; Documentation Tools (Jira, Confluence, Linear)</v>
      </c>
    </row>
    <row r="619">
      <c r="A619" s="7" t="str">
        <f>IFERROR(__xludf.DUMMYFUNCTION("""COMPUTED_VALUE"""),"R15")</f>
        <v>R15</v>
      </c>
      <c r="B619" s="7" t="str">
        <f>IFERROR(__xludf.DUMMYFUNCTION("""COMPUTED_VALUE"""),"Database Administrator (DBA)")</f>
        <v>Database Administrator (DBA)</v>
      </c>
      <c r="C619" s="7" t="str">
        <f>IFERROR(__xludf.DUMMYFUNCTION("""COMPUTED_VALUE"""),"S002")</f>
        <v>S002</v>
      </c>
      <c r="D619" s="7" t="str">
        <f>IFERROR(__xludf.DUMMYFUNCTION("""COMPUTED_VALUE"""),"Operating Systems Concepts")</f>
        <v>Operating Systems Concepts</v>
      </c>
    </row>
    <row r="620">
      <c r="A620" s="7" t="str">
        <f>IFERROR(__xludf.DUMMYFUNCTION("""COMPUTED_VALUE"""),"R15")</f>
        <v>R15</v>
      </c>
      <c r="B620" s="7" t="str">
        <f>IFERROR(__xludf.DUMMYFUNCTION("""COMPUTED_VALUE"""),"Database Administrator (DBA)")</f>
        <v>Database Administrator (DBA)</v>
      </c>
      <c r="C620" s="7" t="str">
        <f>IFERROR(__xludf.DUMMYFUNCTION("""COMPUTED_VALUE"""),"S004")</f>
        <v>S004</v>
      </c>
      <c r="D620" s="7" t="str">
        <f>IFERROR(__xludf.DUMMYFUNCTION("""COMPUTED_VALUE"""),"Memory Management &amp; Paging")</f>
        <v>Memory Management &amp; Paging</v>
      </c>
    </row>
    <row r="621">
      <c r="A621" s="7" t="str">
        <f>IFERROR(__xludf.DUMMYFUNCTION("""COMPUTED_VALUE"""),"R15")</f>
        <v>R15</v>
      </c>
      <c r="B621" s="7" t="str">
        <f>IFERROR(__xludf.DUMMYFUNCTION("""COMPUTED_VALUE"""),"Database Administrator (DBA)")</f>
        <v>Database Administrator (DBA)</v>
      </c>
      <c r="C621" s="7" t="str">
        <f>IFERROR(__xludf.DUMMYFUNCTION("""COMPUTED_VALUE"""),"S005")</f>
        <v>S005</v>
      </c>
      <c r="D621" s="7" t="str">
        <f>IFERROR(__xludf.DUMMYFUNCTION("""COMPUTED_VALUE"""),"File Systems &amp; Storage I/O")</f>
        <v>File Systems &amp; Storage I/O</v>
      </c>
    </row>
    <row r="622">
      <c r="A622" s="7" t="str">
        <f>IFERROR(__xludf.DUMMYFUNCTION("""COMPUTED_VALUE"""),"R15")</f>
        <v>R15</v>
      </c>
      <c r="B622" s="7" t="str">
        <f>IFERROR(__xludf.DUMMYFUNCTION("""COMPUTED_VALUE"""),"Database Administrator (DBA)")</f>
        <v>Database Administrator (DBA)</v>
      </c>
      <c r="C622" s="7" t="str">
        <f>IFERROR(__xludf.DUMMYFUNCTION("""COMPUTED_VALUE"""),"S007")</f>
        <v>S007</v>
      </c>
      <c r="D622" s="7" t="str">
        <f>IFERROR(__xludf.DUMMYFUNCTION("""COMPUTED_VALUE"""),"Trees &amp; Binary Search Trees")</f>
        <v>Trees &amp; Binary Search Trees</v>
      </c>
    </row>
    <row r="623">
      <c r="A623" s="7" t="str">
        <f>IFERROR(__xludf.DUMMYFUNCTION("""COMPUTED_VALUE"""),"R15")</f>
        <v>R15</v>
      </c>
      <c r="B623" s="7" t="str">
        <f>IFERROR(__xludf.DUMMYFUNCTION("""COMPUTED_VALUE"""),"Database Administrator (DBA)")</f>
        <v>Database Administrator (DBA)</v>
      </c>
      <c r="C623" s="7" t="str">
        <f>IFERROR(__xludf.DUMMYFUNCTION("""COMPUTED_VALUE"""),"S008")</f>
        <v>S008</v>
      </c>
      <c r="D623" s="7" t="str">
        <f>IFERROR(__xludf.DUMMYFUNCTION("""COMPUTED_VALUE"""),"Heaps, Priority Queues &amp; Hashing")</f>
        <v>Heaps, Priority Queues &amp; Hashing</v>
      </c>
    </row>
    <row r="624">
      <c r="A624" s="7" t="str">
        <f>IFERROR(__xludf.DUMMYFUNCTION("""COMPUTED_VALUE"""),"R15")</f>
        <v>R15</v>
      </c>
      <c r="B624" s="7" t="str">
        <f>IFERROR(__xludf.DUMMYFUNCTION("""COMPUTED_VALUE"""),"Database Administrator (DBA)")</f>
        <v>Database Administrator (DBA)</v>
      </c>
      <c r="C624" s="7" t="str">
        <f>IFERROR(__xludf.DUMMYFUNCTION("""COMPUTED_VALUE"""),"S017")</f>
        <v>S017</v>
      </c>
      <c r="D624" s="7" t="str">
        <f>IFERROR(__xludf.DUMMYFUNCTION("""COMPUTED_VALUE"""),"Git Version Control Fundamentals")</f>
        <v>Git Version Control Fundamentals</v>
      </c>
    </row>
    <row r="625">
      <c r="A625" s="7" t="str">
        <f>IFERROR(__xludf.DUMMYFUNCTION("""COMPUTED_VALUE"""),"R15")</f>
        <v>R15</v>
      </c>
      <c r="B625" s="7" t="str">
        <f>IFERROR(__xludf.DUMMYFUNCTION("""COMPUTED_VALUE"""),"Database Administrator (DBA)")</f>
        <v>Database Administrator (DBA)</v>
      </c>
      <c r="C625" s="7" t="str">
        <f>IFERROR(__xludf.DUMMYFUNCTION("""COMPUTED_VALUE"""),"S019")</f>
        <v>S019</v>
      </c>
      <c r="D625" s="7" t="str">
        <f>IFERROR(__xludf.DUMMYFUNCTION("""COMPUTED_VALUE"""),"Linux Command Line &amp; File Permissions")</f>
        <v>Linux Command Line &amp; File Permissions</v>
      </c>
    </row>
    <row r="626">
      <c r="A626" s="7" t="str">
        <f>IFERROR(__xludf.DUMMYFUNCTION("""COMPUTED_VALUE"""),"R15")</f>
        <v>R15</v>
      </c>
      <c r="B626" s="7" t="str">
        <f>IFERROR(__xludf.DUMMYFUNCTION("""COMPUTED_VALUE"""),"Database Administrator (DBA)")</f>
        <v>Database Administrator (DBA)</v>
      </c>
      <c r="C626" s="7" t="str">
        <f>IFERROR(__xludf.DUMMYFUNCTION("""COMPUTED_VALUE"""),"S020")</f>
        <v>S020</v>
      </c>
      <c r="D626" s="7" t="str">
        <f>IFERROR(__xludf.DUMMYFUNCTION("""COMPUTED_VALUE"""),"Bash &amp; Shell Scripting")</f>
        <v>Bash &amp; Shell Scripting</v>
      </c>
    </row>
    <row r="627">
      <c r="A627" s="7" t="str">
        <f>IFERROR(__xludf.DUMMYFUNCTION("""COMPUTED_VALUE"""),"R15")</f>
        <v>R15</v>
      </c>
      <c r="B627" s="7" t="str">
        <f>IFERROR(__xludf.DUMMYFUNCTION("""COMPUTED_VALUE"""),"Database Administrator (DBA)")</f>
        <v>Database Administrator (DBA)</v>
      </c>
      <c r="C627" s="7" t="str">
        <f>IFERROR(__xludf.DUMMYFUNCTION("""COMPUTED_VALUE"""),"S021")</f>
        <v>S021</v>
      </c>
      <c r="D627" s="7" t="str">
        <f>IFERROR(__xludf.DUMMYFUNCTION("""COMPUTED_VALUE"""),"PowerShell Scripting")</f>
        <v>PowerShell Scripting</v>
      </c>
    </row>
    <row r="628">
      <c r="A628" s="7" t="str">
        <f>IFERROR(__xludf.DUMMYFUNCTION("""COMPUTED_VALUE"""),"R15")</f>
        <v>R15</v>
      </c>
      <c r="B628" s="7" t="str">
        <f>IFERROR(__xludf.DUMMYFUNCTION("""COMPUTED_VALUE"""),"Database Administrator (DBA)")</f>
        <v>Database Administrator (DBA)</v>
      </c>
      <c r="C628" s="7" t="str">
        <f>IFERROR(__xludf.DUMMYFUNCTION("""COMPUTED_VALUE"""),"S022")</f>
        <v>S022</v>
      </c>
      <c r="D628" s="7" t="str">
        <f>IFERROR(__xludf.DUMMYFUNCTION("""COMPUTED_VALUE"""),"Computer Networking &amp; OSI Model")</f>
        <v>Computer Networking &amp; OSI Model</v>
      </c>
    </row>
    <row r="629">
      <c r="A629" s="7" t="str">
        <f>IFERROR(__xludf.DUMMYFUNCTION("""COMPUTED_VALUE"""),"R15")</f>
        <v>R15</v>
      </c>
      <c r="B629" s="7" t="str">
        <f>IFERROR(__xludf.DUMMYFUNCTION("""COMPUTED_VALUE"""),"Database Administrator (DBA)")</f>
        <v>Database Administrator (DBA)</v>
      </c>
      <c r="C629" s="7" t="str">
        <f>IFERROR(__xludf.DUMMYFUNCTION("""COMPUTED_VALUE"""),"S026")</f>
        <v>S026</v>
      </c>
      <c r="D629" s="7" t="str">
        <f>IFERROR(__xludf.DUMMYFUNCTION("""COMPUTED_VALUE"""),"Data Serialization (JSON, XML, YAML, Protobuf)")</f>
        <v>Data Serialization (JSON, XML, YAML, Protobuf)</v>
      </c>
    </row>
    <row r="630">
      <c r="A630" s="7" t="str">
        <f>IFERROR(__xludf.DUMMYFUNCTION("""COMPUTED_VALUE"""),"R15")</f>
        <v>R15</v>
      </c>
      <c r="B630" s="7" t="str">
        <f>IFERROR(__xludf.DUMMYFUNCTION("""COMPUTED_VALUE"""),"Database Administrator (DBA)")</f>
        <v>Database Administrator (DBA)</v>
      </c>
      <c r="C630" s="7" t="str">
        <f>IFERROR(__xludf.DUMMYFUNCTION("""COMPUTED_VALUE"""),"S028")</f>
        <v>S028</v>
      </c>
      <c r="D630" s="7" t="str">
        <f>IFERROR(__xludf.DUMMYFUNCTION("""COMPUTED_VALUE"""),"Technical Writing &amp; Markdown Documentation")</f>
        <v>Technical Writing &amp; Markdown Documentation</v>
      </c>
    </row>
    <row r="631">
      <c r="A631" s="7" t="str">
        <f>IFERROR(__xludf.DUMMYFUNCTION("""COMPUTED_VALUE"""),"R15")</f>
        <v>R15</v>
      </c>
      <c r="B631" s="7" t="str">
        <f>IFERROR(__xludf.DUMMYFUNCTION("""COMPUTED_VALUE"""),"Database Administrator (DBA)")</f>
        <v>Database Administrator (DBA)</v>
      </c>
      <c r="C631" s="7" t="str">
        <f>IFERROR(__xludf.DUMMYFUNCTION("""COMPUTED_VALUE"""),"S068")</f>
        <v>S068</v>
      </c>
      <c r="D631" s="7" t="str">
        <f>IFERROR(__xludf.DUMMYFUNCTION("""COMPUTED_VALUE"""),"Python Programming Fundamentals")</f>
        <v>Python Programming Fundamentals</v>
      </c>
    </row>
    <row r="632">
      <c r="A632" s="7" t="str">
        <f>IFERROR(__xludf.DUMMYFUNCTION("""COMPUTED_VALUE"""),"R15")</f>
        <v>R15</v>
      </c>
      <c r="B632" s="7" t="str">
        <f>IFERROR(__xludf.DUMMYFUNCTION("""COMPUTED_VALUE"""),"Database Administrator (DBA)")</f>
        <v>Database Administrator (DBA)</v>
      </c>
      <c r="C632" s="7" t="str">
        <f>IFERROR(__xludf.DUMMYFUNCTION("""COMPUTED_VALUE"""),"S106")</f>
        <v>S106</v>
      </c>
      <c r="D632" s="7" t="str">
        <f>IFERROR(__xludf.DUMMYFUNCTION("""COMPUTED_VALUE"""),"Relational Database Design &amp; Normalization (1NF-3NF)")</f>
        <v>Relational Database Design &amp; Normalization (1NF-3NF)</v>
      </c>
    </row>
    <row r="633">
      <c r="A633" s="7" t="str">
        <f>IFERROR(__xludf.DUMMYFUNCTION("""COMPUTED_VALUE"""),"R15")</f>
        <v>R15</v>
      </c>
      <c r="B633" s="7" t="str">
        <f>IFERROR(__xludf.DUMMYFUNCTION("""COMPUTED_VALUE"""),"Database Administrator (DBA)")</f>
        <v>Database Administrator (DBA)</v>
      </c>
      <c r="C633" s="7" t="str">
        <f>IFERROR(__xludf.DUMMYFUNCTION("""COMPUTED_VALUE"""),"S107")</f>
        <v>S107</v>
      </c>
      <c r="D633" s="7" t="str">
        <f>IFERROR(__xludf.DUMMYFUNCTION("""COMPUTED_VALUE"""),"SQL Querying (Joins, Aggregations, Subqueries)")</f>
        <v>SQL Querying (Joins, Aggregations, Subqueries)</v>
      </c>
    </row>
    <row r="634">
      <c r="A634" s="7" t="str">
        <f>IFERROR(__xludf.DUMMYFUNCTION("""COMPUTED_VALUE"""),"R15")</f>
        <v>R15</v>
      </c>
      <c r="B634" s="7" t="str">
        <f>IFERROR(__xludf.DUMMYFUNCTION("""COMPUTED_VALUE"""),"Database Administrator (DBA)")</f>
        <v>Database Administrator (DBA)</v>
      </c>
      <c r="C634" s="7" t="str">
        <f>IFERROR(__xludf.DUMMYFUNCTION("""COMPUTED_VALUE"""),"S108")</f>
        <v>S108</v>
      </c>
      <c r="D634" s="7" t="str">
        <f>IFERROR(__xludf.DUMMYFUNCTION("""COMPUTED_VALUE"""),"Advanced SQL (Window Functions, CTEs, Stored Procedures)")</f>
        <v>Advanced SQL (Window Functions, CTEs, Stored Procedures)</v>
      </c>
    </row>
    <row r="635">
      <c r="A635" s="7" t="str">
        <f>IFERROR(__xludf.DUMMYFUNCTION("""COMPUTED_VALUE"""),"R15")</f>
        <v>R15</v>
      </c>
      <c r="B635" s="7" t="str">
        <f>IFERROR(__xludf.DUMMYFUNCTION("""COMPUTED_VALUE"""),"Database Administrator (DBA)")</f>
        <v>Database Administrator (DBA)</v>
      </c>
      <c r="C635" s="7" t="str">
        <f>IFERROR(__xludf.DUMMYFUNCTION("""COMPUTED_VALUE"""),"S109")</f>
        <v>S109</v>
      </c>
      <c r="D635" s="7" t="str">
        <f>IFERROR(__xludf.DUMMYFUNCTION("""COMPUTED_VALUE"""),"PostgreSQL Administration &amp; Development")</f>
        <v>PostgreSQL Administration &amp; Development</v>
      </c>
    </row>
    <row r="636">
      <c r="A636" s="7" t="str">
        <f>IFERROR(__xludf.DUMMYFUNCTION("""COMPUTED_VALUE"""),"R15")</f>
        <v>R15</v>
      </c>
      <c r="B636" s="7" t="str">
        <f>IFERROR(__xludf.DUMMYFUNCTION("""COMPUTED_VALUE"""),"Database Administrator (DBA)")</f>
        <v>Database Administrator (DBA)</v>
      </c>
      <c r="C636" s="7" t="str">
        <f>IFERROR(__xludf.DUMMYFUNCTION("""COMPUTED_VALUE"""),"S110")</f>
        <v>S110</v>
      </c>
      <c r="D636" s="7" t="str">
        <f>IFERROR(__xludf.DUMMYFUNCTION("""COMPUTED_VALUE"""),"MySQL &amp; MariaDB Management")</f>
        <v>MySQL &amp; MariaDB Management</v>
      </c>
    </row>
    <row r="637">
      <c r="A637" s="7" t="str">
        <f>IFERROR(__xludf.DUMMYFUNCTION("""COMPUTED_VALUE"""),"R15")</f>
        <v>R15</v>
      </c>
      <c r="B637" s="7" t="str">
        <f>IFERROR(__xludf.DUMMYFUNCTION("""COMPUTED_VALUE"""),"Database Administrator (DBA)")</f>
        <v>Database Administrator (DBA)</v>
      </c>
      <c r="C637" s="7" t="str">
        <f>IFERROR(__xludf.DUMMYFUNCTION("""COMPUTED_VALUE"""),"S111")</f>
        <v>S111</v>
      </c>
      <c r="D637" s="7" t="str">
        <f>IFERROR(__xludf.DUMMYFUNCTION("""COMPUTED_VALUE"""),"Microsoft SQL Server (T-SQL)")</f>
        <v>Microsoft SQL Server (T-SQL)</v>
      </c>
    </row>
    <row r="638">
      <c r="A638" s="7" t="str">
        <f>IFERROR(__xludf.DUMMYFUNCTION("""COMPUTED_VALUE"""),"R15")</f>
        <v>R15</v>
      </c>
      <c r="B638" s="7" t="str">
        <f>IFERROR(__xludf.DUMMYFUNCTION("""COMPUTED_VALUE"""),"Database Administrator (DBA)")</f>
        <v>Database Administrator (DBA)</v>
      </c>
      <c r="C638" s="7" t="str">
        <f>IFERROR(__xludf.DUMMYFUNCTION("""COMPUTED_VALUE"""),"S112")</f>
        <v>S112</v>
      </c>
      <c r="D638" s="7" t="str">
        <f>IFERROR(__xludf.DUMMYFUNCTION("""COMPUTED_VALUE"""),"Oracle Database &amp; PL/SQL")</f>
        <v>Oracle Database &amp; PL/SQL</v>
      </c>
    </row>
    <row r="639">
      <c r="A639" s="7" t="str">
        <f>IFERROR(__xludf.DUMMYFUNCTION("""COMPUTED_VALUE"""),"R15")</f>
        <v>R15</v>
      </c>
      <c r="B639" s="7" t="str">
        <f>IFERROR(__xludf.DUMMYFUNCTION("""COMPUTED_VALUE"""),"Database Administrator (DBA)")</f>
        <v>Database Administrator (DBA)</v>
      </c>
      <c r="C639" s="7" t="str">
        <f>IFERROR(__xludf.DUMMYFUNCTION("""COMPUTED_VALUE"""),"S113")</f>
        <v>S113</v>
      </c>
      <c r="D639" s="7" t="str">
        <f>IFERROR(__xludf.DUMMYFUNCTION("""COMPUTED_VALUE"""),"SQLite Embedded Databases")</f>
        <v>SQLite Embedded Databases</v>
      </c>
    </row>
    <row r="640">
      <c r="A640" s="7" t="str">
        <f>IFERROR(__xludf.DUMMYFUNCTION("""COMPUTED_VALUE"""),"R15")</f>
        <v>R15</v>
      </c>
      <c r="B640" s="7" t="str">
        <f>IFERROR(__xludf.DUMMYFUNCTION("""COMPUTED_VALUE"""),"Database Administrator (DBA)")</f>
        <v>Database Administrator (DBA)</v>
      </c>
      <c r="C640" s="7" t="str">
        <f>IFERROR(__xludf.DUMMYFUNCTION("""COMPUTED_VALUE"""),"S114")</f>
        <v>S114</v>
      </c>
      <c r="D640" s="7" t="str">
        <f>IFERROR(__xludf.DUMMYFUNCTION("""COMPUTED_VALUE"""),"Database Indexing, Query Plans &amp; Optimization")</f>
        <v>Database Indexing, Query Plans &amp; Optimization</v>
      </c>
    </row>
    <row r="641">
      <c r="A641" s="7" t="str">
        <f>IFERROR(__xludf.DUMMYFUNCTION("""COMPUTED_VALUE"""),"R15")</f>
        <v>R15</v>
      </c>
      <c r="B641" s="7" t="str">
        <f>IFERROR(__xludf.DUMMYFUNCTION("""COMPUTED_VALUE"""),"Database Administrator (DBA)")</f>
        <v>Database Administrator (DBA)</v>
      </c>
      <c r="C641" s="7" t="str">
        <f>IFERROR(__xludf.DUMMYFUNCTION("""COMPUTED_VALUE"""),"S115")</f>
        <v>S115</v>
      </c>
      <c r="D641" s="7" t="str">
        <f>IFERROR(__xludf.DUMMYFUNCTION("""COMPUTED_VALUE"""),"ACID Transactions, Locking &amp; Isolation Levels")</f>
        <v>ACID Transactions, Locking &amp; Isolation Levels</v>
      </c>
    </row>
    <row r="642">
      <c r="A642" s="7" t="str">
        <f>IFERROR(__xludf.DUMMYFUNCTION("""COMPUTED_VALUE"""),"R15")</f>
        <v>R15</v>
      </c>
      <c r="B642" s="7" t="str">
        <f>IFERROR(__xludf.DUMMYFUNCTION("""COMPUTED_VALUE"""),"Database Administrator (DBA)")</f>
        <v>Database Administrator (DBA)</v>
      </c>
      <c r="C642" s="7" t="str">
        <f>IFERROR(__xludf.DUMMYFUNCTION("""COMPUTED_VALUE"""),"S116")</f>
        <v>S116</v>
      </c>
      <c r="D642" s="7" t="str">
        <f>IFERROR(__xludf.DUMMYFUNCTION("""COMPUTED_VALUE"""),"Database Replication, Sharding &amp; Partitioning")</f>
        <v>Database Replication, Sharding &amp; Partitioning</v>
      </c>
    </row>
    <row r="643">
      <c r="A643" s="7" t="str">
        <f>IFERROR(__xludf.DUMMYFUNCTION("""COMPUTED_VALUE"""),"R15")</f>
        <v>R15</v>
      </c>
      <c r="B643" s="7" t="str">
        <f>IFERROR(__xludf.DUMMYFUNCTION("""COMPUTED_VALUE"""),"Database Administrator (DBA)")</f>
        <v>Database Administrator (DBA)</v>
      </c>
      <c r="C643" s="7" t="str">
        <f>IFERROR(__xludf.DUMMYFUNCTION("""COMPUTED_VALUE"""),"S117")</f>
        <v>S117</v>
      </c>
      <c r="D643" s="7" t="str">
        <f>IFERROR(__xludf.DUMMYFUNCTION("""COMPUTED_VALUE"""),"Database Backup, Point-in-Time Recovery &amp; Migration")</f>
        <v>Database Backup, Point-in-Time Recovery &amp; Migration</v>
      </c>
    </row>
    <row r="644">
      <c r="A644" s="7" t="str">
        <f>IFERROR(__xludf.DUMMYFUNCTION("""COMPUTED_VALUE"""),"R15")</f>
        <v>R15</v>
      </c>
      <c r="B644" s="7" t="str">
        <f>IFERROR(__xludf.DUMMYFUNCTION("""COMPUTED_VALUE"""),"Database Administrator (DBA)")</f>
        <v>Database Administrator (DBA)</v>
      </c>
      <c r="C644" s="7" t="str">
        <f>IFERROR(__xludf.DUMMYFUNCTION("""COMPUTED_VALUE"""),"S119")</f>
        <v>S119</v>
      </c>
      <c r="D644" s="7" t="str">
        <f>IFERROR(__xludf.DUMMYFUNCTION("""COMPUTED_VALUE"""),"Document Databases (MongoDB)")</f>
        <v>Document Databases (MongoDB)</v>
      </c>
    </row>
    <row r="645">
      <c r="A645" s="7" t="str">
        <f>IFERROR(__xludf.DUMMYFUNCTION("""COMPUTED_VALUE"""),"R15")</f>
        <v>R15</v>
      </c>
      <c r="B645" s="7" t="str">
        <f>IFERROR(__xludf.DUMMYFUNCTION("""COMPUTED_VALUE"""),"Database Administrator (DBA)")</f>
        <v>Database Administrator (DBA)</v>
      </c>
      <c r="C645" s="7" t="str">
        <f>IFERROR(__xludf.DUMMYFUNCTION("""COMPUTED_VALUE"""),"S120")</f>
        <v>S120</v>
      </c>
      <c r="D645" s="7" t="str">
        <f>IFERROR(__xludf.DUMMYFUNCTION("""COMPUTED_VALUE"""),"Key-Value Stores &amp; In-Memory DBs (Redis, Memcached)")</f>
        <v>Key-Value Stores &amp; In-Memory DBs (Redis, Memcached)</v>
      </c>
    </row>
    <row r="646">
      <c r="A646" s="7" t="str">
        <f>IFERROR(__xludf.DUMMYFUNCTION("""COMPUTED_VALUE"""),"R15")</f>
        <v>R15</v>
      </c>
      <c r="B646" s="7" t="str">
        <f>IFERROR(__xludf.DUMMYFUNCTION("""COMPUTED_VALUE"""),"Database Administrator (DBA)")</f>
        <v>Database Administrator (DBA)</v>
      </c>
      <c r="C646" s="7" t="str">
        <f>IFERROR(__xludf.DUMMYFUNCTION("""COMPUTED_VALUE"""),"S121")</f>
        <v>S121</v>
      </c>
      <c r="D646" s="7" t="str">
        <f>IFERROR(__xludf.DUMMYFUNCTION("""COMPUTED_VALUE"""),"Wide-Column Stores (Apache Cassandra, ScyllaDB)")</f>
        <v>Wide-Column Stores (Apache Cassandra, ScyllaDB)</v>
      </c>
    </row>
    <row r="647">
      <c r="A647" s="7" t="str">
        <f>IFERROR(__xludf.DUMMYFUNCTION("""COMPUTED_VALUE"""),"R15")</f>
        <v>R15</v>
      </c>
      <c r="B647" s="7" t="str">
        <f>IFERROR(__xludf.DUMMYFUNCTION("""COMPUTED_VALUE"""),"Database Administrator (DBA)")</f>
        <v>Database Administrator (DBA)</v>
      </c>
      <c r="C647" s="7" t="str">
        <f>IFERROR(__xludf.DUMMYFUNCTION("""COMPUTED_VALUE"""),"S122")</f>
        <v>S122</v>
      </c>
      <c r="D647" s="7" t="str">
        <f>IFERROR(__xludf.DUMMYFUNCTION("""COMPUTED_VALUE"""),"Cloud NoSQL Databases (AWS DynamoDB, Firestore)")</f>
        <v>Cloud NoSQL Databases (AWS DynamoDB, Firestore)</v>
      </c>
    </row>
    <row r="648">
      <c r="A648" s="7" t="str">
        <f>IFERROR(__xludf.DUMMYFUNCTION("""COMPUTED_VALUE"""),"R15")</f>
        <v>R15</v>
      </c>
      <c r="B648" s="7" t="str">
        <f>IFERROR(__xludf.DUMMYFUNCTION("""COMPUTED_VALUE"""),"Database Administrator (DBA)")</f>
        <v>Database Administrator (DBA)</v>
      </c>
      <c r="C648" s="7" t="str">
        <f>IFERROR(__xludf.DUMMYFUNCTION("""COMPUTED_VALUE"""),"S124")</f>
        <v>S124</v>
      </c>
      <c r="D648" s="7" t="str">
        <f>IFERROR(__xludf.DUMMYFUNCTION("""COMPUTED_VALUE"""),"Time-Series Databases (InfluxDB, TimescaleDB)")</f>
        <v>Time-Series Databases (InfluxDB, TimescaleDB)</v>
      </c>
    </row>
    <row r="649">
      <c r="A649" s="7" t="str">
        <f>IFERROR(__xludf.DUMMYFUNCTION("""COMPUTED_VALUE"""),"R15")</f>
        <v>R15</v>
      </c>
      <c r="B649" s="7" t="str">
        <f>IFERROR(__xludf.DUMMYFUNCTION("""COMPUTED_VALUE"""),"Database Administrator (DBA)")</f>
        <v>Database Administrator (DBA)</v>
      </c>
      <c r="C649" s="7" t="str">
        <f>IFERROR(__xludf.DUMMYFUNCTION("""COMPUTED_VALUE"""),"S131")</f>
        <v>S131</v>
      </c>
      <c r="D649" s="7" t="str">
        <f>IFERROR(__xludf.DUMMYFUNCTION("""COMPUTED_VALUE"""),"Cloud Data Warehousing (Snowflake, Google BigQuery, AWS Redshift)")</f>
        <v>Cloud Data Warehousing (Snowflake, Google BigQuery, AWS Redshift)</v>
      </c>
    </row>
    <row r="650">
      <c r="A650" s="7" t="str">
        <f>IFERROR(__xludf.DUMMYFUNCTION("""COMPUTED_VALUE"""),"R15")</f>
        <v>R15</v>
      </c>
      <c r="B650" s="7" t="str">
        <f>IFERROR(__xludf.DUMMYFUNCTION("""COMPUTED_VALUE"""),"Database Administrator (DBA)")</f>
        <v>Database Administrator (DBA)</v>
      </c>
      <c r="C650" s="7" t="str">
        <f>IFERROR(__xludf.DUMMYFUNCTION("""COMPUTED_VALUE"""),"S135")</f>
        <v>S135</v>
      </c>
      <c r="D650" s="7" t="str">
        <f>IFERROR(__xludf.DUMMYFUNCTION("""COMPUTED_VALUE"""),"Data Quality, Lineage &amp; Governance (Great Expectations, Collibra)")</f>
        <v>Data Quality, Lineage &amp; Governance (Great Expectations, Collibra)</v>
      </c>
    </row>
    <row r="651">
      <c r="A651" s="7" t="str">
        <f>IFERROR(__xludf.DUMMYFUNCTION("""COMPUTED_VALUE"""),"R15")</f>
        <v>R15</v>
      </c>
      <c r="B651" s="7" t="str">
        <f>IFERROR(__xludf.DUMMYFUNCTION("""COMPUTED_VALUE"""),"Database Administrator (DBA)")</f>
        <v>Database Administrator (DBA)</v>
      </c>
      <c r="C651" s="7" t="str">
        <f>IFERROR(__xludf.DUMMYFUNCTION("""COMPUTED_VALUE"""),"S171")</f>
        <v>S171</v>
      </c>
      <c r="D651" s="7" t="str">
        <f>IFERROR(__xludf.DUMMYFUNCTION("""COMPUTED_VALUE"""),"Containerization with Docker")</f>
        <v>Containerization with Docker</v>
      </c>
    </row>
    <row r="652">
      <c r="A652" s="7" t="str">
        <f>IFERROR(__xludf.DUMMYFUNCTION("""COMPUTED_VALUE"""),"R15")</f>
        <v>R15</v>
      </c>
      <c r="B652" s="7" t="str">
        <f>IFERROR(__xludf.DUMMYFUNCTION("""COMPUTED_VALUE"""),"Database Administrator (DBA)")</f>
        <v>Database Administrator (DBA)</v>
      </c>
      <c r="C652" s="7" t="str">
        <f>IFERROR(__xludf.DUMMYFUNCTION("""COMPUTED_VALUE"""),"S174")</f>
        <v>S174</v>
      </c>
      <c r="D652" s="7" t="str">
        <f>IFERROR(__xludf.DUMMYFUNCTION("""COMPUTED_VALUE"""),"Amazon Web Services Core (EC2, S3, RDS, IAM, VPC)")</f>
        <v>Amazon Web Services Core (EC2, S3, RDS, IAM, VPC)</v>
      </c>
    </row>
    <row r="653">
      <c r="A653" s="7" t="str">
        <f>IFERROR(__xludf.DUMMYFUNCTION("""COMPUTED_VALUE"""),"R15")</f>
        <v>R15</v>
      </c>
      <c r="B653" s="7" t="str">
        <f>IFERROR(__xludf.DUMMYFUNCTION("""COMPUTED_VALUE"""),"Database Administrator (DBA)")</f>
        <v>Database Administrator (DBA)</v>
      </c>
      <c r="C653" s="7" t="str">
        <f>IFERROR(__xludf.DUMMYFUNCTION("""COMPUTED_VALUE"""),"S184")</f>
        <v>S184</v>
      </c>
      <c r="D653" s="7" t="str">
        <f>IFERROR(__xludf.DUMMYFUNCTION("""COMPUTED_VALUE"""),"Infrastructure &amp; Metrics Monitoring (Prometheus &amp; Grafana)")</f>
        <v>Infrastructure &amp; Metrics Monitoring (Prometheus &amp; Grafana)</v>
      </c>
    </row>
    <row r="654">
      <c r="A654" s="7" t="str">
        <f>IFERROR(__xludf.DUMMYFUNCTION("""COMPUTED_VALUE"""),"R15")</f>
        <v>R15</v>
      </c>
      <c r="B654" s="7" t="str">
        <f>IFERROR(__xludf.DUMMYFUNCTION("""COMPUTED_VALUE"""),"Database Administrator (DBA)")</f>
        <v>Database Administrator (DBA)</v>
      </c>
      <c r="C654" s="7" t="str">
        <f>IFERROR(__xludf.DUMMYFUNCTION("""COMPUTED_VALUE"""),"S188")</f>
        <v>S188</v>
      </c>
      <c r="D654" s="7" t="str">
        <f>IFERROR(__xludf.DUMMYFUNCTION("""COMPUTED_VALUE"""),"High Availability, Failover &amp; Disaster Recovery")</f>
        <v>High Availability, Failover &amp; Disaster Recovery</v>
      </c>
    </row>
    <row r="655">
      <c r="A655" s="7" t="str">
        <f>IFERROR(__xludf.DUMMYFUNCTION("""COMPUTED_VALUE"""),"R15")</f>
        <v>R15</v>
      </c>
      <c r="B655" s="7" t="str">
        <f>IFERROR(__xludf.DUMMYFUNCTION("""COMPUTED_VALUE"""),"Database Administrator (DBA)")</f>
        <v>Database Administrator (DBA)</v>
      </c>
      <c r="C655" s="7" t="str">
        <f>IFERROR(__xludf.DUMMYFUNCTION("""COMPUTED_VALUE"""),"S191")</f>
        <v>S191</v>
      </c>
      <c r="D655" s="7" t="str">
        <f>IFERROR(__xludf.DUMMYFUNCTION("""COMPUTED_VALUE"""),"Enterprise Linux System Administration (RHEL, Ubuntu, systemd)")</f>
        <v>Enterprise Linux System Administration (RHEL, Ubuntu, systemd)</v>
      </c>
    </row>
    <row r="656">
      <c r="A656" s="7" t="str">
        <f>IFERROR(__xludf.DUMMYFUNCTION("""COMPUTED_VALUE"""),"R15")</f>
        <v>R15</v>
      </c>
      <c r="B656" s="7" t="str">
        <f>IFERROR(__xludf.DUMMYFUNCTION("""COMPUTED_VALUE"""),"Database Administrator (DBA)")</f>
        <v>Database Administrator (DBA)</v>
      </c>
      <c r="C656" s="7" t="str">
        <f>IFERROR(__xludf.DUMMYFUNCTION("""COMPUTED_VALUE"""),"S196")</f>
        <v>S196</v>
      </c>
      <c r="D656" s="7" t="str">
        <f>IFERROR(__xludf.DUMMYFUNCTION("""COMPUTED_VALUE"""),"Cybersecurity Principles &amp; CIA Triad")</f>
        <v>Cybersecurity Principles &amp; CIA Triad</v>
      </c>
    </row>
    <row r="657">
      <c r="A657" s="7" t="str">
        <f>IFERROR(__xludf.DUMMYFUNCTION("""COMPUTED_VALUE"""),"R15")</f>
        <v>R15</v>
      </c>
      <c r="B657" s="7" t="str">
        <f>IFERROR(__xludf.DUMMYFUNCTION("""COMPUTED_VALUE"""),"Database Administrator (DBA)")</f>
        <v>Database Administrator (DBA)</v>
      </c>
      <c r="C657" s="7" t="str">
        <f>IFERROR(__xludf.DUMMYFUNCTION("""COMPUTED_VALUE"""),"S246")</f>
        <v>S246</v>
      </c>
      <c r="D657" s="7" t="str">
        <f>IFERROR(__xludf.DUMMYFUNCTION("""COMPUTED_VALUE"""),"Agile Methodologies, Scrum Framework &amp; Kanban")</f>
        <v>Agile Methodologies, Scrum Framework &amp; Kanban</v>
      </c>
    </row>
    <row r="658">
      <c r="A658" s="7" t="str">
        <f>IFERROR(__xludf.DUMMYFUNCTION("""COMPUTED_VALUE"""),"R15")</f>
        <v>R15</v>
      </c>
      <c r="B658" s="7" t="str">
        <f>IFERROR(__xludf.DUMMYFUNCTION("""COMPUTED_VALUE"""),"Database Administrator (DBA)")</f>
        <v>Database Administrator (DBA)</v>
      </c>
      <c r="C658" s="7" t="str">
        <f>IFERROR(__xludf.DUMMYFUNCTION("""COMPUTED_VALUE"""),"S247")</f>
        <v>S247</v>
      </c>
      <c r="D658" s="7" t="str">
        <f>IFERROR(__xludf.DUMMYFUNCTION("""COMPUTED_VALUE"""),"Project Tracking &amp; Documentation Tools (Jira, Confluence, Linear)")</f>
        <v>Project Tracking &amp; Documentation Tools (Jira, Confluence, Linear)</v>
      </c>
    </row>
    <row r="659">
      <c r="A659" s="7" t="str">
        <f>IFERROR(__xludf.DUMMYFUNCTION("""COMPUTED_VALUE"""),"R16")</f>
        <v>R16</v>
      </c>
      <c r="B659" s="7" t="str">
        <f>IFERROR(__xludf.DUMMYFUNCTION("""COMPUTED_VALUE"""),"UI/UX Designer")</f>
        <v>UI/UX Designer</v>
      </c>
      <c r="C659" s="7" t="str">
        <f>IFERROR(__xludf.DUMMYFUNCTION("""COMPUTED_VALUE"""),"S017")</f>
        <v>S017</v>
      </c>
      <c r="D659" s="7" t="str">
        <f>IFERROR(__xludf.DUMMYFUNCTION("""COMPUTED_VALUE"""),"Git Version Control Fundamentals")</f>
        <v>Git Version Control Fundamentals</v>
      </c>
    </row>
    <row r="660">
      <c r="A660" s="7" t="str">
        <f>IFERROR(__xludf.DUMMYFUNCTION("""COMPUTED_VALUE"""),"R16")</f>
        <v>R16</v>
      </c>
      <c r="B660" s="7" t="str">
        <f>IFERROR(__xludf.DUMMYFUNCTION("""COMPUTED_VALUE"""),"UI/UX Designer")</f>
        <v>UI/UX Designer</v>
      </c>
      <c r="C660" s="7" t="str">
        <f>IFERROR(__xludf.DUMMYFUNCTION("""COMPUTED_VALUE"""),"S028")</f>
        <v>S028</v>
      </c>
      <c r="D660" s="7" t="str">
        <f>IFERROR(__xludf.DUMMYFUNCTION("""COMPUTED_VALUE"""),"Technical Writing &amp; Markdown Documentation")</f>
        <v>Technical Writing &amp; Markdown Documentation</v>
      </c>
    </row>
    <row r="661">
      <c r="A661" s="7" t="str">
        <f>IFERROR(__xludf.DUMMYFUNCTION("""COMPUTED_VALUE"""),"R16")</f>
        <v>R16</v>
      </c>
      <c r="B661" s="7" t="str">
        <f>IFERROR(__xludf.DUMMYFUNCTION("""COMPUTED_VALUE"""),"UI/UX Designer")</f>
        <v>UI/UX Designer</v>
      </c>
      <c r="C661" s="7" t="str">
        <f>IFERROR(__xludf.DUMMYFUNCTION("""COMPUTED_VALUE"""),"S031")</f>
        <v>S031</v>
      </c>
      <c r="D661" s="7" t="str">
        <f>IFERROR(__xludf.DUMMYFUNCTION("""COMPUTED_VALUE"""),"Semantic HTML5")</f>
        <v>Semantic HTML5</v>
      </c>
    </row>
    <row r="662">
      <c r="A662" s="7" t="str">
        <f>IFERROR(__xludf.DUMMYFUNCTION("""COMPUTED_VALUE"""),"R16")</f>
        <v>R16</v>
      </c>
      <c r="B662" s="7" t="str">
        <f>IFERROR(__xludf.DUMMYFUNCTION("""COMPUTED_VALUE"""),"UI/UX Designer")</f>
        <v>UI/UX Designer</v>
      </c>
      <c r="C662" s="7" t="str">
        <f>IFERROR(__xludf.DUMMYFUNCTION("""COMPUTED_VALUE"""),"S032")</f>
        <v>S032</v>
      </c>
      <c r="D662" s="7" t="str">
        <f>IFERROR(__xludf.DUMMYFUNCTION("""COMPUTED_VALUE"""),"CSS3 Fundamentals &amp; Box Model")</f>
        <v>CSS3 Fundamentals &amp; Box Model</v>
      </c>
    </row>
    <row r="663">
      <c r="A663" s="7" t="str">
        <f>IFERROR(__xludf.DUMMYFUNCTION("""COMPUTED_VALUE"""),"R16")</f>
        <v>R16</v>
      </c>
      <c r="B663" s="7" t="str">
        <f>IFERROR(__xludf.DUMMYFUNCTION("""COMPUTED_VALUE"""),"UI/UX Designer")</f>
        <v>UI/UX Designer</v>
      </c>
      <c r="C663" s="7" t="str">
        <f>IFERROR(__xludf.DUMMYFUNCTION("""COMPUTED_VALUE"""),"S033")</f>
        <v>S033</v>
      </c>
      <c r="D663" s="7" t="str">
        <f>IFERROR(__xludf.DUMMYFUNCTION("""COMPUTED_VALUE"""),"Responsive Web Design (Flexbox &amp; CSS Grid)")</f>
        <v>Responsive Web Design (Flexbox &amp; CSS Grid)</v>
      </c>
    </row>
    <row r="664">
      <c r="A664" s="7" t="str">
        <f>IFERROR(__xludf.DUMMYFUNCTION("""COMPUTED_VALUE"""),"R16")</f>
        <v>R16</v>
      </c>
      <c r="B664" s="7" t="str">
        <f>IFERROR(__xludf.DUMMYFUNCTION("""COMPUTED_VALUE"""),"UI/UX Designer")</f>
        <v>UI/UX Designer</v>
      </c>
      <c r="C664" s="7" t="str">
        <f>IFERROR(__xludf.DUMMYFUNCTION("""COMPUTED_VALUE"""),"S034")</f>
        <v>S034</v>
      </c>
      <c r="D664" s="7" t="str">
        <f>IFERROR(__xludf.DUMMYFUNCTION("""COMPUTED_VALUE"""),"JavaScript Fundamentals (ES6+)")</f>
        <v>JavaScript Fundamentals (ES6+)</v>
      </c>
    </row>
    <row r="665">
      <c r="A665" s="7" t="str">
        <f>IFERROR(__xludf.DUMMYFUNCTION("""COMPUTED_VALUE"""),"R16")</f>
        <v>R16</v>
      </c>
      <c r="B665" s="7" t="str">
        <f>IFERROR(__xludf.DUMMYFUNCTION("""COMPUTED_VALUE"""),"UI/UX Designer")</f>
        <v>UI/UX Designer</v>
      </c>
      <c r="C665" s="7" t="str">
        <f>IFERROR(__xludf.DUMMYFUNCTION("""COMPUTED_VALUE"""),"S047")</f>
        <v>S047</v>
      </c>
      <c r="D665" s="7" t="str">
        <f>IFERROR(__xludf.DUMMYFUNCTION("""COMPUTED_VALUE"""),"Tailwind CSS Utility Styling")</f>
        <v>Tailwind CSS Utility Styling</v>
      </c>
    </row>
    <row r="666">
      <c r="A666" s="7" t="str">
        <f>IFERROR(__xludf.DUMMYFUNCTION("""COMPUTED_VALUE"""),"R16")</f>
        <v>R16</v>
      </c>
      <c r="B666" s="7" t="str">
        <f>IFERROR(__xludf.DUMMYFUNCTION("""COMPUTED_VALUE"""),"UI/UX Designer")</f>
        <v>UI/UX Designer</v>
      </c>
      <c r="C666" s="7" t="str">
        <f>IFERROR(__xludf.DUMMYFUNCTION("""COMPUTED_VALUE"""),"S049")</f>
        <v>S049</v>
      </c>
      <c r="D666" s="7" t="str">
        <f>IFERROR(__xludf.DUMMYFUNCTION("""COMPUTED_VALUE"""),"Component Libraries (Material UI, Shadcn UI, Bootstrap)")</f>
        <v>Component Libraries (Material UI, Shadcn UI, Bootstrap)</v>
      </c>
    </row>
    <row r="667">
      <c r="A667" s="7" t="str">
        <f>IFERROR(__xludf.DUMMYFUNCTION("""COMPUTED_VALUE"""),"R16")</f>
        <v>R16</v>
      </c>
      <c r="B667" s="7" t="str">
        <f>IFERROR(__xludf.DUMMYFUNCTION("""COMPUTED_VALUE"""),"UI/UX Designer")</f>
        <v>UI/UX Designer</v>
      </c>
      <c r="C667" s="7" t="str">
        <f>IFERROR(__xludf.DUMMYFUNCTION("""COMPUTED_VALUE"""),"S053")</f>
        <v>S053</v>
      </c>
      <c r="D667" s="7" t="str">
        <f>IFERROR(__xludf.DUMMYFUNCTION("""COMPUTED_VALUE"""),"Web Accessibility (WCAG / ARIA / a11y)")</f>
        <v>Web Accessibility (WCAG / ARIA / a11y)</v>
      </c>
    </row>
    <row r="668">
      <c r="A668" s="7" t="str">
        <f>IFERROR(__xludf.DUMMYFUNCTION("""COMPUTED_VALUE"""),"R16")</f>
        <v>R16</v>
      </c>
      <c r="B668" s="7" t="str">
        <f>IFERROR(__xludf.DUMMYFUNCTION("""COMPUTED_VALUE"""),"UI/UX Designer")</f>
        <v>UI/UX Designer</v>
      </c>
      <c r="C668" s="7" t="str">
        <f>IFERROR(__xludf.DUMMYFUNCTION("""COMPUTED_VALUE"""),"S057")</f>
        <v>S057</v>
      </c>
      <c r="D668" s="7" t="str">
        <f>IFERROR(__xludf.DUMMYFUNCTION("""COMPUTED_VALUE"""),"Data Visualization &amp; Charting (D3.js, Recharts, Chart.js)")</f>
        <v>Data Visualization &amp; Charting (D3.js, Recharts, Chart.js)</v>
      </c>
    </row>
    <row r="669">
      <c r="A669" s="7" t="str">
        <f>IFERROR(__xludf.DUMMYFUNCTION("""COMPUTED_VALUE"""),"R16")</f>
        <v>R16</v>
      </c>
      <c r="B669" s="7" t="str">
        <f>IFERROR(__xludf.DUMMYFUNCTION("""COMPUTED_VALUE"""),"UI/UX Designer")</f>
        <v>UI/UX Designer</v>
      </c>
      <c r="C669" s="7" t="str">
        <f>IFERROR(__xludf.DUMMYFUNCTION("""COMPUTED_VALUE"""),"S061")</f>
        <v>S061</v>
      </c>
      <c r="D669" s="7" t="str">
        <f>IFERROR(__xludf.DUMMYFUNCTION("""COMPUTED_VALUE"""),"UI/UX Design Fundamentals &amp; Color Theory")</f>
        <v>UI/UX Design Fundamentals &amp; Color Theory</v>
      </c>
    </row>
    <row r="670">
      <c r="A670" s="7" t="str">
        <f>IFERROR(__xludf.DUMMYFUNCTION("""COMPUTED_VALUE"""),"R16")</f>
        <v>R16</v>
      </c>
      <c r="B670" s="7" t="str">
        <f>IFERROR(__xludf.DUMMYFUNCTION("""COMPUTED_VALUE"""),"UI/UX Designer")</f>
        <v>UI/UX Designer</v>
      </c>
      <c r="C670" s="7" t="str">
        <f>IFERROR(__xludf.DUMMYFUNCTION("""COMPUTED_VALUE"""),"S062")</f>
        <v>S062</v>
      </c>
      <c r="D670" s="7" t="str">
        <f>IFERROR(__xludf.DUMMYFUNCTION("""COMPUTED_VALUE"""),"Wireframing &amp; Interactive Prototyping (Figma)")</f>
        <v>Wireframing &amp; Interactive Prototyping (Figma)</v>
      </c>
    </row>
    <row r="671">
      <c r="A671" s="7" t="str">
        <f>IFERROR(__xludf.DUMMYFUNCTION("""COMPUTED_VALUE"""),"R16")</f>
        <v>R16</v>
      </c>
      <c r="B671" s="7" t="str">
        <f>IFERROR(__xludf.DUMMYFUNCTION("""COMPUTED_VALUE"""),"UI/UX Designer")</f>
        <v>UI/UX Designer</v>
      </c>
      <c r="C671" s="7" t="str">
        <f>IFERROR(__xludf.DUMMYFUNCTION("""COMPUTED_VALUE"""),"S063")</f>
        <v>S063</v>
      </c>
      <c r="D671" s="7" t="str">
        <f>IFERROR(__xludf.DUMMYFUNCTION("""COMPUTED_VALUE"""),"User Research, Personas &amp; Usability Testing")</f>
        <v>User Research, Personas &amp; Usability Testing</v>
      </c>
    </row>
    <row r="672">
      <c r="A672" s="7" t="str">
        <f>IFERROR(__xludf.DUMMYFUNCTION("""COMPUTED_VALUE"""),"R16")</f>
        <v>R16</v>
      </c>
      <c r="B672" s="7" t="str">
        <f>IFERROR(__xludf.DUMMYFUNCTION("""COMPUTED_VALUE"""),"UI/UX Designer")</f>
        <v>UI/UX Designer</v>
      </c>
      <c r="C672" s="7" t="str">
        <f>IFERROR(__xludf.DUMMYFUNCTION("""COMPUTED_VALUE"""),"S064")</f>
        <v>S064</v>
      </c>
      <c r="D672" s="7" t="str">
        <f>IFERROR(__xludf.DUMMYFUNCTION("""COMPUTED_VALUE"""),"Information Architecture &amp; User Flows")</f>
        <v>Information Architecture &amp; User Flows</v>
      </c>
    </row>
    <row r="673">
      <c r="A673" s="7" t="str">
        <f>IFERROR(__xludf.DUMMYFUNCTION("""COMPUTED_VALUE"""),"R16")</f>
        <v>R16</v>
      </c>
      <c r="B673" s="7" t="str">
        <f>IFERROR(__xludf.DUMMYFUNCTION("""COMPUTED_VALUE"""),"UI/UX Designer")</f>
        <v>UI/UX Designer</v>
      </c>
      <c r="C673" s="7" t="str">
        <f>IFERROR(__xludf.DUMMYFUNCTION("""COMPUTED_VALUE"""),"S065")</f>
        <v>S065</v>
      </c>
      <c r="D673" s="7" t="str">
        <f>IFERROR(__xludf.DUMMYFUNCTION("""COMPUTED_VALUE"""),"Design Systems &amp; Component Tokens (Storybook)")</f>
        <v>Design Systems &amp; Component Tokens (Storybook)</v>
      </c>
    </row>
    <row r="674">
      <c r="A674" s="7" t="str">
        <f>IFERROR(__xludf.DUMMYFUNCTION("""COMPUTED_VALUE"""),"R16")</f>
        <v>R16</v>
      </c>
      <c r="B674" s="7" t="str">
        <f>IFERROR(__xludf.DUMMYFUNCTION("""COMPUTED_VALUE"""),"UI/UX Designer")</f>
        <v>UI/UX Designer</v>
      </c>
      <c r="C674" s="7" t="str">
        <f>IFERROR(__xludf.DUMMYFUNCTION("""COMPUTED_VALUE"""),"S137")</f>
        <v>S137</v>
      </c>
      <c r="D674" s="7" t="str">
        <f>IFERROR(__xludf.DUMMYFUNCTION("""COMPUTED_VALUE"""),"Inferential Statistics, Hypothesis Testing &amp; A/B Testing")</f>
        <v>Inferential Statistics, Hypothesis Testing &amp; A/B Testing</v>
      </c>
    </row>
    <row r="675">
      <c r="A675" s="7" t="str">
        <f>IFERROR(__xludf.DUMMYFUNCTION("""COMPUTED_VALUE"""),"R16")</f>
        <v>R16</v>
      </c>
      <c r="B675" s="7" t="str">
        <f>IFERROR(__xludf.DUMMYFUNCTION("""COMPUTED_VALUE"""),"UI/UX Designer")</f>
        <v>UI/UX Designer</v>
      </c>
      <c r="C675" s="7" t="str">
        <f>IFERROR(__xludf.DUMMYFUNCTION("""COMPUTED_VALUE"""),"S144")</f>
        <v>S144</v>
      </c>
      <c r="D675" s="7" t="str">
        <f>IFERROR(__xludf.DUMMYFUNCTION("""COMPUTED_VALUE"""),"Business Intelligence &amp; Dashboards (Tableau)")</f>
        <v>Business Intelligence &amp; Dashboards (Tableau)</v>
      </c>
    </row>
    <row r="676">
      <c r="A676" s="7" t="str">
        <f>IFERROR(__xludf.DUMMYFUNCTION("""COMPUTED_VALUE"""),"R16")</f>
        <v>R16</v>
      </c>
      <c r="B676" s="7" t="str">
        <f>IFERROR(__xludf.DUMMYFUNCTION("""COMPUTED_VALUE"""),"UI/UX Designer")</f>
        <v>UI/UX Designer</v>
      </c>
      <c r="C676" s="7" t="str">
        <f>IFERROR(__xludf.DUMMYFUNCTION("""COMPUTED_VALUE"""),"S246")</f>
        <v>S246</v>
      </c>
      <c r="D676" s="7" t="str">
        <f>IFERROR(__xludf.DUMMYFUNCTION("""COMPUTED_VALUE"""),"Agile Methodologies, Scrum Framework &amp; Kanban")</f>
        <v>Agile Methodologies, Scrum Framework &amp; Kanban</v>
      </c>
    </row>
    <row r="677">
      <c r="A677" s="7" t="str">
        <f>IFERROR(__xludf.DUMMYFUNCTION("""COMPUTED_VALUE"""),"R16")</f>
        <v>R16</v>
      </c>
      <c r="B677" s="7" t="str">
        <f>IFERROR(__xludf.DUMMYFUNCTION("""COMPUTED_VALUE"""),"UI/UX Designer")</f>
        <v>UI/UX Designer</v>
      </c>
      <c r="C677" s="7" t="str">
        <f>IFERROR(__xludf.DUMMYFUNCTION("""COMPUTED_VALUE"""),"S247")</f>
        <v>S247</v>
      </c>
      <c r="D677" s="7" t="str">
        <f>IFERROR(__xludf.DUMMYFUNCTION("""COMPUTED_VALUE"""),"Project Tracking &amp; Documentation Tools (Jira, Confluence, Linear)")</f>
        <v>Project Tracking &amp; Documentation Tools (Jira, Confluence, Linear)</v>
      </c>
    </row>
    <row r="678">
      <c r="A678" s="7" t="str">
        <f>IFERROR(__xludf.DUMMYFUNCTION("""COMPUTED_VALUE"""),"R16")</f>
        <v>R16</v>
      </c>
      <c r="B678" s="7" t="str">
        <f>IFERROR(__xludf.DUMMYFUNCTION("""COMPUTED_VALUE"""),"UI/UX Designer")</f>
        <v>UI/UX Designer</v>
      </c>
      <c r="C678" s="7" t="str">
        <f>IFERROR(__xludf.DUMMYFUNCTION("""COMPUTED_VALUE"""),"S248")</f>
        <v>S248</v>
      </c>
      <c r="D678" s="7" t="str">
        <f>IFERROR(__xludf.DUMMYFUNCTION("""COMPUTED_VALUE"""),"Product Management, Roadmapping &amp; User Story Mapping")</f>
        <v>Product Management, Roadmapping &amp; User Story Mapping</v>
      </c>
    </row>
    <row r="679">
      <c r="A679" s="7" t="str">
        <f>IFERROR(__xludf.DUMMYFUNCTION("""COMPUTED_VALUE"""),"R16")</f>
        <v>R16</v>
      </c>
      <c r="B679" s="7" t="str">
        <f>IFERROR(__xludf.DUMMYFUNCTION("""COMPUTED_VALUE"""),"UI/UX Designer")</f>
        <v>UI/UX Designer</v>
      </c>
      <c r="C679" s="7" t="str">
        <f>IFERROR(__xludf.DUMMYFUNCTION("""COMPUTED_VALUE"""),"S249")</f>
        <v>S249</v>
      </c>
      <c r="D679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680">
      <c r="A680" s="7" t="str">
        <f>IFERROR(__xludf.DUMMYFUNCTION("""COMPUTED_VALUE"""),"R17")</f>
        <v>R17</v>
      </c>
      <c r="B680" s="7" t="str">
        <f>IFERROR(__xludf.DUMMYFUNCTION("""COMPUTED_VALUE"""),"Product Manager")</f>
        <v>Product Manager</v>
      </c>
      <c r="C680" s="7" t="str">
        <f>IFERROR(__xludf.DUMMYFUNCTION("""COMPUTED_VALUE"""),"S017")</f>
        <v>S017</v>
      </c>
      <c r="D680" s="7" t="str">
        <f>IFERROR(__xludf.DUMMYFUNCTION("""COMPUTED_VALUE"""),"Git Version Control Fundamentals")</f>
        <v>Git Version Control Fundamentals</v>
      </c>
    </row>
    <row r="681">
      <c r="A681" s="7" t="str">
        <f>IFERROR(__xludf.DUMMYFUNCTION("""COMPUTED_VALUE"""),"R17")</f>
        <v>R17</v>
      </c>
      <c r="B681" s="7" t="str">
        <f>IFERROR(__xludf.DUMMYFUNCTION("""COMPUTED_VALUE"""),"Product Manager")</f>
        <v>Product Manager</v>
      </c>
      <c r="C681" s="7" t="str">
        <f>IFERROR(__xludf.DUMMYFUNCTION("""COMPUTED_VALUE"""),"S023")</f>
        <v>S023</v>
      </c>
      <c r="D681" s="7" t="str">
        <f>IFERROR(__xludf.DUMMYFUNCTION("""COMPUTED_VALUE"""),"HTTP/HTTPS Protocols &amp; Status Codes")</f>
        <v>HTTP/HTTPS Protocols &amp; Status Codes</v>
      </c>
    </row>
    <row r="682">
      <c r="A682" s="7" t="str">
        <f>IFERROR(__xludf.DUMMYFUNCTION("""COMPUTED_VALUE"""),"R17")</f>
        <v>R17</v>
      </c>
      <c r="B682" s="7" t="str">
        <f>IFERROR(__xludf.DUMMYFUNCTION("""COMPUTED_VALUE"""),"Product Manager")</f>
        <v>Product Manager</v>
      </c>
      <c r="C682" s="7" t="str">
        <f>IFERROR(__xludf.DUMMYFUNCTION("""COMPUTED_VALUE"""),"S026")</f>
        <v>S026</v>
      </c>
      <c r="D682" s="7" t="str">
        <f>IFERROR(__xludf.DUMMYFUNCTION("""COMPUTED_VALUE"""),"Data Serialization (JSON, XML, YAML, Protobuf)")</f>
        <v>Data Serialization (JSON, XML, YAML, Protobuf)</v>
      </c>
    </row>
    <row r="683">
      <c r="A683" s="7" t="str">
        <f>IFERROR(__xludf.DUMMYFUNCTION("""COMPUTED_VALUE"""),"R17")</f>
        <v>R17</v>
      </c>
      <c r="B683" s="7" t="str">
        <f>IFERROR(__xludf.DUMMYFUNCTION("""COMPUTED_VALUE"""),"Product Manager")</f>
        <v>Product Manager</v>
      </c>
      <c r="C683" s="7" t="str">
        <f>IFERROR(__xludf.DUMMYFUNCTION("""COMPUTED_VALUE"""),"S028")</f>
        <v>S028</v>
      </c>
      <c r="D683" s="7" t="str">
        <f>IFERROR(__xludf.DUMMYFUNCTION("""COMPUTED_VALUE"""),"Technical Writing &amp; Markdown Documentation")</f>
        <v>Technical Writing &amp; Markdown Documentation</v>
      </c>
    </row>
    <row r="684">
      <c r="A684" s="7" t="str">
        <f>IFERROR(__xludf.DUMMYFUNCTION("""COMPUTED_VALUE"""),"R17")</f>
        <v>R17</v>
      </c>
      <c r="B684" s="7" t="str">
        <f>IFERROR(__xludf.DUMMYFUNCTION("""COMPUTED_VALUE"""),"Product Manager")</f>
        <v>Product Manager</v>
      </c>
      <c r="C684" s="7" t="str">
        <f>IFERROR(__xludf.DUMMYFUNCTION("""COMPUTED_VALUE"""),"S031")</f>
        <v>S031</v>
      </c>
      <c r="D684" s="7" t="str">
        <f>IFERROR(__xludf.DUMMYFUNCTION("""COMPUTED_VALUE"""),"Semantic HTML5")</f>
        <v>Semantic HTML5</v>
      </c>
    </row>
    <row r="685">
      <c r="A685" s="7" t="str">
        <f>IFERROR(__xludf.DUMMYFUNCTION("""COMPUTED_VALUE"""),"R17")</f>
        <v>R17</v>
      </c>
      <c r="B685" s="7" t="str">
        <f>IFERROR(__xludf.DUMMYFUNCTION("""COMPUTED_VALUE"""),"Product Manager")</f>
        <v>Product Manager</v>
      </c>
      <c r="C685" s="7" t="str">
        <f>IFERROR(__xludf.DUMMYFUNCTION("""COMPUTED_VALUE"""),"S061")</f>
        <v>S061</v>
      </c>
      <c r="D685" s="7" t="str">
        <f>IFERROR(__xludf.DUMMYFUNCTION("""COMPUTED_VALUE"""),"UI/UX Design Fundamentals &amp; Color Theory")</f>
        <v>UI/UX Design Fundamentals &amp; Color Theory</v>
      </c>
    </row>
    <row r="686">
      <c r="A686" s="7" t="str">
        <f>IFERROR(__xludf.DUMMYFUNCTION("""COMPUTED_VALUE"""),"R17")</f>
        <v>R17</v>
      </c>
      <c r="B686" s="7" t="str">
        <f>IFERROR(__xludf.DUMMYFUNCTION("""COMPUTED_VALUE"""),"Product Manager")</f>
        <v>Product Manager</v>
      </c>
      <c r="C686" s="7" t="str">
        <f>IFERROR(__xludf.DUMMYFUNCTION("""COMPUTED_VALUE"""),"S062")</f>
        <v>S062</v>
      </c>
      <c r="D686" s="7" t="str">
        <f>IFERROR(__xludf.DUMMYFUNCTION("""COMPUTED_VALUE"""),"Wireframing &amp; Interactive Prototyping (Figma)")</f>
        <v>Wireframing &amp; Interactive Prototyping (Figma)</v>
      </c>
    </row>
    <row r="687">
      <c r="A687" s="7" t="str">
        <f>IFERROR(__xludf.DUMMYFUNCTION("""COMPUTED_VALUE"""),"R17")</f>
        <v>R17</v>
      </c>
      <c r="B687" s="7" t="str">
        <f>IFERROR(__xludf.DUMMYFUNCTION("""COMPUTED_VALUE"""),"Product Manager")</f>
        <v>Product Manager</v>
      </c>
      <c r="C687" s="7" t="str">
        <f>IFERROR(__xludf.DUMMYFUNCTION("""COMPUTED_VALUE"""),"S063")</f>
        <v>S063</v>
      </c>
      <c r="D687" s="7" t="str">
        <f>IFERROR(__xludf.DUMMYFUNCTION("""COMPUTED_VALUE"""),"User Research, Personas &amp; Usability Testing")</f>
        <v>User Research, Personas &amp; Usability Testing</v>
      </c>
    </row>
    <row r="688">
      <c r="A688" s="7" t="str">
        <f>IFERROR(__xludf.DUMMYFUNCTION("""COMPUTED_VALUE"""),"R17")</f>
        <v>R17</v>
      </c>
      <c r="B688" s="7" t="str">
        <f>IFERROR(__xludf.DUMMYFUNCTION("""COMPUTED_VALUE"""),"Product Manager")</f>
        <v>Product Manager</v>
      </c>
      <c r="C688" s="7" t="str">
        <f>IFERROR(__xludf.DUMMYFUNCTION("""COMPUTED_VALUE"""),"S064")</f>
        <v>S064</v>
      </c>
      <c r="D688" s="7" t="str">
        <f>IFERROR(__xludf.DUMMYFUNCTION("""COMPUTED_VALUE"""),"Information Architecture &amp; User Flows")</f>
        <v>Information Architecture &amp; User Flows</v>
      </c>
    </row>
    <row r="689">
      <c r="A689" s="7" t="str">
        <f>IFERROR(__xludf.DUMMYFUNCTION("""COMPUTED_VALUE"""),"R17")</f>
        <v>R17</v>
      </c>
      <c r="B689" s="7" t="str">
        <f>IFERROR(__xludf.DUMMYFUNCTION("""COMPUTED_VALUE"""),"Product Manager")</f>
        <v>Product Manager</v>
      </c>
      <c r="C689" s="7" t="str">
        <f>IFERROR(__xludf.DUMMYFUNCTION("""COMPUTED_VALUE"""),"S086")</f>
        <v>S086</v>
      </c>
      <c r="D689" s="7" t="str">
        <f>IFERROR(__xludf.DUMMYFUNCTION("""COMPUTED_VALUE"""),"RESTful API Design &amp; OpenAPI/Swagger")</f>
        <v>RESTful API Design &amp; OpenAPI/Swagger</v>
      </c>
    </row>
    <row r="690">
      <c r="A690" s="7" t="str">
        <f>IFERROR(__xludf.DUMMYFUNCTION("""COMPUTED_VALUE"""),"R17")</f>
        <v>R17</v>
      </c>
      <c r="B690" s="7" t="str">
        <f>IFERROR(__xludf.DUMMYFUNCTION("""COMPUTED_VALUE"""),"Product Manager")</f>
        <v>Product Manager</v>
      </c>
      <c r="C690" s="7" t="str">
        <f>IFERROR(__xludf.DUMMYFUNCTION("""COMPUTED_VALUE"""),"S107")</f>
        <v>S107</v>
      </c>
      <c r="D690" s="7" t="str">
        <f>IFERROR(__xludf.DUMMYFUNCTION("""COMPUTED_VALUE"""),"SQL Querying (Joins, Aggregations, Subqueries)")</f>
        <v>SQL Querying (Joins, Aggregations, Subqueries)</v>
      </c>
    </row>
    <row r="691">
      <c r="A691" s="7" t="str">
        <f>IFERROR(__xludf.DUMMYFUNCTION("""COMPUTED_VALUE"""),"R17")</f>
        <v>R17</v>
      </c>
      <c r="B691" s="7" t="str">
        <f>IFERROR(__xludf.DUMMYFUNCTION("""COMPUTED_VALUE"""),"Product Manager")</f>
        <v>Product Manager</v>
      </c>
      <c r="C691" s="7" t="str">
        <f>IFERROR(__xludf.DUMMYFUNCTION("""COMPUTED_VALUE"""),"S136")</f>
        <v>S136</v>
      </c>
      <c r="D691" s="7" t="str">
        <f>IFERROR(__xludf.DUMMYFUNCTION("""COMPUTED_VALUE"""),"Probability Theory &amp; Descriptive Statistics")</f>
        <v>Probability Theory &amp; Descriptive Statistics</v>
      </c>
    </row>
    <row r="692">
      <c r="A692" s="7" t="str">
        <f>IFERROR(__xludf.DUMMYFUNCTION("""COMPUTED_VALUE"""),"R17")</f>
        <v>R17</v>
      </c>
      <c r="B692" s="7" t="str">
        <f>IFERROR(__xludf.DUMMYFUNCTION("""COMPUTED_VALUE"""),"Product Manager")</f>
        <v>Product Manager</v>
      </c>
      <c r="C692" s="7" t="str">
        <f>IFERROR(__xludf.DUMMYFUNCTION("""COMPUTED_VALUE"""),"S137")</f>
        <v>S137</v>
      </c>
      <c r="D692" s="7" t="str">
        <f>IFERROR(__xludf.DUMMYFUNCTION("""COMPUTED_VALUE"""),"Inferential Statistics, Hypothesis Testing &amp; A/B Testing")</f>
        <v>Inferential Statistics, Hypothesis Testing &amp; A/B Testing</v>
      </c>
    </row>
    <row r="693">
      <c r="A693" s="7" t="str">
        <f>IFERROR(__xludf.DUMMYFUNCTION("""COMPUTED_VALUE"""),"R17")</f>
        <v>R17</v>
      </c>
      <c r="B693" s="7" t="str">
        <f>IFERROR(__xludf.DUMMYFUNCTION("""COMPUTED_VALUE"""),"Product Manager")</f>
        <v>Product Manager</v>
      </c>
      <c r="C693" s="7" t="str">
        <f>IFERROR(__xludf.DUMMYFUNCTION("""COMPUTED_VALUE"""),"S141")</f>
        <v>S141</v>
      </c>
      <c r="D693" s="7" t="str">
        <f>IFERROR(__xludf.DUMMYFUNCTION("""COMPUTED_VALUE"""),"Exploratory Data Analysis (EDA) &amp; Data Wrangling")</f>
        <v>Exploratory Data Analysis (EDA) &amp; Data Wrangling</v>
      </c>
    </row>
    <row r="694">
      <c r="A694" s="7" t="str">
        <f>IFERROR(__xludf.DUMMYFUNCTION("""COMPUTED_VALUE"""),"R17")</f>
        <v>R17</v>
      </c>
      <c r="B694" s="7" t="str">
        <f>IFERROR(__xludf.DUMMYFUNCTION("""COMPUTED_VALUE"""),"Product Manager")</f>
        <v>Product Manager</v>
      </c>
      <c r="C694" s="7" t="str">
        <f>IFERROR(__xludf.DUMMYFUNCTION("""COMPUTED_VALUE"""),"S144")</f>
        <v>S144</v>
      </c>
      <c r="D694" s="7" t="str">
        <f>IFERROR(__xludf.DUMMYFUNCTION("""COMPUTED_VALUE"""),"Business Intelligence &amp; Dashboards (Tableau)")</f>
        <v>Business Intelligence &amp; Dashboards (Tableau)</v>
      </c>
    </row>
    <row r="695">
      <c r="A695" s="7" t="str">
        <f>IFERROR(__xludf.DUMMYFUNCTION("""COMPUTED_VALUE"""),"R17")</f>
        <v>R17</v>
      </c>
      <c r="B695" s="7" t="str">
        <f>IFERROR(__xludf.DUMMYFUNCTION("""COMPUTED_VALUE"""),"Product Manager")</f>
        <v>Product Manager</v>
      </c>
      <c r="C695" s="7" t="str">
        <f>IFERROR(__xludf.DUMMYFUNCTION("""COMPUTED_VALUE"""),"S145")</f>
        <v>S145</v>
      </c>
      <c r="D695" s="7" t="str">
        <f>IFERROR(__xludf.DUMMYFUNCTION("""COMPUTED_VALUE"""),"Business Intelligence &amp; DAX Modeling (Power BI)")</f>
        <v>Business Intelligence &amp; DAX Modeling (Power BI)</v>
      </c>
    </row>
    <row r="696">
      <c r="A696" s="7" t="str">
        <f>IFERROR(__xludf.DUMMYFUNCTION("""COMPUTED_VALUE"""),"R17")</f>
        <v>R17</v>
      </c>
      <c r="B696" s="7" t="str">
        <f>IFERROR(__xludf.DUMMYFUNCTION("""COMPUTED_VALUE"""),"Product Manager")</f>
        <v>Product Manager</v>
      </c>
      <c r="C696" s="7" t="str">
        <f>IFERROR(__xludf.DUMMYFUNCTION("""COMPUTED_VALUE"""),"S146")</f>
        <v>S146</v>
      </c>
      <c r="D696" s="7" t="str">
        <f>IFERROR(__xludf.DUMMYFUNCTION("""COMPUTED_VALUE"""),"Advanced Excel, Pivot Tables &amp; Financial Modeling")</f>
        <v>Advanced Excel, Pivot Tables &amp; Financial Modeling</v>
      </c>
    </row>
    <row r="697">
      <c r="A697" s="7" t="str">
        <f>IFERROR(__xludf.DUMMYFUNCTION("""COMPUTED_VALUE"""),"R17")</f>
        <v>R17</v>
      </c>
      <c r="B697" s="7" t="str">
        <f>IFERROR(__xludf.DUMMYFUNCTION("""COMPUTED_VALUE"""),"Product Manager")</f>
        <v>Product Manager</v>
      </c>
      <c r="C697" s="7" t="str">
        <f>IFERROR(__xludf.DUMMYFUNCTION("""COMPUTED_VALUE"""),"S246")</f>
        <v>S246</v>
      </c>
      <c r="D697" s="7" t="str">
        <f>IFERROR(__xludf.DUMMYFUNCTION("""COMPUTED_VALUE"""),"Agile Methodologies, Scrum Framework &amp; Kanban")</f>
        <v>Agile Methodologies, Scrum Framework &amp; Kanban</v>
      </c>
    </row>
    <row r="698">
      <c r="A698" s="7" t="str">
        <f>IFERROR(__xludf.DUMMYFUNCTION("""COMPUTED_VALUE"""),"R17")</f>
        <v>R17</v>
      </c>
      <c r="B698" s="7" t="str">
        <f>IFERROR(__xludf.DUMMYFUNCTION("""COMPUTED_VALUE"""),"Product Manager")</f>
        <v>Product Manager</v>
      </c>
      <c r="C698" s="7" t="str">
        <f>IFERROR(__xludf.DUMMYFUNCTION("""COMPUTED_VALUE"""),"S247")</f>
        <v>S247</v>
      </c>
      <c r="D698" s="7" t="str">
        <f>IFERROR(__xludf.DUMMYFUNCTION("""COMPUTED_VALUE"""),"Project Tracking &amp; Documentation Tools (Jira, Confluence, Linear)")</f>
        <v>Project Tracking &amp; Documentation Tools (Jira, Confluence, Linear)</v>
      </c>
    </row>
    <row r="699">
      <c r="A699" s="7" t="str">
        <f>IFERROR(__xludf.DUMMYFUNCTION("""COMPUTED_VALUE"""),"R17")</f>
        <v>R17</v>
      </c>
      <c r="B699" s="7" t="str">
        <f>IFERROR(__xludf.DUMMYFUNCTION("""COMPUTED_VALUE"""),"Product Manager")</f>
        <v>Product Manager</v>
      </c>
      <c r="C699" s="7" t="str">
        <f>IFERROR(__xludf.DUMMYFUNCTION("""COMPUTED_VALUE"""),"S248")</f>
        <v>S248</v>
      </c>
      <c r="D699" s="7" t="str">
        <f>IFERROR(__xludf.DUMMYFUNCTION("""COMPUTED_VALUE"""),"Product Management, Roadmapping &amp; User Story Mapping")</f>
        <v>Product Management, Roadmapping &amp; User Story Mapping</v>
      </c>
    </row>
    <row r="700">
      <c r="A700" s="7" t="str">
        <f>IFERROR(__xludf.DUMMYFUNCTION("""COMPUTED_VALUE"""),"R17")</f>
        <v>R17</v>
      </c>
      <c r="B700" s="7" t="str">
        <f>IFERROR(__xludf.DUMMYFUNCTION("""COMPUTED_VALUE"""),"Product Manager")</f>
        <v>Product Manager</v>
      </c>
      <c r="C700" s="7" t="str">
        <f>IFERROR(__xludf.DUMMYFUNCTION("""COMPUTED_VALUE"""),"S249")</f>
        <v>S249</v>
      </c>
      <c r="D700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701">
      <c r="A701" s="7" t="str">
        <f>IFERROR(__xludf.DUMMYFUNCTION("""COMPUTED_VALUE"""),"R17")</f>
        <v>R17</v>
      </c>
      <c r="B701" s="7" t="str">
        <f>IFERROR(__xludf.DUMMYFUNCTION("""COMPUTED_VALUE"""),"Product Manager")</f>
        <v>Product Manager</v>
      </c>
      <c r="C701" s="7" t="str">
        <f>IFERROR(__xludf.DUMMYFUNCTION("""COMPUTED_VALUE"""),"S250")</f>
        <v>S250</v>
      </c>
      <c r="D701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702">
      <c r="A702" s="7" t="str">
        <f>IFERROR(__xludf.DUMMYFUNCTION("""COMPUTED_VALUE"""),"R18")</f>
        <v>R18</v>
      </c>
      <c r="B702" s="7" t="str">
        <f>IFERROR(__xludf.DUMMYFUNCTION("""COMPUTED_VALUE"""),"Scrum Master")</f>
        <v>Scrum Master</v>
      </c>
      <c r="C702" s="7" t="str">
        <f>IFERROR(__xludf.DUMMYFUNCTION("""COMPUTED_VALUE"""),"S017")</f>
        <v>S017</v>
      </c>
      <c r="D702" s="7" t="str">
        <f>IFERROR(__xludf.DUMMYFUNCTION("""COMPUTED_VALUE"""),"Git Version Control Fundamentals")</f>
        <v>Git Version Control Fundamentals</v>
      </c>
    </row>
    <row r="703">
      <c r="A703" s="7" t="str">
        <f>IFERROR(__xludf.DUMMYFUNCTION("""COMPUTED_VALUE"""),"R18")</f>
        <v>R18</v>
      </c>
      <c r="B703" s="7" t="str">
        <f>IFERROR(__xludf.DUMMYFUNCTION("""COMPUTED_VALUE"""),"Scrum Master")</f>
        <v>Scrum Master</v>
      </c>
      <c r="C703" s="7" t="str">
        <f>IFERROR(__xludf.DUMMYFUNCTION("""COMPUTED_VALUE"""),"S018")</f>
        <v>S018</v>
      </c>
      <c r="D703" s="7" t="str">
        <f>IFERROR(__xludf.DUMMYFUNCTION("""COMPUTED_VALUE"""),"GitHub / GitLab Workflows &amp; Pull Requests")</f>
        <v>GitHub / GitLab Workflows &amp; Pull Requests</v>
      </c>
    </row>
    <row r="704">
      <c r="A704" s="7" t="str">
        <f>IFERROR(__xludf.DUMMYFUNCTION("""COMPUTED_VALUE"""),"R18")</f>
        <v>R18</v>
      </c>
      <c r="B704" s="7" t="str">
        <f>IFERROR(__xludf.DUMMYFUNCTION("""COMPUTED_VALUE"""),"Scrum Master")</f>
        <v>Scrum Master</v>
      </c>
      <c r="C704" s="7" t="str">
        <f>IFERROR(__xludf.DUMMYFUNCTION("""COMPUTED_VALUE"""),"S028")</f>
        <v>S028</v>
      </c>
      <c r="D704" s="7" t="str">
        <f>IFERROR(__xludf.DUMMYFUNCTION("""COMPUTED_VALUE"""),"Technical Writing &amp; Markdown Documentation")</f>
        <v>Technical Writing &amp; Markdown Documentation</v>
      </c>
    </row>
    <row r="705">
      <c r="A705" s="7" t="str">
        <f>IFERROR(__xludf.DUMMYFUNCTION("""COMPUTED_VALUE"""),"R18")</f>
        <v>R18</v>
      </c>
      <c r="B705" s="7" t="str">
        <f>IFERROR(__xludf.DUMMYFUNCTION("""COMPUTED_VALUE"""),"Scrum Master")</f>
        <v>Scrum Master</v>
      </c>
      <c r="C705" s="7" t="str">
        <f>IFERROR(__xludf.DUMMYFUNCTION("""COMPUTED_VALUE"""),"S063")</f>
        <v>S063</v>
      </c>
      <c r="D705" s="7" t="str">
        <f>IFERROR(__xludf.DUMMYFUNCTION("""COMPUTED_VALUE"""),"User Research, Personas &amp; Usability Testing")</f>
        <v>User Research, Personas &amp; Usability Testing</v>
      </c>
    </row>
    <row r="706">
      <c r="A706" s="7" t="str">
        <f>IFERROR(__xludf.DUMMYFUNCTION("""COMPUTED_VALUE"""),"R18")</f>
        <v>R18</v>
      </c>
      <c r="B706" s="7" t="str">
        <f>IFERROR(__xludf.DUMMYFUNCTION("""COMPUTED_VALUE"""),"Scrum Master")</f>
        <v>Scrum Master</v>
      </c>
      <c r="C706" s="7" t="str">
        <f>IFERROR(__xludf.DUMMYFUNCTION("""COMPUTED_VALUE"""),"S144")</f>
        <v>S144</v>
      </c>
      <c r="D706" s="7" t="str">
        <f>IFERROR(__xludf.DUMMYFUNCTION("""COMPUTED_VALUE"""),"Business Intelligence &amp; Dashboards (Tableau)")</f>
        <v>Business Intelligence &amp; Dashboards (Tableau)</v>
      </c>
    </row>
    <row r="707">
      <c r="A707" s="7" t="str">
        <f>IFERROR(__xludf.DUMMYFUNCTION("""COMPUTED_VALUE"""),"R18")</f>
        <v>R18</v>
      </c>
      <c r="B707" s="7" t="str">
        <f>IFERROR(__xludf.DUMMYFUNCTION("""COMPUTED_VALUE"""),"Scrum Master")</f>
        <v>Scrum Master</v>
      </c>
      <c r="C707" s="7" t="str">
        <f>IFERROR(__xludf.DUMMYFUNCTION("""COMPUTED_VALUE"""),"S146")</f>
        <v>S146</v>
      </c>
      <c r="D707" s="7" t="str">
        <f>IFERROR(__xludf.DUMMYFUNCTION("""COMPUTED_VALUE"""),"Advanced Excel, Pivot Tables &amp; Financial Modeling")</f>
        <v>Advanced Excel, Pivot Tables &amp; Financial Modeling</v>
      </c>
    </row>
    <row r="708">
      <c r="A708" s="7" t="str">
        <f>IFERROR(__xludf.DUMMYFUNCTION("""COMPUTED_VALUE"""),"R18")</f>
        <v>R18</v>
      </c>
      <c r="B708" s="7" t="str">
        <f>IFERROR(__xludf.DUMMYFUNCTION("""COMPUTED_VALUE"""),"Scrum Master")</f>
        <v>Scrum Master</v>
      </c>
      <c r="C708" s="7" t="str">
        <f>IFERROR(__xludf.DUMMYFUNCTION("""COMPUTED_VALUE"""),"S180")</f>
        <v>S180</v>
      </c>
      <c r="D708" s="7" t="str">
        <f>IFERROR(__xludf.DUMMYFUNCTION("""COMPUTED_VALUE"""),"CI/CD Pipelines with GitHub Actions")</f>
        <v>CI/CD Pipelines with GitHub Actions</v>
      </c>
    </row>
    <row r="709">
      <c r="A709" s="7" t="str">
        <f>IFERROR(__xludf.DUMMYFUNCTION("""COMPUTED_VALUE"""),"R18")</f>
        <v>R18</v>
      </c>
      <c r="B709" s="7" t="str">
        <f>IFERROR(__xludf.DUMMYFUNCTION("""COMPUTED_VALUE"""),"Scrum Master")</f>
        <v>Scrum Master</v>
      </c>
      <c r="C709" s="7" t="str">
        <f>IFERROR(__xludf.DUMMYFUNCTION("""COMPUTED_VALUE"""),"S242")</f>
        <v>S242</v>
      </c>
      <c r="D709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710">
      <c r="A710" s="7" t="str">
        <f>IFERROR(__xludf.DUMMYFUNCTION("""COMPUTED_VALUE"""),"R18")</f>
        <v>R18</v>
      </c>
      <c r="B710" s="7" t="str">
        <f>IFERROR(__xludf.DUMMYFUNCTION("""COMPUTED_VALUE"""),"Scrum Master")</f>
        <v>Scrum Master</v>
      </c>
      <c r="C710" s="7" t="str">
        <f>IFERROR(__xludf.DUMMYFUNCTION("""COMPUTED_VALUE"""),"S246")</f>
        <v>S246</v>
      </c>
      <c r="D710" s="7" t="str">
        <f>IFERROR(__xludf.DUMMYFUNCTION("""COMPUTED_VALUE"""),"Agile Methodologies, Scrum Framework &amp; Kanban")</f>
        <v>Agile Methodologies, Scrum Framework &amp; Kanban</v>
      </c>
    </row>
    <row r="711">
      <c r="A711" s="7" t="str">
        <f>IFERROR(__xludf.DUMMYFUNCTION("""COMPUTED_VALUE"""),"R18")</f>
        <v>R18</v>
      </c>
      <c r="B711" s="7" t="str">
        <f>IFERROR(__xludf.DUMMYFUNCTION("""COMPUTED_VALUE"""),"Scrum Master")</f>
        <v>Scrum Master</v>
      </c>
      <c r="C711" s="7" t="str">
        <f>IFERROR(__xludf.DUMMYFUNCTION("""COMPUTED_VALUE"""),"S247")</f>
        <v>S247</v>
      </c>
      <c r="D711" s="7" t="str">
        <f>IFERROR(__xludf.DUMMYFUNCTION("""COMPUTED_VALUE"""),"Project Tracking &amp; Documentation Tools (Jira, Confluence, Linear)")</f>
        <v>Project Tracking &amp; Documentation Tools (Jira, Confluence, Linear)</v>
      </c>
    </row>
    <row r="712">
      <c r="A712" s="7" t="str">
        <f>IFERROR(__xludf.DUMMYFUNCTION("""COMPUTED_VALUE"""),"R18")</f>
        <v>R18</v>
      </c>
      <c r="B712" s="7" t="str">
        <f>IFERROR(__xludf.DUMMYFUNCTION("""COMPUTED_VALUE"""),"Scrum Master")</f>
        <v>Scrum Master</v>
      </c>
      <c r="C712" s="7" t="str">
        <f>IFERROR(__xludf.DUMMYFUNCTION("""COMPUTED_VALUE"""),"S248")</f>
        <v>S248</v>
      </c>
      <c r="D712" s="7" t="str">
        <f>IFERROR(__xludf.DUMMYFUNCTION("""COMPUTED_VALUE"""),"Product Management, Roadmapping &amp; User Story Mapping")</f>
        <v>Product Management, Roadmapping &amp; User Story Mapping</v>
      </c>
    </row>
    <row r="713">
      <c r="A713" s="7" t="str">
        <f>IFERROR(__xludf.DUMMYFUNCTION("""COMPUTED_VALUE"""),"R18")</f>
        <v>R18</v>
      </c>
      <c r="B713" s="7" t="str">
        <f>IFERROR(__xludf.DUMMYFUNCTION("""COMPUTED_VALUE"""),"Scrum Master")</f>
        <v>Scrum Master</v>
      </c>
      <c r="C713" s="7" t="str">
        <f>IFERROR(__xludf.DUMMYFUNCTION("""COMPUTED_VALUE"""),"S249")</f>
        <v>S249</v>
      </c>
      <c r="D713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714">
      <c r="A714" s="7" t="str">
        <f>IFERROR(__xludf.DUMMYFUNCTION("""COMPUTED_VALUE"""),"R18")</f>
        <v>R18</v>
      </c>
      <c r="B714" s="7" t="str">
        <f>IFERROR(__xludf.DUMMYFUNCTION("""COMPUTED_VALUE"""),"Scrum Master")</f>
        <v>Scrum Master</v>
      </c>
      <c r="C714" s="7" t="str">
        <f>IFERROR(__xludf.DUMMYFUNCTION("""COMPUTED_VALUE"""),"S250")</f>
        <v>S250</v>
      </c>
      <c r="D714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715">
      <c r="A715" s="7" t="str">
        <f>IFERROR(__xludf.DUMMYFUNCTION("""COMPUTED_VALUE"""),"R19")</f>
        <v>R19</v>
      </c>
      <c r="B715" s="7" t="str">
        <f>IFERROR(__xludf.DUMMYFUNCTION("""COMPUTED_VALUE"""),"Quality Assurance (QA) Tester")</f>
        <v>Quality Assurance (QA) Tester</v>
      </c>
      <c r="C715" s="7" t="str">
        <f>IFERROR(__xludf.DUMMYFUNCTION("""COMPUTED_VALUE"""),"S006")</f>
        <v>S006</v>
      </c>
      <c r="D715" s="7" t="str">
        <f>IFERROR(__xludf.DUMMYFUNCTION("""COMPUTED_VALUE"""),"Basic Data Structures (Arrays, Lists, Stacks, Queues)")</f>
        <v>Basic Data Structures (Arrays, Lists, Stacks, Queues)</v>
      </c>
    </row>
    <row r="716">
      <c r="A716" s="7" t="str">
        <f>IFERROR(__xludf.DUMMYFUNCTION("""COMPUTED_VALUE"""),"R19")</f>
        <v>R19</v>
      </c>
      <c r="B716" s="7" t="str">
        <f>IFERROR(__xludf.DUMMYFUNCTION("""COMPUTED_VALUE"""),"Quality Assurance (QA) Tester")</f>
        <v>Quality Assurance (QA) Tester</v>
      </c>
      <c r="C716" s="7" t="str">
        <f>IFERROR(__xludf.DUMMYFUNCTION("""COMPUTED_VALUE"""),"S013")</f>
        <v>S013</v>
      </c>
      <c r="D716" s="7" t="str">
        <f>IFERROR(__xludf.DUMMYFUNCTION("""COMPUTED_VALUE"""),"Object-Oriented Programming (OOP)")</f>
        <v>Object-Oriented Programming (OOP)</v>
      </c>
    </row>
    <row r="717">
      <c r="A717" s="7" t="str">
        <f>IFERROR(__xludf.DUMMYFUNCTION("""COMPUTED_VALUE"""),"R19")</f>
        <v>R19</v>
      </c>
      <c r="B717" s="7" t="str">
        <f>IFERROR(__xludf.DUMMYFUNCTION("""COMPUTED_VALUE"""),"Quality Assurance (QA) Tester")</f>
        <v>Quality Assurance (QA) Tester</v>
      </c>
      <c r="C717" s="7" t="str">
        <f>IFERROR(__xludf.DUMMYFUNCTION("""COMPUTED_VALUE"""),"S017")</f>
        <v>S017</v>
      </c>
      <c r="D717" s="7" t="str">
        <f>IFERROR(__xludf.DUMMYFUNCTION("""COMPUTED_VALUE"""),"Git Version Control Fundamentals")</f>
        <v>Git Version Control Fundamentals</v>
      </c>
    </row>
    <row r="718">
      <c r="A718" s="7" t="str">
        <f>IFERROR(__xludf.DUMMYFUNCTION("""COMPUTED_VALUE"""),"R19")</f>
        <v>R19</v>
      </c>
      <c r="B718" s="7" t="str">
        <f>IFERROR(__xludf.DUMMYFUNCTION("""COMPUTED_VALUE"""),"Quality Assurance (QA) Tester")</f>
        <v>Quality Assurance (QA) Tester</v>
      </c>
      <c r="C718" s="7" t="str">
        <f>IFERROR(__xludf.DUMMYFUNCTION("""COMPUTED_VALUE"""),"S018")</f>
        <v>S018</v>
      </c>
      <c r="D718" s="7" t="str">
        <f>IFERROR(__xludf.DUMMYFUNCTION("""COMPUTED_VALUE"""),"GitHub / GitLab Workflows &amp; Pull Requests")</f>
        <v>GitHub / GitLab Workflows &amp; Pull Requests</v>
      </c>
    </row>
    <row r="719">
      <c r="A719" s="7" t="str">
        <f>IFERROR(__xludf.DUMMYFUNCTION("""COMPUTED_VALUE"""),"R19")</f>
        <v>R19</v>
      </c>
      <c r="B719" s="7" t="str">
        <f>IFERROR(__xludf.DUMMYFUNCTION("""COMPUTED_VALUE"""),"Quality Assurance (QA) Tester")</f>
        <v>Quality Assurance (QA) Tester</v>
      </c>
      <c r="C719" s="7" t="str">
        <f>IFERROR(__xludf.DUMMYFUNCTION("""COMPUTED_VALUE"""),"S019")</f>
        <v>S019</v>
      </c>
      <c r="D719" s="7" t="str">
        <f>IFERROR(__xludf.DUMMYFUNCTION("""COMPUTED_VALUE"""),"Linux Command Line &amp; File Permissions")</f>
        <v>Linux Command Line &amp; File Permissions</v>
      </c>
    </row>
    <row r="720">
      <c r="A720" s="7" t="str">
        <f>IFERROR(__xludf.DUMMYFUNCTION("""COMPUTED_VALUE"""),"R19")</f>
        <v>R19</v>
      </c>
      <c r="B720" s="7" t="str">
        <f>IFERROR(__xludf.DUMMYFUNCTION("""COMPUTED_VALUE"""),"Quality Assurance (QA) Tester")</f>
        <v>Quality Assurance (QA) Tester</v>
      </c>
      <c r="C720" s="7" t="str">
        <f>IFERROR(__xludf.DUMMYFUNCTION("""COMPUTED_VALUE"""),"S023")</f>
        <v>S023</v>
      </c>
      <c r="D720" s="7" t="str">
        <f>IFERROR(__xludf.DUMMYFUNCTION("""COMPUTED_VALUE"""),"HTTP/HTTPS Protocols &amp; Status Codes")</f>
        <v>HTTP/HTTPS Protocols &amp; Status Codes</v>
      </c>
    </row>
    <row r="721">
      <c r="A721" s="7" t="str">
        <f>IFERROR(__xludf.DUMMYFUNCTION("""COMPUTED_VALUE"""),"R19")</f>
        <v>R19</v>
      </c>
      <c r="B721" s="7" t="str">
        <f>IFERROR(__xludf.DUMMYFUNCTION("""COMPUTED_VALUE"""),"Quality Assurance (QA) Tester")</f>
        <v>Quality Assurance (QA) Tester</v>
      </c>
      <c r="C721" s="7" t="str">
        <f>IFERROR(__xludf.DUMMYFUNCTION("""COMPUTED_VALUE"""),"S025")</f>
        <v>S025</v>
      </c>
      <c r="D721" s="7" t="str">
        <f>IFERROR(__xludf.DUMMYFUNCTION("""COMPUTED_VALUE"""),"Regular Expressions (Regex)")</f>
        <v>Regular Expressions (Regex)</v>
      </c>
    </row>
    <row r="722">
      <c r="A722" s="7" t="str">
        <f>IFERROR(__xludf.DUMMYFUNCTION("""COMPUTED_VALUE"""),"R19")</f>
        <v>R19</v>
      </c>
      <c r="B722" s="7" t="str">
        <f>IFERROR(__xludf.DUMMYFUNCTION("""COMPUTED_VALUE"""),"Quality Assurance (QA) Tester")</f>
        <v>Quality Assurance (QA) Tester</v>
      </c>
      <c r="C722" s="7" t="str">
        <f>IFERROR(__xludf.DUMMYFUNCTION("""COMPUTED_VALUE"""),"S026")</f>
        <v>S026</v>
      </c>
      <c r="D722" s="7" t="str">
        <f>IFERROR(__xludf.DUMMYFUNCTION("""COMPUTED_VALUE"""),"Data Serialization (JSON, XML, YAML, Protobuf)")</f>
        <v>Data Serialization (JSON, XML, YAML, Protobuf)</v>
      </c>
    </row>
    <row r="723">
      <c r="A723" s="7" t="str">
        <f>IFERROR(__xludf.DUMMYFUNCTION("""COMPUTED_VALUE"""),"R19")</f>
        <v>R19</v>
      </c>
      <c r="B723" s="7" t="str">
        <f>IFERROR(__xludf.DUMMYFUNCTION("""COMPUTED_VALUE"""),"Quality Assurance (QA) Tester")</f>
        <v>Quality Assurance (QA) Tester</v>
      </c>
      <c r="C723" s="7" t="str">
        <f>IFERROR(__xludf.DUMMYFUNCTION("""COMPUTED_VALUE"""),"S028")</f>
        <v>S028</v>
      </c>
      <c r="D723" s="7" t="str">
        <f>IFERROR(__xludf.DUMMYFUNCTION("""COMPUTED_VALUE"""),"Technical Writing &amp; Markdown Documentation")</f>
        <v>Technical Writing &amp; Markdown Documentation</v>
      </c>
    </row>
    <row r="724">
      <c r="A724" s="7" t="str">
        <f>IFERROR(__xludf.DUMMYFUNCTION("""COMPUTED_VALUE"""),"R19")</f>
        <v>R19</v>
      </c>
      <c r="B724" s="7" t="str">
        <f>IFERROR(__xludf.DUMMYFUNCTION("""COMPUTED_VALUE"""),"Quality Assurance (QA) Tester")</f>
        <v>Quality Assurance (QA) Tester</v>
      </c>
      <c r="C724" s="7" t="str">
        <f>IFERROR(__xludf.DUMMYFUNCTION("""COMPUTED_VALUE"""),"S029")</f>
        <v>S029</v>
      </c>
      <c r="D724" s="7" t="str">
        <f>IFERROR(__xludf.DUMMYFUNCTION("""COMPUTED_VALUE"""),"Debugging, Profiling &amp; Root Cause Analysis")</f>
        <v>Debugging, Profiling &amp; Root Cause Analysis</v>
      </c>
    </row>
    <row r="725">
      <c r="A725" s="7" t="str">
        <f>IFERROR(__xludf.DUMMYFUNCTION("""COMPUTED_VALUE"""),"R19")</f>
        <v>R19</v>
      </c>
      <c r="B725" s="7" t="str">
        <f>IFERROR(__xludf.DUMMYFUNCTION("""COMPUTED_VALUE"""),"Quality Assurance (QA) Tester")</f>
        <v>Quality Assurance (QA) Tester</v>
      </c>
      <c r="C725" s="7" t="str">
        <f>IFERROR(__xludf.DUMMYFUNCTION("""COMPUTED_VALUE"""),"S031")</f>
        <v>S031</v>
      </c>
      <c r="D725" s="7" t="str">
        <f>IFERROR(__xludf.DUMMYFUNCTION("""COMPUTED_VALUE"""),"Semantic HTML5")</f>
        <v>Semantic HTML5</v>
      </c>
    </row>
    <row r="726">
      <c r="A726" s="7" t="str">
        <f>IFERROR(__xludf.DUMMYFUNCTION("""COMPUTED_VALUE"""),"R19")</f>
        <v>R19</v>
      </c>
      <c r="B726" s="7" t="str">
        <f>IFERROR(__xludf.DUMMYFUNCTION("""COMPUTED_VALUE"""),"Quality Assurance (QA) Tester")</f>
        <v>Quality Assurance (QA) Tester</v>
      </c>
      <c r="C726" s="7" t="str">
        <f>IFERROR(__xludf.DUMMYFUNCTION("""COMPUTED_VALUE"""),"S032")</f>
        <v>S032</v>
      </c>
      <c r="D726" s="7" t="str">
        <f>IFERROR(__xludf.DUMMYFUNCTION("""COMPUTED_VALUE"""),"CSS3 Fundamentals &amp; Box Model")</f>
        <v>CSS3 Fundamentals &amp; Box Model</v>
      </c>
    </row>
    <row r="727">
      <c r="A727" s="7" t="str">
        <f>IFERROR(__xludf.DUMMYFUNCTION("""COMPUTED_VALUE"""),"R19")</f>
        <v>R19</v>
      </c>
      <c r="B727" s="7" t="str">
        <f>IFERROR(__xludf.DUMMYFUNCTION("""COMPUTED_VALUE"""),"Quality Assurance (QA) Tester")</f>
        <v>Quality Assurance (QA) Tester</v>
      </c>
      <c r="C727" s="7" t="str">
        <f>IFERROR(__xludf.DUMMYFUNCTION("""COMPUTED_VALUE"""),"S034")</f>
        <v>S034</v>
      </c>
      <c r="D727" s="7" t="str">
        <f>IFERROR(__xludf.DUMMYFUNCTION("""COMPUTED_VALUE"""),"JavaScript Fundamentals (ES6+)")</f>
        <v>JavaScript Fundamentals (ES6+)</v>
      </c>
    </row>
    <row r="728">
      <c r="A728" s="7" t="str">
        <f>IFERROR(__xludf.DUMMYFUNCTION("""COMPUTED_VALUE"""),"R19")</f>
        <v>R19</v>
      </c>
      <c r="B728" s="7" t="str">
        <f>IFERROR(__xludf.DUMMYFUNCTION("""COMPUTED_VALUE"""),"Quality Assurance (QA) Tester")</f>
        <v>Quality Assurance (QA) Tester</v>
      </c>
      <c r="C728" s="7" t="str">
        <f>IFERROR(__xludf.DUMMYFUNCTION("""COMPUTED_VALUE"""),"S036")</f>
        <v>S036</v>
      </c>
      <c r="D728" s="7" t="str">
        <f>IFERROR(__xludf.DUMMYFUNCTION("""COMPUTED_VALUE"""),"DOM Manipulation &amp; Browser Events")</f>
        <v>DOM Manipulation &amp; Browser Events</v>
      </c>
    </row>
    <row r="729">
      <c r="A729" s="7" t="str">
        <f>IFERROR(__xludf.DUMMYFUNCTION("""COMPUTED_VALUE"""),"R19")</f>
        <v>R19</v>
      </c>
      <c r="B729" s="7" t="str">
        <f>IFERROR(__xludf.DUMMYFUNCTION("""COMPUTED_VALUE"""),"Quality Assurance (QA) Tester")</f>
        <v>Quality Assurance (QA) Tester</v>
      </c>
      <c r="C729" s="7" t="str">
        <f>IFERROR(__xludf.DUMMYFUNCTION("""COMPUTED_VALUE"""),"S059")</f>
        <v>S059</v>
      </c>
      <c r="D729" s="7" t="str">
        <f>IFERROR(__xludf.DUMMYFUNCTION("""COMPUTED_VALUE"""),"Frontend Unit &amp; Component Testing (Jest, Vitest, RTL)")</f>
        <v>Frontend Unit &amp; Component Testing (Jest, Vitest, RTL)</v>
      </c>
    </row>
    <row r="730">
      <c r="A730" s="7" t="str">
        <f>IFERROR(__xludf.DUMMYFUNCTION("""COMPUTED_VALUE"""),"R19")</f>
        <v>R19</v>
      </c>
      <c r="B730" s="7" t="str">
        <f>IFERROR(__xludf.DUMMYFUNCTION("""COMPUTED_VALUE"""),"Quality Assurance (QA) Tester")</f>
        <v>Quality Assurance (QA) Tester</v>
      </c>
      <c r="C730" s="7" t="str">
        <f>IFERROR(__xludf.DUMMYFUNCTION("""COMPUTED_VALUE"""),"S060")</f>
        <v>S060</v>
      </c>
      <c r="D730" s="7" t="str">
        <f>IFERROR(__xludf.DUMMYFUNCTION("""COMPUTED_VALUE"""),"End-to-End Browser Testing (Cypress, Playwright)")</f>
        <v>End-to-End Browser Testing (Cypress, Playwright)</v>
      </c>
    </row>
    <row r="731">
      <c r="A731" s="7" t="str">
        <f>IFERROR(__xludf.DUMMYFUNCTION("""COMPUTED_VALUE"""),"R19")</f>
        <v>R19</v>
      </c>
      <c r="B731" s="7" t="str">
        <f>IFERROR(__xludf.DUMMYFUNCTION("""COMPUTED_VALUE"""),"Quality Assurance (QA) Tester")</f>
        <v>Quality Assurance (QA) Tester</v>
      </c>
      <c r="C731" s="7" t="str">
        <f>IFERROR(__xludf.DUMMYFUNCTION("""COMPUTED_VALUE"""),"S068")</f>
        <v>S068</v>
      </c>
      <c r="D731" s="7" t="str">
        <f>IFERROR(__xludf.DUMMYFUNCTION("""COMPUTED_VALUE"""),"Python Programming Fundamentals")</f>
        <v>Python Programming Fundamentals</v>
      </c>
    </row>
    <row r="732">
      <c r="A732" s="7" t="str">
        <f>IFERROR(__xludf.DUMMYFUNCTION("""COMPUTED_VALUE"""),"R19")</f>
        <v>R19</v>
      </c>
      <c r="B732" s="7" t="str">
        <f>IFERROR(__xludf.DUMMYFUNCTION("""COMPUTED_VALUE"""),"Quality Assurance (QA) Tester")</f>
        <v>Quality Assurance (QA) Tester</v>
      </c>
      <c r="C732" s="7" t="str">
        <f>IFERROR(__xludf.DUMMYFUNCTION("""COMPUTED_VALUE"""),"S086")</f>
        <v>S086</v>
      </c>
      <c r="D732" s="7" t="str">
        <f>IFERROR(__xludf.DUMMYFUNCTION("""COMPUTED_VALUE"""),"RESTful API Design &amp; OpenAPI/Swagger")</f>
        <v>RESTful API Design &amp; OpenAPI/Swagger</v>
      </c>
    </row>
    <row r="733">
      <c r="A733" s="7" t="str">
        <f>IFERROR(__xludf.DUMMYFUNCTION("""COMPUTED_VALUE"""),"R19")</f>
        <v>R19</v>
      </c>
      <c r="B733" s="7" t="str">
        <f>IFERROR(__xludf.DUMMYFUNCTION("""COMPUTED_VALUE"""),"Quality Assurance (QA) Tester")</f>
        <v>Quality Assurance (QA) Tester</v>
      </c>
      <c r="C733" s="7" t="str">
        <f>IFERROR(__xludf.DUMMYFUNCTION("""COMPUTED_VALUE"""),"S102")</f>
        <v>S102</v>
      </c>
      <c r="D733" s="7" t="str">
        <f>IFERROR(__xludf.DUMMYFUNCTION("""COMPUTED_VALUE"""),"Backend Unit &amp; Integration Testing (JUnit, PyTest, Mocha)")</f>
        <v>Backend Unit &amp; Integration Testing (JUnit, PyTest, Mocha)</v>
      </c>
    </row>
    <row r="734">
      <c r="A734" s="7" t="str">
        <f>IFERROR(__xludf.DUMMYFUNCTION("""COMPUTED_VALUE"""),"R19")</f>
        <v>R19</v>
      </c>
      <c r="B734" s="7" t="str">
        <f>IFERROR(__xludf.DUMMYFUNCTION("""COMPUTED_VALUE"""),"Quality Assurance (QA) Tester")</f>
        <v>Quality Assurance (QA) Tester</v>
      </c>
      <c r="C734" s="7" t="str">
        <f>IFERROR(__xludf.DUMMYFUNCTION("""COMPUTED_VALUE"""),"S103")</f>
        <v>S103</v>
      </c>
      <c r="D734" s="7" t="str">
        <f>IFERROR(__xludf.DUMMYFUNCTION("""COMPUTED_VALUE"""),"API Testing &amp; Contract Testing (Postman, Pact, Insomnia)")</f>
        <v>API Testing &amp; Contract Testing (Postman, Pact, Insomnia)</v>
      </c>
    </row>
    <row r="735">
      <c r="A735" s="7" t="str">
        <f>IFERROR(__xludf.DUMMYFUNCTION("""COMPUTED_VALUE"""),"R19")</f>
        <v>R19</v>
      </c>
      <c r="B735" s="7" t="str">
        <f>IFERROR(__xludf.DUMMYFUNCTION("""COMPUTED_VALUE"""),"Quality Assurance (QA) Tester")</f>
        <v>Quality Assurance (QA) Tester</v>
      </c>
      <c r="C735" s="7" t="str">
        <f>IFERROR(__xludf.DUMMYFUNCTION("""COMPUTED_VALUE"""),"S104")</f>
        <v>S104</v>
      </c>
      <c r="D735" s="7" t="str">
        <f>IFERROR(__xludf.DUMMYFUNCTION("""COMPUTED_VALUE"""),"Load &amp; Performance Testing (JMeter, k6, Locust)")</f>
        <v>Load &amp; Performance Testing (JMeter, k6, Locust)</v>
      </c>
    </row>
    <row r="736">
      <c r="A736" s="7" t="str">
        <f>IFERROR(__xludf.DUMMYFUNCTION("""COMPUTED_VALUE"""),"R19")</f>
        <v>R19</v>
      </c>
      <c r="B736" s="7" t="str">
        <f>IFERROR(__xludf.DUMMYFUNCTION("""COMPUTED_VALUE"""),"Quality Assurance (QA) Tester")</f>
        <v>Quality Assurance (QA) Tester</v>
      </c>
      <c r="C736" s="7" t="str">
        <f>IFERROR(__xludf.DUMMYFUNCTION("""COMPUTED_VALUE"""),"S107")</f>
        <v>S107</v>
      </c>
      <c r="D736" s="7" t="str">
        <f>IFERROR(__xludf.DUMMYFUNCTION("""COMPUTED_VALUE"""),"SQL Querying (Joins, Aggregations, Subqueries)")</f>
        <v>SQL Querying (Joins, Aggregations, Subqueries)</v>
      </c>
    </row>
    <row r="737">
      <c r="A737" s="7" t="str">
        <f>IFERROR(__xludf.DUMMYFUNCTION("""COMPUTED_VALUE"""),"R19")</f>
        <v>R19</v>
      </c>
      <c r="B737" s="7" t="str">
        <f>IFERROR(__xludf.DUMMYFUNCTION("""COMPUTED_VALUE"""),"Quality Assurance (QA) Tester")</f>
        <v>Quality Assurance (QA) Tester</v>
      </c>
      <c r="C737" s="7" t="str">
        <f>IFERROR(__xludf.DUMMYFUNCTION("""COMPUTED_VALUE"""),"S180")</f>
        <v>S180</v>
      </c>
      <c r="D737" s="7" t="str">
        <f>IFERROR(__xludf.DUMMYFUNCTION("""COMPUTED_VALUE"""),"CI/CD Pipelines with GitHub Actions")</f>
        <v>CI/CD Pipelines with GitHub Actions</v>
      </c>
    </row>
    <row r="738">
      <c r="A738" s="7" t="str">
        <f>IFERROR(__xludf.DUMMYFUNCTION("""COMPUTED_VALUE"""),"R19")</f>
        <v>R19</v>
      </c>
      <c r="B738" s="7" t="str">
        <f>IFERROR(__xludf.DUMMYFUNCTION("""COMPUTED_VALUE"""),"Quality Assurance (QA) Tester")</f>
        <v>Quality Assurance (QA) Tester</v>
      </c>
      <c r="C738" s="7" t="str">
        <f>IFERROR(__xludf.DUMMYFUNCTION("""COMPUTED_VALUE"""),"S200")</f>
        <v>S200</v>
      </c>
      <c r="D738" s="7" t="str">
        <f>IFERROR(__xludf.DUMMYFUNCTION("""COMPUTED_VALUE"""),"Web Application Security &amp; OWASP Top 10")</f>
        <v>Web Application Security &amp; OWASP Top 10</v>
      </c>
    </row>
    <row r="739">
      <c r="A739" s="7" t="str">
        <f>IFERROR(__xludf.DUMMYFUNCTION("""COMPUTED_VALUE"""),"R19")</f>
        <v>R19</v>
      </c>
      <c r="B739" s="7" t="str">
        <f>IFERROR(__xludf.DUMMYFUNCTION("""COMPUTED_VALUE"""),"Quality Assurance (QA) Tester")</f>
        <v>Quality Assurance (QA) Tester</v>
      </c>
      <c r="C739" s="7" t="str">
        <f>IFERROR(__xludf.DUMMYFUNCTION("""COMPUTED_VALUE"""),"S246")</f>
        <v>S246</v>
      </c>
      <c r="D739" s="7" t="str">
        <f>IFERROR(__xludf.DUMMYFUNCTION("""COMPUTED_VALUE"""),"Agile Methodologies, Scrum Framework &amp; Kanban")</f>
        <v>Agile Methodologies, Scrum Framework &amp; Kanban</v>
      </c>
    </row>
    <row r="740">
      <c r="A740" s="7" t="str">
        <f>IFERROR(__xludf.DUMMYFUNCTION("""COMPUTED_VALUE"""),"R19")</f>
        <v>R19</v>
      </c>
      <c r="B740" s="7" t="str">
        <f>IFERROR(__xludf.DUMMYFUNCTION("""COMPUTED_VALUE"""),"Quality Assurance (QA) Tester")</f>
        <v>Quality Assurance (QA) Tester</v>
      </c>
      <c r="C740" s="7" t="str">
        <f>IFERROR(__xludf.DUMMYFUNCTION("""COMPUTED_VALUE"""),"S247")</f>
        <v>S247</v>
      </c>
      <c r="D740" s="7" t="str">
        <f>IFERROR(__xludf.DUMMYFUNCTION("""COMPUTED_VALUE"""),"Project Tracking &amp; Documentation Tools (Jira, Confluence, Linear)")</f>
        <v>Project Tracking &amp; Documentation Tools (Jira, Confluence, Linear)</v>
      </c>
    </row>
    <row r="741">
      <c r="A741" s="7" t="str">
        <f>IFERROR(__xludf.DUMMYFUNCTION("""COMPUTED_VALUE"""),"R20")</f>
        <v>R20</v>
      </c>
      <c r="B741" s="7" t="str">
        <f>IFERROR(__xludf.DUMMYFUNCTION("""COMPUTED_VALUE"""),"Automation Engineer")</f>
        <v>Automation Engineer</v>
      </c>
      <c r="C741" s="7" t="str">
        <f>IFERROR(__xludf.DUMMYFUNCTION("""COMPUTED_VALUE"""),"S006")</f>
        <v>S006</v>
      </c>
      <c r="D741" s="7" t="str">
        <f>IFERROR(__xludf.DUMMYFUNCTION("""COMPUTED_VALUE"""),"Basic Data Structures (Arrays, Lists, Stacks, Queues)")</f>
        <v>Basic Data Structures (Arrays, Lists, Stacks, Queues)</v>
      </c>
    </row>
    <row r="742">
      <c r="A742" s="7" t="str">
        <f>IFERROR(__xludf.DUMMYFUNCTION("""COMPUTED_VALUE"""),"R20")</f>
        <v>R20</v>
      </c>
      <c r="B742" s="7" t="str">
        <f>IFERROR(__xludf.DUMMYFUNCTION("""COMPUTED_VALUE"""),"Automation Engineer")</f>
        <v>Automation Engineer</v>
      </c>
      <c r="C742" s="7" t="str">
        <f>IFERROR(__xludf.DUMMYFUNCTION("""COMPUTED_VALUE"""),"S010")</f>
        <v>S010</v>
      </c>
      <c r="D742" s="7" t="str">
        <f>IFERROR(__xludf.DUMMYFUNCTION("""COMPUTED_VALUE"""),"Sorting &amp; Searching Algorithms")</f>
        <v>Sorting &amp; Searching Algorithms</v>
      </c>
    </row>
    <row r="743">
      <c r="A743" s="7" t="str">
        <f>IFERROR(__xludf.DUMMYFUNCTION("""COMPUTED_VALUE"""),"R20")</f>
        <v>R20</v>
      </c>
      <c r="B743" s="7" t="str">
        <f>IFERROR(__xludf.DUMMYFUNCTION("""COMPUTED_VALUE"""),"Automation Engineer")</f>
        <v>Automation Engineer</v>
      </c>
      <c r="C743" s="7" t="str">
        <f>IFERROR(__xludf.DUMMYFUNCTION("""COMPUTED_VALUE"""),"S012")</f>
        <v>S012</v>
      </c>
      <c r="D743" s="7" t="str">
        <f>IFERROR(__xludf.DUMMYFUNCTION("""COMPUTED_VALUE"""),"Time &amp; Space Complexity (Big-O Analysis)")</f>
        <v>Time &amp; Space Complexity (Big-O Analysis)</v>
      </c>
    </row>
    <row r="744">
      <c r="A744" s="7" t="str">
        <f>IFERROR(__xludf.DUMMYFUNCTION("""COMPUTED_VALUE"""),"R20")</f>
        <v>R20</v>
      </c>
      <c r="B744" s="7" t="str">
        <f>IFERROR(__xludf.DUMMYFUNCTION("""COMPUTED_VALUE"""),"Automation Engineer")</f>
        <v>Automation Engineer</v>
      </c>
      <c r="C744" s="7" t="str">
        <f>IFERROR(__xludf.DUMMYFUNCTION("""COMPUTED_VALUE"""),"S013")</f>
        <v>S013</v>
      </c>
      <c r="D744" s="7" t="str">
        <f>IFERROR(__xludf.DUMMYFUNCTION("""COMPUTED_VALUE"""),"Object-Oriented Programming (OOP)")</f>
        <v>Object-Oriented Programming (OOP)</v>
      </c>
    </row>
    <row r="745">
      <c r="A745" s="7" t="str">
        <f>IFERROR(__xludf.DUMMYFUNCTION("""COMPUTED_VALUE"""),"R20")</f>
        <v>R20</v>
      </c>
      <c r="B745" s="7" t="str">
        <f>IFERROR(__xludf.DUMMYFUNCTION("""COMPUTED_VALUE"""),"Automation Engineer")</f>
        <v>Automation Engineer</v>
      </c>
      <c r="C745" s="7" t="str">
        <f>IFERROR(__xludf.DUMMYFUNCTION("""COMPUTED_VALUE"""),"S015")</f>
        <v>S015</v>
      </c>
      <c r="D745" s="7" t="str">
        <f>IFERROR(__xludf.DUMMYFUNCTION("""COMPUTED_VALUE"""),"Software Design Patterns (GoF)")</f>
        <v>Software Design Patterns (GoF)</v>
      </c>
    </row>
    <row r="746">
      <c r="A746" s="7" t="str">
        <f>IFERROR(__xludf.DUMMYFUNCTION("""COMPUTED_VALUE"""),"R20")</f>
        <v>R20</v>
      </c>
      <c r="B746" s="7" t="str">
        <f>IFERROR(__xludf.DUMMYFUNCTION("""COMPUTED_VALUE"""),"Automation Engineer")</f>
        <v>Automation Engineer</v>
      </c>
      <c r="C746" s="7" t="str">
        <f>IFERROR(__xludf.DUMMYFUNCTION("""COMPUTED_VALUE"""),"S016")</f>
        <v>S016</v>
      </c>
      <c r="D746" s="7" t="str">
        <f>IFERROR(__xludf.DUMMYFUNCTION("""COMPUTED_VALUE"""),"SOLID Principles &amp; Clean Code")</f>
        <v>SOLID Principles &amp; Clean Code</v>
      </c>
    </row>
    <row r="747">
      <c r="A747" s="7" t="str">
        <f>IFERROR(__xludf.DUMMYFUNCTION("""COMPUTED_VALUE"""),"R20")</f>
        <v>R20</v>
      </c>
      <c r="B747" s="7" t="str">
        <f>IFERROR(__xludf.DUMMYFUNCTION("""COMPUTED_VALUE"""),"Automation Engineer")</f>
        <v>Automation Engineer</v>
      </c>
      <c r="C747" s="7" t="str">
        <f>IFERROR(__xludf.DUMMYFUNCTION("""COMPUTED_VALUE"""),"S017")</f>
        <v>S017</v>
      </c>
      <c r="D747" s="7" t="str">
        <f>IFERROR(__xludf.DUMMYFUNCTION("""COMPUTED_VALUE"""),"Git Version Control Fundamentals")</f>
        <v>Git Version Control Fundamentals</v>
      </c>
    </row>
    <row r="748">
      <c r="A748" s="7" t="str">
        <f>IFERROR(__xludf.DUMMYFUNCTION("""COMPUTED_VALUE"""),"R20")</f>
        <v>R20</v>
      </c>
      <c r="B748" s="7" t="str">
        <f>IFERROR(__xludf.DUMMYFUNCTION("""COMPUTED_VALUE"""),"Automation Engineer")</f>
        <v>Automation Engineer</v>
      </c>
      <c r="C748" s="7" t="str">
        <f>IFERROR(__xludf.DUMMYFUNCTION("""COMPUTED_VALUE"""),"S018")</f>
        <v>S018</v>
      </c>
      <c r="D748" s="7" t="str">
        <f>IFERROR(__xludf.DUMMYFUNCTION("""COMPUTED_VALUE"""),"GitHub / GitLab Workflows &amp; Pull Requests")</f>
        <v>GitHub / GitLab Workflows &amp; Pull Requests</v>
      </c>
    </row>
    <row r="749">
      <c r="A749" s="7" t="str">
        <f>IFERROR(__xludf.DUMMYFUNCTION("""COMPUTED_VALUE"""),"R20")</f>
        <v>R20</v>
      </c>
      <c r="B749" s="7" t="str">
        <f>IFERROR(__xludf.DUMMYFUNCTION("""COMPUTED_VALUE"""),"Automation Engineer")</f>
        <v>Automation Engineer</v>
      </c>
      <c r="C749" s="7" t="str">
        <f>IFERROR(__xludf.DUMMYFUNCTION("""COMPUTED_VALUE"""),"S019")</f>
        <v>S019</v>
      </c>
      <c r="D749" s="7" t="str">
        <f>IFERROR(__xludf.DUMMYFUNCTION("""COMPUTED_VALUE"""),"Linux Command Line &amp; File Permissions")</f>
        <v>Linux Command Line &amp; File Permissions</v>
      </c>
    </row>
    <row r="750">
      <c r="A750" s="7" t="str">
        <f>IFERROR(__xludf.DUMMYFUNCTION("""COMPUTED_VALUE"""),"R20")</f>
        <v>R20</v>
      </c>
      <c r="B750" s="7" t="str">
        <f>IFERROR(__xludf.DUMMYFUNCTION("""COMPUTED_VALUE"""),"Automation Engineer")</f>
        <v>Automation Engineer</v>
      </c>
      <c r="C750" s="7" t="str">
        <f>IFERROR(__xludf.DUMMYFUNCTION("""COMPUTED_VALUE"""),"S020")</f>
        <v>S020</v>
      </c>
      <c r="D750" s="7" t="str">
        <f>IFERROR(__xludf.DUMMYFUNCTION("""COMPUTED_VALUE"""),"Bash &amp; Shell Scripting")</f>
        <v>Bash &amp; Shell Scripting</v>
      </c>
    </row>
    <row r="751">
      <c r="A751" s="7" t="str">
        <f>IFERROR(__xludf.DUMMYFUNCTION("""COMPUTED_VALUE"""),"R20")</f>
        <v>R20</v>
      </c>
      <c r="B751" s="7" t="str">
        <f>IFERROR(__xludf.DUMMYFUNCTION("""COMPUTED_VALUE"""),"Automation Engineer")</f>
        <v>Automation Engineer</v>
      </c>
      <c r="C751" s="7" t="str">
        <f>IFERROR(__xludf.DUMMYFUNCTION("""COMPUTED_VALUE"""),"S023")</f>
        <v>S023</v>
      </c>
      <c r="D751" s="7" t="str">
        <f>IFERROR(__xludf.DUMMYFUNCTION("""COMPUTED_VALUE"""),"HTTP/HTTPS Protocols &amp; Status Codes")</f>
        <v>HTTP/HTTPS Protocols &amp; Status Codes</v>
      </c>
    </row>
    <row r="752">
      <c r="A752" s="7" t="str">
        <f>IFERROR(__xludf.DUMMYFUNCTION("""COMPUTED_VALUE"""),"R20")</f>
        <v>R20</v>
      </c>
      <c r="B752" s="7" t="str">
        <f>IFERROR(__xludf.DUMMYFUNCTION("""COMPUTED_VALUE"""),"Automation Engineer")</f>
        <v>Automation Engineer</v>
      </c>
      <c r="C752" s="7" t="str">
        <f>IFERROR(__xludf.DUMMYFUNCTION("""COMPUTED_VALUE"""),"S025")</f>
        <v>S025</v>
      </c>
      <c r="D752" s="7" t="str">
        <f>IFERROR(__xludf.DUMMYFUNCTION("""COMPUTED_VALUE"""),"Regular Expressions (Regex)")</f>
        <v>Regular Expressions (Regex)</v>
      </c>
    </row>
    <row r="753">
      <c r="A753" s="7" t="str">
        <f>IFERROR(__xludf.DUMMYFUNCTION("""COMPUTED_VALUE"""),"R20")</f>
        <v>R20</v>
      </c>
      <c r="B753" s="7" t="str">
        <f>IFERROR(__xludf.DUMMYFUNCTION("""COMPUTED_VALUE"""),"Automation Engineer")</f>
        <v>Automation Engineer</v>
      </c>
      <c r="C753" s="7" t="str">
        <f>IFERROR(__xludf.DUMMYFUNCTION("""COMPUTED_VALUE"""),"S026")</f>
        <v>S026</v>
      </c>
      <c r="D753" s="7" t="str">
        <f>IFERROR(__xludf.DUMMYFUNCTION("""COMPUTED_VALUE"""),"Data Serialization (JSON, XML, YAML, Protobuf)")</f>
        <v>Data Serialization (JSON, XML, YAML, Protobuf)</v>
      </c>
    </row>
    <row r="754">
      <c r="A754" s="7" t="str">
        <f>IFERROR(__xludf.DUMMYFUNCTION("""COMPUTED_VALUE"""),"R20")</f>
        <v>R20</v>
      </c>
      <c r="B754" s="7" t="str">
        <f>IFERROR(__xludf.DUMMYFUNCTION("""COMPUTED_VALUE"""),"Automation Engineer")</f>
        <v>Automation Engineer</v>
      </c>
      <c r="C754" s="7" t="str">
        <f>IFERROR(__xludf.DUMMYFUNCTION("""COMPUTED_VALUE"""),"S028")</f>
        <v>S028</v>
      </c>
      <c r="D754" s="7" t="str">
        <f>IFERROR(__xludf.DUMMYFUNCTION("""COMPUTED_VALUE"""),"Technical Writing &amp; Markdown Documentation")</f>
        <v>Technical Writing &amp; Markdown Documentation</v>
      </c>
    </row>
    <row r="755">
      <c r="A755" s="7" t="str">
        <f>IFERROR(__xludf.DUMMYFUNCTION("""COMPUTED_VALUE"""),"R20")</f>
        <v>R20</v>
      </c>
      <c r="B755" s="7" t="str">
        <f>IFERROR(__xludf.DUMMYFUNCTION("""COMPUTED_VALUE"""),"Automation Engineer")</f>
        <v>Automation Engineer</v>
      </c>
      <c r="C755" s="7" t="str">
        <f>IFERROR(__xludf.DUMMYFUNCTION("""COMPUTED_VALUE"""),"S029")</f>
        <v>S029</v>
      </c>
      <c r="D755" s="7" t="str">
        <f>IFERROR(__xludf.DUMMYFUNCTION("""COMPUTED_VALUE"""),"Debugging, Profiling &amp; Root Cause Analysis")</f>
        <v>Debugging, Profiling &amp; Root Cause Analysis</v>
      </c>
    </row>
    <row r="756">
      <c r="A756" s="7" t="str">
        <f>IFERROR(__xludf.DUMMYFUNCTION("""COMPUTED_VALUE"""),"R20")</f>
        <v>R20</v>
      </c>
      <c r="B756" s="7" t="str">
        <f>IFERROR(__xludf.DUMMYFUNCTION("""COMPUTED_VALUE"""),"Automation Engineer")</f>
        <v>Automation Engineer</v>
      </c>
      <c r="C756" s="7" t="str">
        <f>IFERROR(__xludf.DUMMYFUNCTION("""COMPUTED_VALUE"""),"S031")</f>
        <v>S031</v>
      </c>
      <c r="D756" s="7" t="str">
        <f>IFERROR(__xludf.DUMMYFUNCTION("""COMPUTED_VALUE"""),"Semantic HTML5")</f>
        <v>Semantic HTML5</v>
      </c>
    </row>
    <row r="757">
      <c r="A757" s="7" t="str">
        <f>IFERROR(__xludf.DUMMYFUNCTION("""COMPUTED_VALUE"""),"R20")</f>
        <v>R20</v>
      </c>
      <c r="B757" s="7" t="str">
        <f>IFERROR(__xludf.DUMMYFUNCTION("""COMPUTED_VALUE"""),"Automation Engineer")</f>
        <v>Automation Engineer</v>
      </c>
      <c r="C757" s="7" t="str">
        <f>IFERROR(__xludf.DUMMYFUNCTION("""COMPUTED_VALUE"""),"S032")</f>
        <v>S032</v>
      </c>
      <c r="D757" s="7" t="str">
        <f>IFERROR(__xludf.DUMMYFUNCTION("""COMPUTED_VALUE"""),"CSS3 Fundamentals &amp; Box Model")</f>
        <v>CSS3 Fundamentals &amp; Box Model</v>
      </c>
    </row>
    <row r="758">
      <c r="A758" s="7" t="str">
        <f>IFERROR(__xludf.DUMMYFUNCTION("""COMPUTED_VALUE"""),"R20")</f>
        <v>R20</v>
      </c>
      <c r="B758" s="7" t="str">
        <f>IFERROR(__xludf.DUMMYFUNCTION("""COMPUTED_VALUE"""),"Automation Engineer")</f>
        <v>Automation Engineer</v>
      </c>
      <c r="C758" s="7" t="str">
        <f>IFERROR(__xludf.DUMMYFUNCTION("""COMPUTED_VALUE"""),"S034")</f>
        <v>S034</v>
      </c>
      <c r="D758" s="7" t="str">
        <f>IFERROR(__xludf.DUMMYFUNCTION("""COMPUTED_VALUE"""),"JavaScript Fundamentals (ES6+)")</f>
        <v>JavaScript Fundamentals (ES6+)</v>
      </c>
    </row>
    <row r="759">
      <c r="A759" s="7" t="str">
        <f>IFERROR(__xludf.DUMMYFUNCTION("""COMPUTED_VALUE"""),"R20")</f>
        <v>R20</v>
      </c>
      <c r="B759" s="7" t="str">
        <f>IFERROR(__xludf.DUMMYFUNCTION("""COMPUTED_VALUE"""),"Automation Engineer")</f>
        <v>Automation Engineer</v>
      </c>
      <c r="C759" s="7" t="str">
        <f>IFERROR(__xludf.DUMMYFUNCTION("""COMPUTED_VALUE"""),"S035")</f>
        <v>S035</v>
      </c>
      <c r="D759" s="7" t="str">
        <f>IFERROR(__xludf.DUMMYFUNCTION("""COMPUTED_VALUE"""),"Asynchronous JavaScript (Promises, Async/Await)")</f>
        <v>Asynchronous JavaScript (Promises, Async/Await)</v>
      </c>
    </row>
    <row r="760">
      <c r="A760" s="7" t="str">
        <f>IFERROR(__xludf.DUMMYFUNCTION("""COMPUTED_VALUE"""),"R20")</f>
        <v>R20</v>
      </c>
      <c r="B760" s="7" t="str">
        <f>IFERROR(__xludf.DUMMYFUNCTION("""COMPUTED_VALUE"""),"Automation Engineer")</f>
        <v>Automation Engineer</v>
      </c>
      <c r="C760" s="7" t="str">
        <f>IFERROR(__xludf.DUMMYFUNCTION("""COMPUTED_VALUE"""),"S036")</f>
        <v>S036</v>
      </c>
      <c r="D760" s="7" t="str">
        <f>IFERROR(__xludf.DUMMYFUNCTION("""COMPUTED_VALUE"""),"DOM Manipulation &amp; Browser Events")</f>
        <v>DOM Manipulation &amp; Browser Events</v>
      </c>
    </row>
    <row r="761">
      <c r="A761" s="7" t="str">
        <f>IFERROR(__xludf.DUMMYFUNCTION("""COMPUTED_VALUE"""),"R20")</f>
        <v>R20</v>
      </c>
      <c r="B761" s="7" t="str">
        <f>IFERROR(__xludf.DUMMYFUNCTION("""COMPUTED_VALUE"""),"Automation Engineer")</f>
        <v>Automation Engineer</v>
      </c>
      <c r="C761" s="7" t="str">
        <f>IFERROR(__xludf.DUMMYFUNCTION("""COMPUTED_VALUE"""),"S038")</f>
        <v>S038</v>
      </c>
      <c r="D761" s="7" t="str">
        <f>IFERROR(__xludf.DUMMYFUNCTION("""COMPUTED_VALUE"""),"TypeScript &amp; Static Typing")</f>
        <v>TypeScript &amp; Static Typing</v>
      </c>
    </row>
    <row r="762">
      <c r="A762" s="7" t="str">
        <f>IFERROR(__xludf.DUMMYFUNCTION("""COMPUTED_VALUE"""),"R20")</f>
        <v>R20</v>
      </c>
      <c r="B762" s="7" t="str">
        <f>IFERROR(__xludf.DUMMYFUNCTION("""COMPUTED_VALUE"""),"Automation Engineer")</f>
        <v>Automation Engineer</v>
      </c>
      <c r="C762" s="7" t="str">
        <f>IFERROR(__xludf.DUMMYFUNCTION("""COMPUTED_VALUE"""),"S059")</f>
        <v>S059</v>
      </c>
      <c r="D762" s="7" t="str">
        <f>IFERROR(__xludf.DUMMYFUNCTION("""COMPUTED_VALUE"""),"Frontend Unit &amp; Component Testing (Jest, Vitest, RTL)")</f>
        <v>Frontend Unit &amp; Component Testing (Jest, Vitest, RTL)</v>
      </c>
    </row>
    <row r="763">
      <c r="A763" s="7" t="str">
        <f>IFERROR(__xludf.DUMMYFUNCTION("""COMPUTED_VALUE"""),"R20")</f>
        <v>R20</v>
      </c>
      <c r="B763" s="7" t="str">
        <f>IFERROR(__xludf.DUMMYFUNCTION("""COMPUTED_VALUE"""),"Automation Engineer")</f>
        <v>Automation Engineer</v>
      </c>
      <c r="C763" s="7" t="str">
        <f>IFERROR(__xludf.DUMMYFUNCTION("""COMPUTED_VALUE"""),"S060")</f>
        <v>S060</v>
      </c>
      <c r="D763" s="7" t="str">
        <f>IFERROR(__xludf.DUMMYFUNCTION("""COMPUTED_VALUE"""),"End-to-End Browser Testing (Cypress, Playwright)")</f>
        <v>End-to-End Browser Testing (Cypress, Playwright)</v>
      </c>
    </row>
    <row r="764">
      <c r="A764" s="7" t="str">
        <f>IFERROR(__xludf.DUMMYFUNCTION("""COMPUTED_VALUE"""),"R20")</f>
        <v>R20</v>
      </c>
      <c r="B764" s="7" t="str">
        <f>IFERROR(__xludf.DUMMYFUNCTION("""COMPUTED_VALUE"""),"Automation Engineer")</f>
        <v>Automation Engineer</v>
      </c>
      <c r="C764" s="7" t="str">
        <f>IFERROR(__xludf.DUMMYFUNCTION("""COMPUTED_VALUE"""),"S066")</f>
        <v>S066</v>
      </c>
      <c r="D764" s="7" t="str">
        <f>IFERROR(__xludf.DUMMYFUNCTION("""COMPUTED_VALUE"""),"Java Programming &amp; JVM Internals")</f>
        <v>Java Programming &amp; JVM Internals</v>
      </c>
    </row>
    <row r="765">
      <c r="A765" s="7" t="str">
        <f>IFERROR(__xludf.DUMMYFUNCTION("""COMPUTED_VALUE"""),"R20")</f>
        <v>R20</v>
      </c>
      <c r="B765" s="7" t="str">
        <f>IFERROR(__xludf.DUMMYFUNCTION("""COMPUTED_VALUE"""),"Automation Engineer")</f>
        <v>Automation Engineer</v>
      </c>
      <c r="C765" s="7" t="str">
        <f>IFERROR(__xludf.DUMMYFUNCTION("""COMPUTED_VALUE"""),"S068")</f>
        <v>S068</v>
      </c>
      <c r="D765" s="7" t="str">
        <f>IFERROR(__xludf.DUMMYFUNCTION("""COMPUTED_VALUE"""),"Python Programming Fundamentals")</f>
        <v>Python Programming Fundamentals</v>
      </c>
    </row>
    <row r="766">
      <c r="A766" s="7" t="str">
        <f>IFERROR(__xludf.DUMMYFUNCTION("""COMPUTED_VALUE"""),"R20")</f>
        <v>R20</v>
      </c>
      <c r="B766" s="7" t="str">
        <f>IFERROR(__xludf.DUMMYFUNCTION("""COMPUTED_VALUE"""),"Automation Engineer")</f>
        <v>Automation Engineer</v>
      </c>
      <c r="C766" s="7" t="str">
        <f>IFERROR(__xludf.DUMMYFUNCTION("""COMPUTED_VALUE"""),"S086")</f>
        <v>S086</v>
      </c>
      <c r="D766" s="7" t="str">
        <f>IFERROR(__xludf.DUMMYFUNCTION("""COMPUTED_VALUE"""),"RESTful API Design &amp; OpenAPI/Swagger")</f>
        <v>RESTful API Design &amp; OpenAPI/Swagger</v>
      </c>
    </row>
    <row r="767">
      <c r="A767" s="7" t="str">
        <f>IFERROR(__xludf.DUMMYFUNCTION("""COMPUTED_VALUE"""),"R20")</f>
        <v>R20</v>
      </c>
      <c r="B767" s="7" t="str">
        <f>IFERROR(__xludf.DUMMYFUNCTION("""COMPUTED_VALUE"""),"Automation Engineer")</f>
        <v>Automation Engineer</v>
      </c>
      <c r="C767" s="7" t="str">
        <f>IFERROR(__xludf.DUMMYFUNCTION("""COMPUTED_VALUE"""),"S102")</f>
        <v>S102</v>
      </c>
      <c r="D767" s="7" t="str">
        <f>IFERROR(__xludf.DUMMYFUNCTION("""COMPUTED_VALUE"""),"Backend Unit &amp; Integration Testing (JUnit, PyTest, Mocha)")</f>
        <v>Backend Unit &amp; Integration Testing (JUnit, PyTest, Mocha)</v>
      </c>
    </row>
    <row r="768">
      <c r="A768" s="7" t="str">
        <f>IFERROR(__xludf.DUMMYFUNCTION("""COMPUTED_VALUE"""),"R20")</f>
        <v>R20</v>
      </c>
      <c r="B768" s="7" t="str">
        <f>IFERROR(__xludf.DUMMYFUNCTION("""COMPUTED_VALUE"""),"Automation Engineer")</f>
        <v>Automation Engineer</v>
      </c>
      <c r="C768" s="7" t="str">
        <f>IFERROR(__xludf.DUMMYFUNCTION("""COMPUTED_VALUE"""),"S103")</f>
        <v>S103</v>
      </c>
      <c r="D768" s="7" t="str">
        <f>IFERROR(__xludf.DUMMYFUNCTION("""COMPUTED_VALUE"""),"API Testing &amp; Contract Testing (Postman, Pact, Insomnia)")</f>
        <v>API Testing &amp; Contract Testing (Postman, Pact, Insomnia)</v>
      </c>
    </row>
    <row r="769">
      <c r="A769" s="7" t="str">
        <f>IFERROR(__xludf.DUMMYFUNCTION("""COMPUTED_VALUE"""),"R20")</f>
        <v>R20</v>
      </c>
      <c r="B769" s="7" t="str">
        <f>IFERROR(__xludf.DUMMYFUNCTION("""COMPUTED_VALUE"""),"Automation Engineer")</f>
        <v>Automation Engineer</v>
      </c>
      <c r="C769" s="7" t="str">
        <f>IFERROR(__xludf.DUMMYFUNCTION("""COMPUTED_VALUE"""),"S104")</f>
        <v>S104</v>
      </c>
      <c r="D769" s="7" t="str">
        <f>IFERROR(__xludf.DUMMYFUNCTION("""COMPUTED_VALUE"""),"Load &amp; Performance Testing (JMeter, k6, Locust)")</f>
        <v>Load &amp; Performance Testing (JMeter, k6, Locust)</v>
      </c>
    </row>
    <row r="770">
      <c r="A770" s="7" t="str">
        <f>IFERROR(__xludf.DUMMYFUNCTION("""COMPUTED_VALUE"""),"R20")</f>
        <v>R20</v>
      </c>
      <c r="B770" s="7" t="str">
        <f>IFERROR(__xludf.DUMMYFUNCTION("""COMPUTED_VALUE"""),"Automation Engineer")</f>
        <v>Automation Engineer</v>
      </c>
      <c r="C770" s="7" t="str">
        <f>IFERROR(__xludf.DUMMYFUNCTION("""COMPUTED_VALUE"""),"S107")</f>
        <v>S107</v>
      </c>
      <c r="D770" s="7" t="str">
        <f>IFERROR(__xludf.DUMMYFUNCTION("""COMPUTED_VALUE"""),"SQL Querying (Joins, Aggregations, Subqueries)")</f>
        <v>SQL Querying (Joins, Aggregations, Subqueries)</v>
      </c>
    </row>
    <row r="771">
      <c r="A771" s="7" t="str">
        <f>IFERROR(__xludf.DUMMYFUNCTION("""COMPUTED_VALUE"""),"R20")</f>
        <v>R20</v>
      </c>
      <c r="B771" s="7" t="str">
        <f>IFERROR(__xludf.DUMMYFUNCTION("""COMPUTED_VALUE"""),"Automation Engineer")</f>
        <v>Automation Engineer</v>
      </c>
      <c r="C771" s="7" t="str">
        <f>IFERROR(__xludf.DUMMYFUNCTION("""COMPUTED_VALUE"""),"S171")</f>
        <v>S171</v>
      </c>
      <c r="D771" s="7" t="str">
        <f>IFERROR(__xludf.DUMMYFUNCTION("""COMPUTED_VALUE"""),"Containerization with Docker")</f>
        <v>Containerization with Docker</v>
      </c>
    </row>
    <row r="772">
      <c r="A772" s="7" t="str">
        <f>IFERROR(__xludf.DUMMYFUNCTION("""COMPUTED_VALUE"""),"R20")</f>
        <v>R20</v>
      </c>
      <c r="B772" s="7" t="str">
        <f>IFERROR(__xludf.DUMMYFUNCTION("""COMPUTED_VALUE"""),"Automation Engineer")</f>
        <v>Automation Engineer</v>
      </c>
      <c r="C772" s="7" t="str">
        <f>IFERROR(__xludf.DUMMYFUNCTION("""COMPUTED_VALUE"""),"S180")</f>
        <v>S180</v>
      </c>
      <c r="D772" s="7" t="str">
        <f>IFERROR(__xludf.DUMMYFUNCTION("""COMPUTED_VALUE"""),"CI/CD Pipelines with GitHub Actions")</f>
        <v>CI/CD Pipelines with GitHub Actions</v>
      </c>
    </row>
    <row r="773">
      <c r="A773" s="7" t="str">
        <f>IFERROR(__xludf.DUMMYFUNCTION("""COMPUTED_VALUE"""),"R20")</f>
        <v>R20</v>
      </c>
      <c r="B773" s="7" t="str">
        <f>IFERROR(__xludf.DUMMYFUNCTION("""COMPUTED_VALUE"""),"Automation Engineer")</f>
        <v>Automation Engineer</v>
      </c>
      <c r="C773" s="7" t="str">
        <f>IFERROR(__xludf.DUMMYFUNCTION("""COMPUTED_VALUE"""),"S181")</f>
        <v>S181</v>
      </c>
      <c r="D773" s="7" t="str">
        <f>IFERROR(__xludf.DUMMYFUNCTION("""COMPUTED_VALUE"""),"CI/CD Automation with GitLab CI &amp; Jenkins")</f>
        <v>CI/CD Automation with GitLab CI &amp; Jenkins</v>
      </c>
    </row>
    <row r="774">
      <c r="A774" s="7" t="str">
        <f>IFERROR(__xludf.DUMMYFUNCTION("""COMPUTED_VALUE"""),"R20")</f>
        <v>R20</v>
      </c>
      <c r="B774" s="7" t="str">
        <f>IFERROR(__xludf.DUMMYFUNCTION("""COMPUTED_VALUE"""),"Automation Engineer")</f>
        <v>Automation Engineer</v>
      </c>
      <c r="C774" s="7" t="str">
        <f>IFERROR(__xludf.DUMMYFUNCTION("""COMPUTED_VALUE"""),"S214")</f>
        <v>S214</v>
      </c>
      <c r="D774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775">
      <c r="A775" s="7" t="str">
        <f>IFERROR(__xludf.DUMMYFUNCTION("""COMPUTED_VALUE"""),"R20")</f>
        <v>R20</v>
      </c>
      <c r="B775" s="7" t="str">
        <f>IFERROR(__xludf.DUMMYFUNCTION("""COMPUTED_VALUE"""),"Automation Engineer")</f>
        <v>Automation Engineer</v>
      </c>
      <c r="C775" s="7" t="str">
        <f>IFERROR(__xludf.DUMMYFUNCTION("""COMPUTED_VALUE"""),"S246")</f>
        <v>S246</v>
      </c>
      <c r="D775" s="7" t="str">
        <f>IFERROR(__xludf.DUMMYFUNCTION("""COMPUTED_VALUE"""),"Agile Methodologies, Scrum Framework &amp; Kanban")</f>
        <v>Agile Methodologies, Scrum Framework &amp; Kanban</v>
      </c>
    </row>
    <row r="776">
      <c r="A776" s="7" t="str">
        <f>IFERROR(__xludf.DUMMYFUNCTION("""COMPUTED_VALUE"""),"R20")</f>
        <v>R20</v>
      </c>
      <c r="B776" s="7" t="str">
        <f>IFERROR(__xludf.DUMMYFUNCTION("""COMPUTED_VALUE"""),"Automation Engineer")</f>
        <v>Automation Engineer</v>
      </c>
      <c r="C776" s="7" t="str">
        <f>IFERROR(__xludf.DUMMYFUNCTION("""COMPUTED_VALUE"""),"S247")</f>
        <v>S247</v>
      </c>
      <c r="D776" s="7" t="str">
        <f>IFERROR(__xludf.DUMMYFUNCTION("""COMPUTED_VALUE"""),"Project Tracking &amp; Documentation Tools (Jira, Confluence, Linear)")</f>
        <v>Project Tracking &amp; Documentation Tools (Jira, Confluence, Linear)</v>
      </c>
    </row>
    <row r="777">
      <c r="A777" s="7" t="str">
        <f>IFERROR(__xludf.DUMMYFUNCTION("""COMPUTED_VALUE"""),"R21")</f>
        <v>R21</v>
      </c>
      <c r="B777" s="7" t="str">
        <f>IFERROR(__xludf.DUMMYFUNCTION("""COMPUTED_VALUE"""),"Mobile App Developer (iOS)")</f>
        <v>Mobile App Developer (iOS)</v>
      </c>
      <c r="C777" s="7" t="str">
        <f>IFERROR(__xludf.DUMMYFUNCTION("""COMPUTED_VALUE"""),"S006")</f>
        <v>S006</v>
      </c>
      <c r="D777" s="7" t="str">
        <f>IFERROR(__xludf.DUMMYFUNCTION("""COMPUTED_VALUE"""),"Basic Data Structures (Arrays, Lists, Stacks, Queues)")</f>
        <v>Basic Data Structures (Arrays, Lists, Stacks, Queues)</v>
      </c>
    </row>
    <row r="778">
      <c r="A778" s="7" t="str">
        <f>IFERROR(__xludf.DUMMYFUNCTION("""COMPUTED_VALUE"""),"R21")</f>
        <v>R21</v>
      </c>
      <c r="B778" s="7" t="str">
        <f>IFERROR(__xludf.DUMMYFUNCTION("""COMPUTED_VALUE"""),"Mobile App Developer (iOS)")</f>
        <v>Mobile App Developer (iOS)</v>
      </c>
      <c r="C778" s="7" t="str">
        <f>IFERROR(__xludf.DUMMYFUNCTION("""COMPUTED_VALUE"""),"S010")</f>
        <v>S010</v>
      </c>
      <c r="D778" s="7" t="str">
        <f>IFERROR(__xludf.DUMMYFUNCTION("""COMPUTED_VALUE"""),"Sorting &amp; Searching Algorithms")</f>
        <v>Sorting &amp; Searching Algorithms</v>
      </c>
    </row>
    <row r="779">
      <c r="A779" s="7" t="str">
        <f>IFERROR(__xludf.DUMMYFUNCTION("""COMPUTED_VALUE"""),"R21")</f>
        <v>R21</v>
      </c>
      <c r="B779" s="7" t="str">
        <f>IFERROR(__xludf.DUMMYFUNCTION("""COMPUTED_VALUE"""),"Mobile App Developer (iOS)")</f>
        <v>Mobile App Developer (iOS)</v>
      </c>
      <c r="C779" s="7" t="str">
        <f>IFERROR(__xludf.DUMMYFUNCTION("""COMPUTED_VALUE"""),"S012")</f>
        <v>S012</v>
      </c>
      <c r="D779" s="7" t="str">
        <f>IFERROR(__xludf.DUMMYFUNCTION("""COMPUTED_VALUE"""),"Time &amp; Space Complexity (Big-O Analysis)")</f>
        <v>Time &amp; Space Complexity (Big-O Analysis)</v>
      </c>
    </row>
    <row r="780">
      <c r="A780" s="7" t="str">
        <f>IFERROR(__xludf.DUMMYFUNCTION("""COMPUTED_VALUE"""),"R21")</f>
        <v>R21</v>
      </c>
      <c r="B780" s="7" t="str">
        <f>IFERROR(__xludf.DUMMYFUNCTION("""COMPUTED_VALUE"""),"Mobile App Developer (iOS)")</f>
        <v>Mobile App Developer (iOS)</v>
      </c>
      <c r="C780" s="7" t="str">
        <f>IFERROR(__xludf.DUMMYFUNCTION("""COMPUTED_VALUE"""),"S013")</f>
        <v>S013</v>
      </c>
      <c r="D780" s="7" t="str">
        <f>IFERROR(__xludf.DUMMYFUNCTION("""COMPUTED_VALUE"""),"Object-Oriented Programming (OOP)")</f>
        <v>Object-Oriented Programming (OOP)</v>
      </c>
    </row>
    <row r="781">
      <c r="A781" s="7" t="str">
        <f>IFERROR(__xludf.DUMMYFUNCTION("""COMPUTED_VALUE"""),"R21")</f>
        <v>R21</v>
      </c>
      <c r="B781" s="7" t="str">
        <f>IFERROR(__xludf.DUMMYFUNCTION("""COMPUTED_VALUE"""),"Mobile App Developer (iOS)")</f>
        <v>Mobile App Developer (iOS)</v>
      </c>
      <c r="C781" s="7" t="str">
        <f>IFERROR(__xludf.DUMMYFUNCTION("""COMPUTED_VALUE"""),"S014")</f>
        <v>S014</v>
      </c>
      <c r="D781" s="7" t="str">
        <f>IFERROR(__xludf.DUMMYFUNCTION("""COMPUTED_VALUE"""),"Functional Programming Concepts")</f>
        <v>Functional Programming Concepts</v>
      </c>
    </row>
    <row r="782">
      <c r="A782" s="7" t="str">
        <f>IFERROR(__xludf.DUMMYFUNCTION("""COMPUTED_VALUE"""),"R21")</f>
        <v>R21</v>
      </c>
      <c r="B782" s="7" t="str">
        <f>IFERROR(__xludf.DUMMYFUNCTION("""COMPUTED_VALUE"""),"Mobile App Developer (iOS)")</f>
        <v>Mobile App Developer (iOS)</v>
      </c>
      <c r="C782" s="7" t="str">
        <f>IFERROR(__xludf.DUMMYFUNCTION("""COMPUTED_VALUE"""),"S015")</f>
        <v>S015</v>
      </c>
      <c r="D782" s="7" t="str">
        <f>IFERROR(__xludf.DUMMYFUNCTION("""COMPUTED_VALUE"""),"Software Design Patterns (GoF)")</f>
        <v>Software Design Patterns (GoF)</v>
      </c>
    </row>
    <row r="783">
      <c r="A783" s="7" t="str">
        <f>IFERROR(__xludf.DUMMYFUNCTION("""COMPUTED_VALUE"""),"R21")</f>
        <v>R21</v>
      </c>
      <c r="B783" s="7" t="str">
        <f>IFERROR(__xludf.DUMMYFUNCTION("""COMPUTED_VALUE"""),"Mobile App Developer (iOS)")</f>
        <v>Mobile App Developer (iOS)</v>
      </c>
      <c r="C783" s="7" t="str">
        <f>IFERROR(__xludf.DUMMYFUNCTION("""COMPUTED_VALUE"""),"S016")</f>
        <v>S016</v>
      </c>
      <c r="D783" s="7" t="str">
        <f>IFERROR(__xludf.DUMMYFUNCTION("""COMPUTED_VALUE"""),"SOLID Principles &amp; Clean Code")</f>
        <v>SOLID Principles &amp; Clean Code</v>
      </c>
    </row>
    <row r="784">
      <c r="A784" s="7" t="str">
        <f>IFERROR(__xludf.DUMMYFUNCTION("""COMPUTED_VALUE"""),"R21")</f>
        <v>R21</v>
      </c>
      <c r="B784" s="7" t="str">
        <f>IFERROR(__xludf.DUMMYFUNCTION("""COMPUTED_VALUE"""),"Mobile App Developer (iOS)")</f>
        <v>Mobile App Developer (iOS)</v>
      </c>
      <c r="C784" s="7" t="str">
        <f>IFERROR(__xludf.DUMMYFUNCTION("""COMPUTED_VALUE"""),"S017")</f>
        <v>S017</v>
      </c>
      <c r="D784" s="7" t="str">
        <f>IFERROR(__xludf.DUMMYFUNCTION("""COMPUTED_VALUE"""),"Git Version Control Fundamentals")</f>
        <v>Git Version Control Fundamentals</v>
      </c>
    </row>
    <row r="785">
      <c r="A785" s="7" t="str">
        <f>IFERROR(__xludf.DUMMYFUNCTION("""COMPUTED_VALUE"""),"R21")</f>
        <v>R21</v>
      </c>
      <c r="B785" s="7" t="str">
        <f>IFERROR(__xludf.DUMMYFUNCTION("""COMPUTED_VALUE"""),"Mobile App Developer (iOS)")</f>
        <v>Mobile App Developer (iOS)</v>
      </c>
      <c r="C785" s="7" t="str">
        <f>IFERROR(__xludf.DUMMYFUNCTION("""COMPUTED_VALUE"""),"S018")</f>
        <v>S018</v>
      </c>
      <c r="D785" s="7" t="str">
        <f>IFERROR(__xludf.DUMMYFUNCTION("""COMPUTED_VALUE"""),"GitHub / GitLab Workflows &amp; Pull Requests")</f>
        <v>GitHub / GitLab Workflows &amp; Pull Requests</v>
      </c>
    </row>
    <row r="786">
      <c r="A786" s="7" t="str">
        <f>IFERROR(__xludf.DUMMYFUNCTION("""COMPUTED_VALUE"""),"R21")</f>
        <v>R21</v>
      </c>
      <c r="B786" s="7" t="str">
        <f>IFERROR(__xludf.DUMMYFUNCTION("""COMPUTED_VALUE"""),"Mobile App Developer (iOS)")</f>
        <v>Mobile App Developer (iOS)</v>
      </c>
      <c r="C786" s="7" t="str">
        <f>IFERROR(__xludf.DUMMYFUNCTION("""COMPUTED_VALUE"""),"S023")</f>
        <v>S023</v>
      </c>
      <c r="D786" s="7" t="str">
        <f>IFERROR(__xludf.DUMMYFUNCTION("""COMPUTED_VALUE"""),"HTTP/HTTPS Protocols &amp; Status Codes")</f>
        <v>HTTP/HTTPS Protocols &amp; Status Codes</v>
      </c>
    </row>
    <row r="787">
      <c r="A787" s="7" t="str">
        <f>IFERROR(__xludf.DUMMYFUNCTION("""COMPUTED_VALUE"""),"R21")</f>
        <v>R21</v>
      </c>
      <c r="B787" s="7" t="str">
        <f>IFERROR(__xludf.DUMMYFUNCTION("""COMPUTED_VALUE"""),"Mobile App Developer (iOS)")</f>
        <v>Mobile App Developer (iOS)</v>
      </c>
      <c r="C787" s="7" t="str">
        <f>IFERROR(__xludf.DUMMYFUNCTION("""COMPUTED_VALUE"""),"S026")</f>
        <v>S026</v>
      </c>
      <c r="D787" s="7" t="str">
        <f>IFERROR(__xludf.DUMMYFUNCTION("""COMPUTED_VALUE"""),"Data Serialization (JSON, XML, YAML, Protobuf)")</f>
        <v>Data Serialization (JSON, XML, YAML, Protobuf)</v>
      </c>
    </row>
    <row r="788">
      <c r="A788" s="7" t="str">
        <f>IFERROR(__xludf.DUMMYFUNCTION("""COMPUTED_VALUE"""),"R21")</f>
        <v>R21</v>
      </c>
      <c r="B788" s="7" t="str">
        <f>IFERROR(__xludf.DUMMYFUNCTION("""COMPUTED_VALUE"""),"Mobile App Developer (iOS)")</f>
        <v>Mobile App Developer (iOS)</v>
      </c>
      <c r="C788" s="7" t="str">
        <f>IFERROR(__xludf.DUMMYFUNCTION("""COMPUTED_VALUE"""),"S028")</f>
        <v>S028</v>
      </c>
      <c r="D788" s="7" t="str">
        <f>IFERROR(__xludf.DUMMYFUNCTION("""COMPUTED_VALUE"""),"Technical Writing &amp; Markdown Documentation")</f>
        <v>Technical Writing &amp; Markdown Documentation</v>
      </c>
    </row>
    <row r="789">
      <c r="A789" s="7" t="str">
        <f>IFERROR(__xludf.DUMMYFUNCTION("""COMPUTED_VALUE"""),"R21")</f>
        <v>R21</v>
      </c>
      <c r="B789" s="7" t="str">
        <f>IFERROR(__xludf.DUMMYFUNCTION("""COMPUTED_VALUE"""),"Mobile App Developer (iOS)")</f>
        <v>Mobile App Developer (iOS)</v>
      </c>
      <c r="C789" s="7" t="str">
        <f>IFERROR(__xludf.DUMMYFUNCTION("""COMPUTED_VALUE"""),"S029")</f>
        <v>S029</v>
      </c>
      <c r="D789" s="7" t="str">
        <f>IFERROR(__xludf.DUMMYFUNCTION("""COMPUTED_VALUE"""),"Debugging, Profiling &amp; Root Cause Analysis")</f>
        <v>Debugging, Profiling &amp; Root Cause Analysis</v>
      </c>
    </row>
    <row r="790">
      <c r="A790" s="7" t="str">
        <f>IFERROR(__xludf.DUMMYFUNCTION("""COMPUTED_VALUE"""),"R21")</f>
        <v>R21</v>
      </c>
      <c r="B790" s="7" t="str">
        <f>IFERROR(__xludf.DUMMYFUNCTION("""COMPUTED_VALUE"""),"Mobile App Developer (iOS)")</f>
        <v>Mobile App Developer (iOS)</v>
      </c>
      <c r="C790" s="7" t="str">
        <f>IFERROR(__xludf.DUMMYFUNCTION("""COMPUTED_VALUE"""),"S061")</f>
        <v>S061</v>
      </c>
      <c r="D790" s="7" t="str">
        <f>IFERROR(__xludf.DUMMYFUNCTION("""COMPUTED_VALUE"""),"UI/UX Design Fundamentals &amp; Color Theory")</f>
        <v>UI/UX Design Fundamentals &amp; Color Theory</v>
      </c>
    </row>
    <row r="791">
      <c r="A791" s="7" t="str">
        <f>IFERROR(__xludf.DUMMYFUNCTION("""COMPUTED_VALUE"""),"R21")</f>
        <v>R21</v>
      </c>
      <c r="B791" s="7" t="str">
        <f>IFERROR(__xludf.DUMMYFUNCTION("""COMPUTED_VALUE"""),"Mobile App Developer (iOS)")</f>
        <v>Mobile App Developer (iOS)</v>
      </c>
      <c r="C791" s="7" t="str">
        <f>IFERROR(__xludf.DUMMYFUNCTION("""COMPUTED_VALUE"""),"S062")</f>
        <v>S062</v>
      </c>
      <c r="D791" s="7" t="str">
        <f>IFERROR(__xludf.DUMMYFUNCTION("""COMPUTED_VALUE"""),"Wireframing &amp; Interactive Prototyping (Figma)")</f>
        <v>Wireframing &amp; Interactive Prototyping (Figma)</v>
      </c>
    </row>
    <row r="792">
      <c r="A792" s="7" t="str">
        <f>IFERROR(__xludf.DUMMYFUNCTION("""COMPUTED_VALUE"""),"R21")</f>
        <v>R21</v>
      </c>
      <c r="B792" s="7" t="str">
        <f>IFERROR(__xludf.DUMMYFUNCTION("""COMPUTED_VALUE"""),"Mobile App Developer (iOS)")</f>
        <v>Mobile App Developer (iOS)</v>
      </c>
      <c r="C792" s="7" t="str">
        <f>IFERROR(__xludf.DUMMYFUNCTION("""COMPUTED_VALUE"""),"S086")</f>
        <v>S086</v>
      </c>
      <c r="D792" s="7" t="str">
        <f>IFERROR(__xludf.DUMMYFUNCTION("""COMPUTED_VALUE"""),"RESTful API Design &amp; OpenAPI/Swagger")</f>
        <v>RESTful API Design &amp; OpenAPI/Swagger</v>
      </c>
    </row>
    <row r="793">
      <c r="A793" s="7" t="str">
        <f>IFERROR(__xludf.DUMMYFUNCTION("""COMPUTED_VALUE"""),"R21")</f>
        <v>R21</v>
      </c>
      <c r="B793" s="7" t="str">
        <f>IFERROR(__xludf.DUMMYFUNCTION("""COMPUTED_VALUE"""),"Mobile App Developer (iOS)")</f>
        <v>Mobile App Developer (iOS)</v>
      </c>
      <c r="C793" s="7" t="str">
        <f>IFERROR(__xludf.DUMMYFUNCTION("""COMPUTED_VALUE"""),"S087")</f>
        <v>S087</v>
      </c>
      <c r="D793" s="7" t="str">
        <f>IFERROR(__xludf.DUMMYFUNCTION("""COMPUTED_VALUE"""),"GraphQL Schema &amp; Resolvers (Apollo)")</f>
        <v>GraphQL Schema &amp; Resolvers (Apollo)</v>
      </c>
    </row>
    <row r="794">
      <c r="A794" s="7" t="str">
        <f>IFERROR(__xludf.DUMMYFUNCTION("""COMPUTED_VALUE"""),"R21")</f>
        <v>R21</v>
      </c>
      <c r="B794" s="7" t="str">
        <f>IFERROR(__xludf.DUMMYFUNCTION("""COMPUTED_VALUE"""),"Mobile App Developer (iOS)")</f>
        <v>Mobile App Developer (iOS)</v>
      </c>
      <c r="C794" s="7" t="str">
        <f>IFERROR(__xludf.DUMMYFUNCTION("""COMPUTED_VALUE"""),"S089")</f>
        <v>S089</v>
      </c>
      <c r="D794" s="7" t="str">
        <f>IFERROR(__xludf.DUMMYFUNCTION("""COMPUTED_VALUE"""),"WebSockets &amp; Real-Time Communication (Socket.io)")</f>
        <v>WebSockets &amp; Real-Time Communication (Socket.io)</v>
      </c>
    </row>
    <row r="795">
      <c r="A795" s="7" t="str">
        <f>IFERROR(__xludf.DUMMYFUNCTION("""COMPUTED_VALUE"""),"R21")</f>
        <v>R21</v>
      </c>
      <c r="B795" s="7" t="str">
        <f>IFERROR(__xludf.DUMMYFUNCTION("""COMPUTED_VALUE"""),"Mobile App Developer (iOS)")</f>
        <v>Mobile App Developer (iOS)</v>
      </c>
      <c r="C795" s="7" t="str">
        <f>IFERROR(__xludf.DUMMYFUNCTION("""COMPUTED_VALUE"""),"S091")</f>
        <v>S091</v>
      </c>
      <c r="D795" s="7" t="str">
        <f>IFERROR(__xludf.DUMMYFUNCTION("""COMPUTED_VALUE"""),"Authentication &amp; Session Management (JWT, Cookies)")</f>
        <v>Authentication &amp; Session Management (JWT, Cookies)</v>
      </c>
    </row>
    <row r="796">
      <c r="A796" s="7" t="str">
        <f>IFERROR(__xludf.DUMMYFUNCTION("""COMPUTED_VALUE"""),"R21")</f>
        <v>R21</v>
      </c>
      <c r="B796" s="7" t="str">
        <f>IFERROR(__xludf.DUMMYFUNCTION("""COMPUTED_VALUE"""),"Mobile App Developer (iOS)")</f>
        <v>Mobile App Developer (iOS)</v>
      </c>
      <c r="C796" s="7" t="str">
        <f>IFERROR(__xludf.DUMMYFUNCTION("""COMPUTED_VALUE"""),"S092")</f>
        <v>S092</v>
      </c>
      <c r="D796" s="7" t="str">
        <f>IFERROR(__xludf.DUMMYFUNCTION("""COMPUTED_VALUE"""),"OAuth 2.0, OpenID Connect (OIDC) &amp; SSO")</f>
        <v>OAuth 2.0, OpenID Connect (OIDC) &amp; SSO</v>
      </c>
    </row>
    <row r="797">
      <c r="A797" s="7" t="str">
        <f>IFERROR(__xludf.DUMMYFUNCTION("""COMPUTED_VALUE"""),"R21")</f>
        <v>R21</v>
      </c>
      <c r="B797" s="7" t="str">
        <f>IFERROR(__xludf.DUMMYFUNCTION("""COMPUTED_VALUE"""),"Mobile App Developer (iOS)")</f>
        <v>Mobile App Developer (iOS)</v>
      </c>
      <c r="C797" s="7" t="str">
        <f>IFERROR(__xludf.DUMMYFUNCTION("""COMPUTED_VALUE"""),"S113")</f>
        <v>S113</v>
      </c>
      <c r="D797" s="7" t="str">
        <f>IFERROR(__xludf.DUMMYFUNCTION("""COMPUTED_VALUE"""),"SQLite Embedded Databases")</f>
        <v>SQLite Embedded Databases</v>
      </c>
    </row>
    <row r="798">
      <c r="A798" s="7" t="str">
        <f>IFERROR(__xludf.DUMMYFUNCTION("""COMPUTED_VALUE"""),"R21")</f>
        <v>R21</v>
      </c>
      <c r="B798" s="7" t="str">
        <f>IFERROR(__xludf.DUMMYFUNCTION("""COMPUTED_VALUE"""),"Mobile App Developer (iOS)")</f>
        <v>Mobile App Developer (iOS)</v>
      </c>
      <c r="C798" s="7" t="str">
        <f>IFERROR(__xludf.DUMMYFUNCTION("""COMPUTED_VALUE"""),"S122")</f>
        <v>S122</v>
      </c>
      <c r="D798" s="7" t="str">
        <f>IFERROR(__xludf.DUMMYFUNCTION("""COMPUTED_VALUE"""),"Cloud NoSQL Databases (AWS DynamoDB, Firestore)")</f>
        <v>Cloud NoSQL Databases (AWS DynamoDB, Firestore)</v>
      </c>
    </row>
    <row r="799">
      <c r="A799" s="7" t="str">
        <f>IFERROR(__xludf.DUMMYFUNCTION("""COMPUTED_VALUE"""),"R21")</f>
        <v>R21</v>
      </c>
      <c r="B799" s="7" t="str">
        <f>IFERROR(__xludf.DUMMYFUNCTION("""COMPUTED_VALUE"""),"Mobile App Developer (iOS)")</f>
        <v>Mobile App Developer (iOS)</v>
      </c>
      <c r="C799" s="7" t="str">
        <f>IFERROR(__xludf.DUMMYFUNCTION("""COMPUTED_VALUE"""),"S180")</f>
        <v>S180</v>
      </c>
      <c r="D799" s="7" t="str">
        <f>IFERROR(__xludf.DUMMYFUNCTION("""COMPUTED_VALUE"""),"CI/CD Pipelines with GitHub Actions")</f>
        <v>CI/CD Pipelines with GitHub Actions</v>
      </c>
    </row>
    <row r="800">
      <c r="A800" s="7" t="str">
        <f>IFERROR(__xludf.DUMMYFUNCTION("""COMPUTED_VALUE"""),"R21")</f>
        <v>R21</v>
      </c>
      <c r="B800" s="7" t="str">
        <f>IFERROR(__xludf.DUMMYFUNCTION("""COMPUTED_VALUE"""),"Mobile App Developer (iOS)")</f>
        <v>Mobile App Developer (iOS)</v>
      </c>
      <c r="C800" s="7" t="str">
        <f>IFERROR(__xludf.DUMMYFUNCTION("""COMPUTED_VALUE"""),"S221")</f>
        <v>S221</v>
      </c>
      <c r="D800" s="7" t="str">
        <f>IFERROR(__xludf.DUMMYFUNCTION("""COMPUTED_VALUE"""),"iOS Application Development (Swift &amp; UIKit)")</f>
        <v>iOS Application Development (Swift &amp; UIKit)</v>
      </c>
    </row>
    <row r="801">
      <c r="A801" s="7" t="str">
        <f>IFERROR(__xludf.DUMMYFUNCTION("""COMPUTED_VALUE"""),"R21")</f>
        <v>R21</v>
      </c>
      <c r="B801" s="7" t="str">
        <f>IFERROR(__xludf.DUMMYFUNCTION("""COMPUTED_VALUE"""),"Mobile App Developer (iOS)")</f>
        <v>Mobile App Developer (iOS)</v>
      </c>
      <c r="C801" s="7" t="str">
        <f>IFERROR(__xludf.DUMMYFUNCTION("""COMPUTED_VALUE"""),"S222")</f>
        <v>S222</v>
      </c>
      <c r="D801" s="7" t="str">
        <f>IFERROR(__xludf.DUMMYFUNCTION("""COMPUTED_VALUE"""),"Declarative iOS UI with SwiftUI")</f>
        <v>Declarative iOS UI with SwiftUI</v>
      </c>
    </row>
    <row r="802">
      <c r="A802" s="7" t="str">
        <f>IFERROR(__xludf.DUMMYFUNCTION("""COMPUTED_VALUE"""),"R21")</f>
        <v>R21</v>
      </c>
      <c r="B802" s="7" t="str">
        <f>IFERROR(__xludf.DUMMYFUNCTION("""COMPUTED_VALUE"""),"Mobile App Developer (iOS)")</f>
        <v>Mobile App Developer (iOS)</v>
      </c>
      <c r="C802" s="7" t="str">
        <f>IFERROR(__xludf.DUMMYFUNCTION("""COMPUTED_VALUE"""),"S225")</f>
        <v>S225</v>
      </c>
      <c r="D802" s="7" t="str">
        <f>IFERROR(__xludf.DUMMYFUNCTION("""COMPUTED_VALUE"""),"Cross-Platform Mobile Development (Flutter &amp; Dart)")</f>
        <v>Cross-Platform Mobile Development (Flutter &amp; Dart)</v>
      </c>
    </row>
    <row r="803">
      <c r="A803" s="7" t="str">
        <f>IFERROR(__xludf.DUMMYFUNCTION("""COMPUTED_VALUE"""),"R21")</f>
        <v>R21</v>
      </c>
      <c r="B803" s="7" t="str">
        <f>IFERROR(__xludf.DUMMYFUNCTION("""COMPUTED_VALUE"""),"Mobile App Developer (iOS)")</f>
        <v>Mobile App Developer (iOS)</v>
      </c>
      <c r="C803" s="7" t="str">
        <f>IFERROR(__xludf.DUMMYFUNCTION("""COMPUTED_VALUE"""),"S226")</f>
        <v>S226</v>
      </c>
      <c r="D803" s="7" t="str">
        <f>IFERROR(__xludf.DUMMYFUNCTION("""COMPUTED_VALUE"""),"Cross-Platform Mobile Development (React Native)")</f>
        <v>Cross-Platform Mobile Development (React Native)</v>
      </c>
    </row>
    <row r="804">
      <c r="A804" s="7" t="str">
        <f>IFERROR(__xludf.DUMMYFUNCTION("""COMPUTED_VALUE"""),"R21")</f>
        <v>R21</v>
      </c>
      <c r="B804" s="7" t="str">
        <f>IFERROR(__xludf.DUMMYFUNCTION("""COMPUTED_VALUE"""),"Mobile App Developer (iOS)")</f>
        <v>Mobile App Developer (iOS)</v>
      </c>
      <c r="C804" s="7" t="str">
        <f>IFERROR(__xludf.DUMMYFUNCTION("""COMPUTED_VALUE"""),"S227")</f>
        <v>S227</v>
      </c>
      <c r="D804" s="7" t="str">
        <f>IFERROR(__xludf.DUMMYFUNCTION("""COMPUTED_VALUE"""),"Mobile App Store Deployment, Signing &amp; Profiling")</f>
        <v>Mobile App Store Deployment, Signing &amp; Profiling</v>
      </c>
    </row>
    <row r="805">
      <c r="A805" s="7" t="str">
        <f>IFERROR(__xludf.DUMMYFUNCTION("""COMPUTED_VALUE"""),"R21")</f>
        <v>R21</v>
      </c>
      <c r="B805" s="7" t="str">
        <f>IFERROR(__xludf.DUMMYFUNCTION("""COMPUTED_VALUE"""),"Mobile App Developer (iOS)")</f>
        <v>Mobile App Developer (iOS)</v>
      </c>
      <c r="C805" s="7" t="str">
        <f>IFERROR(__xludf.DUMMYFUNCTION("""COMPUTED_VALUE"""),"S246")</f>
        <v>S246</v>
      </c>
      <c r="D805" s="7" t="str">
        <f>IFERROR(__xludf.DUMMYFUNCTION("""COMPUTED_VALUE"""),"Agile Methodologies, Scrum Framework &amp; Kanban")</f>
        <v>Agile Methodologies, Scrum Framework &amp; Kanban</v>
      </c>
    </row>
    <row r="806">
      <c r="A806" s="7" t="str">
        <f>IFERROR(__xludf.DUMMYFUNCTION("""COMPUTED_VALUE"""),"R21")</f>
        <v>R21</v>
      </c>
      <c r="B806" s="7" t="str">
        <f>IFERROR(__xludf.DUMMYFUNCTION("""COMPUTED_VALUE"""),"Mobile App Developer (iOS)")</f>
        <v>Mobile App Developer (iOS)</v>
      </c>
      <c r="C806" s="7" t="str">
        <f>IFERROR(__xludf.DUMMYFUNCTION("""COMPUTED_VALUE"""),"S247")</f>
        <v>S247</v>
      </c>
      <c r="D806" s="7" t="str">
        <f>IFERROR(__xludf.DUMMYFUNCTION("""COMPUTED_VALUE"""),"Project Tracking &amp; Documentation Tools (Jira, Confluence, Linear)")</f>
        <v>Project Tracking &amp; Documentation Tools (Jira, Confluence, Linear)</v>
      </c>
    </row>
    <row r="807">
      <c r="A807" s="7" t="str">
        <f>IFERROR(__xludf.DUMMYFUNCTION("""COMPUTED_VALUE"""),"R22")</f>
        <v>R22</v>
      </c>
      <c r="B807" s="7" t="str">
        <f>IFERROR(__xludf.DUMMYFUNCTION("""COMPUTED_VALUE"""),"Mobile App Developer (Android)")</f>
        <v>Mobile App Developer (Android)</v>
      </c>
      <c r="C807" s="7" t="str">
        <f>IFERROR(__xludf.DUMMYFUNCTION("""COMPUTED_VALUE"""),"S006")</f>
        <v>S006</v>
      </c>
      <c r="D807" s="7" t="str">
        <f>IFERROR(__xludf.DUMMYFUNCTION("""COMPUTED_VALUE"""),"Basic Data Structures (Arrays, Lists, Stacks, Queues)")</f>
        <v>Basic Data Structures (Arrays, Lists, Stacks, Queues)</v>
      </c>
    </row>
    <row r="808">
      <c r="A808" s="7" t="str">
        <f>IFERROR(__xludf.DUMMYFUNCTION("""COMPUTED_VALUE"""),"R22")</f>
        <v>R22</v>
      </c>
      <c r="B808" s="7" t="str">
        <f>IFERROR(__xludf.DUMMYFUNCTION("""COMPUTED_VALUE"""),"Mobile App Developer (Android)")</f>
        <v>Mobile App Developer (Android)</v>
      </c>
      <c r="C808" s="7" t="str">
        <f>IFERROR(__xludf.DUMMYFUNCTION("""COMPUTED_VALUE"""),"S010")</f>
        <v>S010</v>
      </c>
      <c r="D808" s="7" t="str">
        <f>IFERROR(__xludf.DUMMYFUNCTION("""COMPUTED_VALUE"""),"Sorting &amp; Searching Algorithms")</f>
        <v>Sorting &amp; Searching Algorithms</v>
      </c>
    </row>
    <row r="809">
      <c r="A809" s="7" t="str">
        <f>IFERROR(__xludf.DUMMYFUNCTION("""COMPUTED_VALUE"""),"R22")</f>
        <v>R22</v>
      </c>
      <c r="B809" s="7" t="str">
        <f>IFERROR(__xludf.DUMMYFUNCTION("""COMPUTED_VALUE"""),"Mobile App Developer (Android)")</f>
        <v>Mobile App Developer (Android)</v>
      </c>
      <c r="C809" s="7" t="str">
        <f>IFERROR(__xludf.DUMMYFUNCTION("""COMPUTED_VALUE"""),"S012")</f>
        <v>S012</v>
      </c>
      <c r="D809" s="7" t="str">
        <f>IFERROR(__xludf.DUMMYFUNCTION("""COMPUTED_VALUE"""),"Time &amp; Space Complexity (Big-O Analysis)")</f>
        <v>Time &amp; Space Complexity (Big-O Analysis)</v>
      </c>
    </row>
    <row r="810">
      <c r="A810" s="7" t="str">
        <f>IFERROR(__xludf.DUMMYFUNCTION("""COMPUTED_VALUE"""),"R22")</f>
        <v>R22</v>
      </c>
      <c r="B810" s="7" t="str">
        <f>IFERROR(__xludf.DUMMYFUNCTION("""COMPUTED_VALUE"""),"Mobile App Developer (Android)")</f>
        <v>Mobile App Developer (Android)</v>
      </c>
      <c r="C810" s="7" t="str">
        <f>IFERROR(__xludf.DUMMYFUNCTION("""COMPUTED_VALUE"""),"S013")</f>
        <v>S013</v>
      </c>
      <c r="D810" s="7" t="str">
        <f>IFERROR(__xludf.DUMMYFUNCTION("""COMPUTED_VALUE"""),"Object-Oriented Programming (OOP)")</f>
        <v>Object-Oriented Programming (OOP)</v>
      </c>
    </row>
    <row r="811">
      <c r="A811" s="7" t="str">
        <f>IFERROR(__xludf.DUMMYFUNCTION("""COMPUTED_VALUE"""),"R22")</f>
        <v>R22</v>
      </c>
      <c r="B811" s="7" t="str">
        <f>IFERROR(__xludf.DUMMYFUNCTION("""COMPUTED_VALUE"""),"Mobile App Developer (Android)")</f>
        <v>Mobile App Developer (Android)</v>
      </c>
      <c r="C811" s="7" t="str">
        <f>IFERROR(__xludf.DUMMYFUNCTION("""COMPUTED_VALUE"""),"S014")</f>
        <v>S014</v>
      </c>
      <c r="D811" s="7" t="str">
        <f>IFERROR(__xludf.DUMMYFUNCTION("""COMPUTED_VALUE"""),"Functional Programming Concepts")</f>
        <v>Functional Programming Concepts</v>
      </c>
    </row>
    <row r="812">
      <c r="A812" s="7" t="str">
        <f>IFERROR(__xludf.DUMMYFUNCTION("""COMPUTED_VALUE"""),"R22")</f>
        <v>R22</v>
      </c>
      <c r="B812" s="7" t="str">
        <f>IFERROR(__xludf.DUMMYFUNCTION("""COMPUTED_VALUE"""),"Mobile App Developer (Android)")</f>
        <v>Mobile App Developer (Android)</v>
      </c>
      <c r="C812" s="7" t="str">
        <f>IFERROR(__xludf.DUMMYFUNCTION("""COMPUTED_VALUE"""),"S015")</f>
        <v>S015</v>
      </c>
      <c r="D812" s="7" t="str">
        <f>IFERROR(__xludf.DUMMYFUNCTION("""COMPUTED_VALUE"""),"Software Design Patterns (GoF)")</f>
        <v>Software Design Patterns (GoF)</v>
      </c>
    </row>
    <row r="813">
      <c r="A813" s="7" t="str">
        <f>IFERROR(__xludf.DUMMYFUNCTION("""COMPUTED_VALUE"""),"R22")</f>
        <v>R22</v>
      </c>
      <c r="B813" s="7" t="str">
        <f>IFERROR(__xludf.DUMMYFUNCTION("""COMPUTED_VALUE"""),"Mobile App Developer (Android)")</f>
        <v>Mobile App Developer (Android)</v>
      </c>
      <c r="C813" s="7" t="str">
        <f>IFERROR(__xludf.DUMMYFUNCTION("""COMPUTED_VALUE"""),"S016")</f>
        <v>S016</v>
      </c>
      <c r="D813" s="7" t="str">
        <f>IFERROR(__xludf.DUMMYFUNCTION("""COMPUTED_VALUE"""),"SOLID Principles &amp; Clean Code")</f>
        <v>SOLID Principles &amp; Clean Code</v>
      </c>
    </row>
    <row r="814">
      <c r="A814" s="7" t="str">
        <f>IFERROR(__xludf.DUMMYFUNCTION("""COMPUTED_VALUE"""),"R22")</f>
        <v>R22</v>
      </c>
      <c r="B814" s="7" t="str">
        <f>IFERROR(__xludf.DUMMYFUNCTION("""COMPUTED_VALUE"""),"Mobile App Developer (Android)")</f>
        <v>Mobile App Developer (Android)</v>
      </c>
      <c r="C814" s="7" t="str">
        <f>IFERROR(__xludf.DUMMYFUNCTION("""COMPUTED_VALUE"""),"S017")</f>
        <v>S017</v>
      </c>
      <c r="D814" s="7" t="str">
        <f>IFERROR(__xludf.DUMMYFUNCTION("""COMPUTED_VALUE"""),"Git Version Control Fundamentals")</f>
        <v>Git Version Control Fundamentals</v>
      </c>
    </row>
    <row r="815">
      <c r="A815" s="7" t="str">
        <f>IFERROR(__xludf.DUMMYFUNCTION("""COMPUTED_VALUE"""),"R22")</f>
        <v>R22</v>
      </c>
      <c r="B815" s="7" t="str">
        <f>IFERROR(__xludf.DUMMYFUNCTION("""COMPUTED_VALUE"""),"Mobile App Developer (Android)")</f>
        <v>Mobile App Developer (Android)</v>
      </c>
      <c r="C815" s="7" t="str">
        <f>IFERROR(__xludf.DUMMYFUNCTION("""COMPUTED_VALUE"""),"S018")</f>
        <v>S018</v>
      </c>
      <c r="D815" s="7" t="str">
        <f>IFERROR(__xludf.DUMMYFUNCTION("""COMPUTED_VALUE"""),"GitHub / GitLab Workflows &amp; Pull Requests")</f>
        <v>GitHub / GitLab Workflows &amp; Pull Requests</v>
      </c>
    </row>
    <row r="816">
      <c r="A816" s="7" t="str">
        <f>IFERROR(__xludf.DUMMYFUNCTION("""COMPUTED_VALUE"""),"R22")</f>
        <v>R22</v>
      </c>
      <c r="B816" s="7" t="str">
        <f>IFERROR(__xludf.DUMMYFUNCTION("""COMPUTED_VALUE"""),"Mobile App Developer (Android)")</f>
        <v>Mobile App Developer (Android)</v>
      </c>
      <c r="C816" s="7" t="str">
        <f>IFERROR(__xludf.DUMMYFUNCTION("""COMPUTED_VALUE"""),"S023")</f>
        <v>S023</v>
      </c>
      <c r="D816" s="7" t="str">
        <f>IFERROR(__xludf.DUMMYFUNCTION("""COMPUTED_VALUE"""),"HTTP/HTTPS Protocols &amp; Status Codes")</f>
        <v>HTTP/HTTPS Protocols &amp; Status Codes</v>
      </c>
    </row>
    <row r="817">
      <c r="A817" s="7" t="str">
        <f>IFERROR(__xludf.DUMMYFUNCTION("""COMPUTED_VALUE"""),"R22")</f>
        <v>R22</v>
      </c>
      <c r="B817" s="7" t="str">
        <f>IFERROR(__xludf.DUMMYFUNCTION("""COMPUTED_VALUE"""),"Mobile App Developer (Android)")</f>
        <v>Mobile App Developer (Android)</v>
      </c>
      <c r="C817" s="7" t="str">
        <f>IFERROR(__xludf.DUMMYFUNCTION("""COMPUTED_VALUE"""),"S026")</f>
        <v>S026</v>
      </c>
      <c r="D817" s="7" t="str">
        <f>IFERROR(__xludf.DUMMYFUNCTION("""COMPUTED_VALUE"""),"Data Serialization (JSON, XML, YAML, Protobuf)")</f>
        <v>Data Serialization (JSON, XML, YAML, Protobuf)</v>
      </c>
    </row>
    <row r="818">
      <c r="A818" s="7" t="str">
        <f>IFERROR(__xludf.DUMMYFUNCTION("""COMPUTED_VALUE"""),"R22")</f>
        <v>R22</v>
      </c>
      <c r="B818" s="7" t="str">
        <f>IFERROR(__xludf.DUMMYFUNCTION("""COMPUTED_VALUE"""),"Mobile App Developer (Android)")</f>
        <v>Mobile App Developer (Android)</v>
      </c>
      <c r="C818" s="7" t="str">
        <f>IFERROR(__xludf.DUMMYFUNCTION("""COMPUTED_VALUE"""),"S028")</f>
        <v>S028</v>
      </c>
      <c r="D818" s="7" t="str">
        <f>IFERROR(__xludf.DUMMYFUNCTION("""COMPUTED_VALUE"""),"Technical Writing &amp; Markdown Documentation")</f>
        <v>Technical Writing &amp; Markdown Documentation</v>
      </c>
    </row>
    <row r="819">
      <c r="A819" s="7" t="str">
        <f>IFERROR(__xludf.DUMMYFUNCTION("""COMPUTED_VALUE"""),"R22")</f>
        <v>R22</v>
      </c>
      <c r="B819" s="7" t="str">
        <f>IFERROR(__xludf.DUMMYFUNCTION("""COMPUTED_VALUE"""),"Mobile App Developer (Android)")</f>
        <v>Mobile App Developer (Android)</v>
      </c>
      <c r="C819" s="7" t="str">
        <f>IFERROR(__xludf.DUMMYFUNCTION("""COMPUTED_VALUE"""),"S029")</f>
        <v>S029</v>
      </c>
      <c r="D819" s="7" t="str">
        <f>IFERROR(__xludf.DUMMYFUNCTION("""COMPUTED_VALUE"""),"Debugging, Profiling &amp; Root Cause Analysis")</f>
        <v>Debugging, Profiling &amp; Root Cause Analysis</v>
      </c>
    </row>
    <row r="820">
      <c r="A820" s="7" t="str">
        <f>IFERROR(__xludf.DUMMYFUNCTION("""COMPUTED_VALUE"""),"R22")</f>
        <v>R22</v>
      </c>
      <c r="B820" s="7" t="str">
        <f>IFERROR(__xludf.DUMMYFUNCTION("""COMPUTED_VALUE"""),"Mobile App Developer (Android)")</f>
        <v>Mobile App Developer (Android)</v>
      </c>
      <c r="C820" s="7" t="str">
        <f>IFERROR(__xludf.DUMMYFUNCTION("""COMPUTED_VALUE"""),"S061")</f>
        <v>S061</v>
      </c>
      <c r="D820" s="7" t="str">
        <f>IFERROR(__xludf.DUMMYFUNCTION("""COMPUTED_VALUE"""),"UI/UX Design Fundamentals &amp; Color Theory")</f>
        <v>UI/UX Design Fundamentals &amp; Color Theory</v>
      </c>
    </row>
    <row r="821">
      <c r="A821" s="7" t="str">
        <f>IFERROR(__xludf.DUMMYFUNCTION("""COMPUTED_VALUE"""),"R22")</f>
        <v>R22</v>
      </c>
      <c r="B821" s="7" t="str">
        <f>IFERROR(__xludf.DUMMYFUNCTION("""COMPUTED_VALUE"""),"Mobile App Developer (Android)")</f>
        <v>Mobile App Developer (Android)</v>
      </c>
      <c r="C821" s="7" t="str">
        <f>IFERROR(__xludf.DUMMYFUNCTION("""COMPUTED_VALUE"""),"S062")</f>
        <v>S062</v>
      </c>
      <c r="D821" s="7" t="str">
        <f>IFERROR(__xludf.DUMMYFUNCTION("""COMPUTED_VALUE"""),"Wireframing &amp; Interactive Prototyping (Figma)")</f>
        <v>Wireframing &amp; Interactive Prototyping (Figma)</v>
      </c>
    </row>
    <row r="822">
      <c r="A822" s="7" t="str">
        <f>IFERROR(__xludf.DUMMYFUNCTION("""COMPUTED_VALUE"""),"R22")</f>
        <v>R22</v>
      </c>
      <c r="B822" s="7" t="str">
        <f>IFERROR(__xludf.DUMMYFUNCTION("""COMPUTED_VALUE"""),"Mobile App Developer (Android)")</f>
        <v>Mobile App Developer (Android)</v>
      </c>
      <c r="C822" s="7" t="str">
        <f>IFERROR(__xludf.DUMMYFUNCTION("""COMPUTED_VALUE"""),"S066")</f>
        <v>S066</v>
      </c>
      <c r="D822" s="7" t="str">
        <f>IFERROR(__xludf.DUMMYFUNCTION("""COMPUTED_VALUE"""),"Java Programming &amp; JVM Internals")</f>
        <v>Java Programming &amp; JVM Internals</v>
      </c>
    </row>
    <row r="823">
      <c r="A823" s="7" t="str">
        <f>IFERROR(__xludf.DUMMYFUNCTION("""COMPUTED_VALUE"""),"R22")</f>
        <v>R22</v>
      </c>
      <c r="B823" s="7" t="str">
        <f>IFERROR(__xludf.DUMMYFUNCTION("""COMPUTED_VALUE"""),"Mobile App Developer (Android)")</f>
        <v>Mobile App Developer (Android)</v>
      </c>
      <c r="C823" s="7" t="str">
        <f>IFERROR(__xludf.DUMMYFUNCTION("""COMPUTED_VALUE"""),"S086")</f>
        <v>S086</v>
      </c>
      <c r="D823" s="7" t="str">
        <f>IFERROR(__xludf.DUMMYFUNCTION("""COMPUTED_VALUE"""),"RESTful API Design &amp; OpenAPI/Swagger")</f>
        <v>RESTful API Design &amp; OpenAPI/Swagger</v>
      </c>
    </row>
    <row r="824">
      <c r="A824" s="7" t="str">
        <f>IFERROR(__xludf.DUMMYFUNCTION("""COMPUTED_VALUE"""),"R22")</f>
        <v>R22</v>
      </c>
      <c r="B824" s="7" t="str">
        <f>IFERROR(__xludf.DUMMYFUNCTION("""COMPUTED_VALUE"""),"Mobile App Developer (Android)")</f>
        <v>Mobile App Developer (Android)</v>
      </c>
      <c r="C824" s="7" t="str">
        <f>IFERROR(__xludf.DUMMYFUNCTION("""COMPUTED_VALUE"""),"S087")</f>
        <v>S087</v>
      </c>
      <c r="D824" s="7" t="str">
        <f>IFERROR(__xludf.DUMMYFUNCTION("""COMPUTED_VALUE"""),"GraphQL Schema &amp; Resolvers (Apollo)")</f>
        <v>GraphQL Schema &amp; Resolvers (Apollo)</v>
      </c>
    </row>
    <row r="825">
      <c r="A825" s="7" t="str">
        <f>IFERROR(__xludf.DUMMYFUNCTION("""COMPUTED_VALUE"""),"R22")</f>
        <v>R22</v>
      </c>
      <c r="B825" s="7" t="str">
        <f>IFERROR(__xludf.DUMMYFUNCTION("""COMPUTED_VALUE"""),"Mobile App Developer (Android)")</f>
        <v>Mobile App Developer (Android)</v>
      </c>
      <c r="C825" s="7" t="str">
        <f>IFERROR(__xludf.DUMMYFUNCTION("""COMPUTED_VALUE"""),"S089")</f>
        <v>S089</v>
      </c>
      <c r="D825" s="7" t="str">
        <f>IFERROR(__xludf.DUMMYFUNCTION("""COMPUTED_VALUE"""),"WebSockets &amp; Real-Time Communication (Socket.io)")</f>
        <v>WebSockets &amp; Real-Time Communication (Socket.io)</v>
      </c>
    </row>
    <row r="826">
      <c r="A826" s="7" t="str">
        <f>IFERROR(__xludf.DUMMYFUNCTION("""COMPUTED_VALUE"""),"R22")</f>
        <v>R22</v>
      </c>
      <c r="B826" s="7" t="str">
        <f>IFERROR(__xludf.DUMMYFUNCTION("""COMPUTED_VALUE"""),"Mobile App Developer (Android)")</f>
        <v>Mobile App Developer (Android)</v>
      </c>
      <c r="C826" s="7" t="str">
        <f>IFERROR(__xludf.DUMMYFUNCTION("""COMPUTED_VALUE"""),"S091")</f>
        <v>S091</v>
      </c>
      <c r="D826" s="7" t="str">
        <f>IFERROR(__xludf.DUMMYFUNCTION("""COMPUTED_VALUE"""),"Authentication &amp; Session Management (JWT, Cookies)")</f>
        <v>Authentication &amp; Session Management (JWT, Cookies)</v>
      </c>
    </row>
    <row r="827">
      <c r="A827" s="7" t="str">
        <f>IFERROR(__xludf.DUMMYFUNCTION("""COMPUTED_VALUE"""),"R22")</f>
        <v>R22</v>
      </c>
      <c r="B827" s="7" t="str">
        <f>IFERROR(__xludf.DUMMYFUNCTION("""COMPUTED_VALUE"""),"Mobile App Developer (Android)")</f>
        <v>Mobile App Developer (Android)</v>
      </c>
      <c r="C827" s="7" t="str">
        <f>IFERROR(__xludf.DUMMYFUNCTION("""COMPUTED_VALUE"""),"S092")</f>
        <v>S092</v>
      </c>
      <c r="D827" s="7" t="str">
        <f>IFERROR(__xludf.DUMMYFUNCTION("""COMPUTED_VALUE"""),"OAuth 2.0, OpenID Connect (OIDC) &amp; SSO")</f>
        <v>OAuth 2.0, OpenID Connect (OIDC) &amp; SSO</v>
      </c>
    </row>
    <row r="828">
      <c r="A828" s="7" t="str">
        <f>IFERROR(__xludf.DUMMYFUNCTION("""COMPUTED_VALUE"""),"R22")</f>
        <v>R22</v>
      </c>
      <c r="B828" s="7" t="str">
        <f>IFERROR(__xludf.DUMMYFUNCTION("""COMPUTED_VALUE"""),"Mobile App Developer (Android)")</f>
        <v>Mobile App Developer (Android)</v>
      </c>
      <c r="C828" s="7" t="str">
        <f>IFERROR(__xludf.DUMMYFUNCTION("""COMPUTED_VALUE"""),"S113")</f>
        <v>S113</v>
      </c>
      <c r="D828" s="7" t="str">
        <f>IFERROR(__xludf.DUMMYFUNCTION("""COMPUTED_VALUE"""),"SQLite Embedded Databases")</f>
        <v>SQLite Embedded Databases</v>
      </c>
    </row>
    <row r="829">
      <c r="A829" s="7" t="str">
        <f>IFERROR(__xludf.DUMMYFUNCTION("""COMPUTED_VALUE"""),"R22")</f>
        <v>R22</v>
      </c>
      <c r="B829" s="7" t="str">
        <f>IFERROR(__xludf.DUMMYFUNCTION("""COMPUTED_VALUE"""),"Mobile App Developer (Android)")</f>
        <v>Mobile App Developer (Android)</v>
      </c>
      <c r="C829" s="7" t="str">
        <f>IFERROR(__xludf.DUMMYFUNCTION("""COMPUTED_VALUE"""),"S122")</f>
        <v>S122</v>
      </c>
      <c r="D829" s="7" t="str">
        <f>IFERROR(__xludf.DUMMYFUNCTION("""COMPUTED_VALUE"""),"Cloud NoSQL Databases (AWS DynamoDB, Firestore)")</f>
        <v>Cloud NoSQL Databases (AWS DynamoDB, Firestore)</v>
      </c>
    </row>
    <row r="830">
      <c r="A830" s="7" t="str">
        <f>IFERROR(__xludf.DUMMYFUNCTION("""COMPUTED_VALUE"""),"R22")</f>
        <v>R22</v>
      </c>
      <c r="B830" s="7" t="str">
        <f>IFERROR(__xludf.DUMMYFUNCTION("""COMPUTED_VALUE"""),"Mobile App Developer (Android)")</f>
        <v>Mobile App Developer (Android)</v>
      </c>
      <c r="C830" s="7" t="str">
        <f>IFERROR(__xludf.DUMMYFUNCTION("""COMPUTED_VALUE"""),"S180")</f>
        <v>S180</v>
      </c>
      <c r="D830" s="7" t="str">
        <f>IFERROR(__xludf.DUMMYFUNCTION("""COMPUTED_VALUE"""),"CI/CD Pipelines with GitHub Actions")</f>
        <v>CI/CD Pipelines with GitHub Actions</v>
      </c>
    </row>
    <row r="831">
      <c r="A831" s="7" t="str">
        <f>IFERROR(__xludf.DUMMYFUNCTION("""COMPUTED_VALUE"""),"R22")</f>
        <v>R22</v>
      </c>
      <c r="B831" s="7" t="str">
        <f>IFERROR(__xludf.DUMMYFUNCTION("""COMPUTED_VALUE"""),"Mobile App Developer (Android)")</f>
        <v>Mobile App Developer (Android)</v>
      </c>
      <c r="C831" s="7" t="str">
        <f>IFERROR(__xludf.DUMMYFUNCTION("""COMPUTED_VALUE"""),"S223")</f>
        <v>S223</v>
      </c>
      <c r="D831" s="7" t="str">
        <f>IFERROR(__xludf.DUMMYFUNCTION("""COMPUTED_VALUE"""),"Android Application Development (Kotlin &amp; Android SDK)")</f>
        <v>Android Application Development (Kotlin &amp; Android SDK)</v>
      </c>
    </row>
    <row r="832">
      <c r="A832" s="7" t="str">
        <f>IFERROR(__xludf.DUMMYFUNCTION("""COMPUTED_VALUE"""),"R22")</f>
        <v>R22</v>
      </c>
      <c r="B832" s="7" t="str">
        <f>IFERROR(__xludf.DUMMYFUNCTION("""COMPUTED_VALUE"""),"Mobile App Developer (Android)")</f>
        <v>Mobile App Developer (Android)</v>
      </c>
      <c r="C832" s="7" t="str">
        <f>IFERROR(__xludf.DUMMYFUNCTION("""COMPUTED_VALUE"""),"S224")</f>
        <v>S224</v>
      </c>
      <c r="D832" s="7" t="str">
        <f>IFERROR(__xludf.DUMMYFUNCTION("""COMPUTED_VALUE"""),"Modern Android UI with Jetpack Compose")</f>
        <v>Modern Android UI with Jetpack Compose</v>
      </c>
    </row>
    <row r="833">
      <c r="A833" s="7" t="str">
        <f>IFERROR(__xludf.DUMMYFUNCTION("""COMPUTED_VALUE"""),"R22")</f>
        <v>R22</v>
      </c>
      <c r="B833" s="7" t="str">
        <f>IFERROR(__xludf.DUMMYFUNCTION("""COMPUTED_VALUE"""),"Mobile App Developer (Android)")</f>
        <v>Mobile App Developer (Android)</v>
      </c>
      <c r="C833" s="7" t="str">
        <f>IFERROR(__xludf.DUMMYFUNCTION("""COMPUTED_VALUE"""),"S225")</f>
        <v>S225</v>
      </c>
      <c r="D833" s="7" t="str">
        <f>IFERROR(__xludf.DUMMYFUNCTION("""COMPUTED_VALUE"""),"Cross-Platform Mobile Development (Flutter &amp; Dart)")</f>
        <v>Cross-Platform Mobile Development (Flutter &amp; Dart)</v>
      </c>
    </row>
    <row r="834">
      <c r="A834" s="7" t="str">
        <f>IFERROR(__xludf.DUMMYFUNCTION("""COMPUTED_VALUE"""),"R22")</f>
        <v>R22</v>
      </c>
      <c r="B834" s="7" t="str">
        <f>IFERROR(__xludf.DUMMYFUNCTION("""COMPUTED_VALUE"""),"Mobile App Developer (Android)")</f>
        <v>Mobile App Developer (Android)</v>
      </c>
      <c r="C834" s="7" t="str">
        <f>IFERROR(__xludf.DUMMYFUNCTION("""COMPUTED_VALUE"""),"S226")</f>
        <v>S226</v>
      </c>
      <c r="D834" s="7" t="str">
        <f>IFERROR(__xludf.DUMMYFUNCTION("""COMPUTED_VALUE"""),"Cross-Platform Mobile Development (React Native)")</f>
        <v>Cross-Platform Mobile Development (React Native)</v>
      </c>
    </row>
    <row r="835">
      <c r="A835" s="7" t="str">
        <f>IFERROR(__xludf.DUMMYFUNCTION("""COMPUTED_VALUE"""),"R22")</f>
        <v>R22</v>
      </c>
      <c r="B835" s="7" t="str">
        <f>IFERROR(__xludf.DUMMYFUNCTION("""COMPUTED_VALUE"""),"Mobile App Developer (Android)")</f>
        <v>Mobile App Developer (Android)</v>
      </c>
      <c r="C835" s="7" t="str">
        <f>IFERROR(__xludf.DUMMYFUNCTION("""COMPUTED_VALUE"""),"S227")</f>
        <v>S227</v>
      </c>
      <c r="D835" s="7" t="str">
        <f>IFERROR(__xludf.DUMMYFUNCTION("""COMPUTED_VALUE"""),"Mobile App Store Deployment, Signing &amp; Profiling")</f>
        <v>Mobile App Store Deployment, Signing &amp; Profiling</v>
      </c>
    </row>
    <row r="836">
      <c r="A836" s="7" t="str">
        <f>IFERROR(__xludf.DUMMYFUNCTION("""COMPUTED_VALUE"""),"R22")</f>
        <v>R22</v>
      </c>
      <c r="B836" s="7" t="str">
        <f>IFERROR(__xludf.DUMMYFUNCTION("""COMPUTED_VALUE"""),"Mobile App Developer (Android)")</f>
        <v>Mobile App Developer (Android)</v>
      </c>
      <c r="C836" s="7" t="str">
        <f>IFERROR(__xludf.DUMMYFUNCTION("""COMPUTED_VALUE"""),"S246")</f>
        <v>S246</v>
      </c>
      <c r="D836" s="7" t="str">
        <f>IFERROR(__xludf.DUMMYFUNCTION("""COMPUTED_VALUE"""),"Agile Methodologies, Scrum Framework &amp; Kanban")</f>
        <v>Agile Methodologies, Scrum Framework &amp; Kanban</v>
      </c>
    </row>
    <row r="837">
      <c r="A837" s="7" t="str">
        <f>IFERROR(__xludf.DUMMYFUNCTION("""COMPUTED_VALUE"""),"R22")</f>
        <v>R22</v>
      </c>
      <c r="B837" s="7" t="str">
        <f>IFERROR(__xludf.DUMMYFUNCTION("""COMPUTED_VALUE"""),"Mobile App Developer (Android)")</f>
        <v>Mobile App Developer (Android)</v>
      </c>
      <c r="C837" s="7" t="str">
        <f>IFERROR(__xludf.DUMMYFUNCTION("""COMPUTED_VALUE"""),"S247")</f>
        <v>S247</v>
      </c>
      <c r="D837" s="7" t="str">
        <f>IFERROR(__xludf.DUMMYFUNCTION("""COMPUTED_VALUE"""),"Project Tracking &amp; Documentation Tools (Jira, Confluence, Linear)")</f>
        <v>Project Tracking &amp; Documentation Tools (Jira, Confluence, Linear)</v>
      </c>
    </row>
    <row r="838">
      <c r="A838" s="7" t="str">
        <f>IFERROR(__xludf.DUMMYFUNCTION("""COMPUTED_VALUE"""),"R23")</f>
        <v>R23</v>
      </c>
      <c r="B838" s="7" t="str">
        <f>IFERROR(__xludf.DUMMYFUNCTION("""COMPUTED_VALUE"""),"Systems Administrator")</f>
        <v>Systems Administrator</v>
      </c>
      <c r="C838" s="7" t="str">
        <f>IFERROR(__xludf.DUMMYFUNCTION("""COMPUTED_VALUE"""),"S001")</f>
        <v>S001</v>
      </c>
      <c r="D838" s="7" t="str">
        <f>IFERROR(__xludf.DUMMYFUNCTION("""COMPUTED_VALUE"""),"Computer Architecture &amp; Organization")</f>
        <v>Computer Architecture &amp; Organization</v>
      </c>
    </row>
    <row r="839">
      <c r="A839" s="7" t="str">
        <f>IFERROR(__xludf.DUMMYFUNCTION("""COMPUTED_VALUE"""),"R23")</f>
        <v>R23</v>
      </c>
      <c r="B839" s="7" t="str">
        <f>IFERROR(__xludf.DUMMYFUNCTION("""COMPUTED_VALUE"""),"Systems Administrator")</f>
        <v>Systems Administrator</v>
      </c>
      <c r="C839" s="7" t="str">
        <f>IFERROR(__xludf.DUMMYFUNCTION("""COMPUTED_VALUE"""),"S002")</f>
        <v>S002</v>
      </c>
      <c r="D839" s="7" t="str">
        <f>IFERROR(__xludf.DUMMYFUNCTION("""COMPUTED_VALUE"""),"Operating Systems Concepts")</f>
        <v>Operating Systems Concepts</v>
      </c>
    </row>
    <row r="840">
      <c r="A840" s="7" t="str">
        <f>IFERROR(__xludf.DUMMYFUNCTION("""COMPUTED_VALUE"""),"R23")</f>
        <v>R23</v>
      </c>
      <c r="B840" s="7" t="str">
        <f>IFERROR(__xludf.DUMMYFUNCTION("""COMPUTED_VALUE"""),"Systems Administrator")</f>
        <v>Systems Administrator</v>
      </c>
      <c r="C840" s="7" t="str">
        <f>IFERROR(__xludf.DUMMYFUNCTION("""COMPUTED_VALUE"""),"S003")</f>
        <v>S003</v>
      </c>
      <c r="D840" s="7" t="str">
        <f>IFERROR(__xludf.DUMMYFUNCTION("""COMPUTED_VALUE"""),"Process &amp; Thread Management")</f>
        <v>Process &amp; Thread Management</v>
      </c>
    </row>
    <row r="841">
      <c r="A841" s="7" t="str">
        <f>IFERROR(__xludf.DUMMYFUNCTION("""COMPUTED_VALUE"""),"R23")</f>
        <v>R23</v>
      </c>
      <c r="B841" s="7" t="str">
        <f>IFERROR(__xludf.DUMMYFUNCTION("""COMPUTED_VALUE"""),"Systems Administrator")</f>
        <v>Systems Administrator</v>
      </c>
      <c r="C841" s="7" t="str">
        <f>IFERROR(__xludf.DUMMYFUNCTION("""COMPUTED_VALUE"""),"S004")</f>
        <v>S004</v>
      </c>
      <c r="D841" s="7" t="str">
        <f>IFERROR(__xludf.DUMMYFUNCTION("""COMPUTED_VALUE"""),"Memory Management &amp; Paging")</f>
        <v>Memory Management &amp; Paging</v>
      </c>
    </row>
    <row r="842">
      <c r="A842" s="7" t="str">
        <f>IFERROR(__xludf.DUMMYFUNCTION("""COMPUTED_VALUE"""),"R23")</f>
        <v>R23</v>
      </c>
      <c r="B842" s="7" t="str">
        <f>IFERROR(__xludf.DUMMYFUNCTION("""COMPUTED_VALUE"""),"Systems Administrator")</f>
        <v>Systems Administrator</v>
      </c>
      <c r="C842" s="7" t="str">
        <f>IFERROR(__xludf.DUMMYFUNCTION("""COMPUTED_VALUE"""),"S005")</f>
        <v>S005</v>
      </c>
      <c r="D842" s="7" t="str">
        <f>IFERROR(__xludf.DUMMYFUNCTION("""COMPUTED_VALUE"""),"File Systems &amp; Storage I/O")</f>
        <v>File Systems &amp; Storage I/O</v>
      </c>
    </row>
    <row r="843">
      <c r="A843" s="7" t="str">
        <f>IFERROR(__xludf.DUMMYFUNCTION("""COMPUTED_VALUE"""),"R23")</f>
        <v>R23</v>
      </c>
      <c r="B843" s="7" t="str">
        <f>IFERROR(__xludf.DUMMYFUNCTION("""COMPUTED_VALUE"""),"Systems Administrator")</f>
        <v>Systems Administrator</v>
      </c>
      <c r="C843" s="7" t="str">
        <f>IFERROR(__xludf.DUMMYFUNCTION("""COMPUTED_VALUE"""),"S017")</f>
        <v>S017</v>
      </c>
      <c r="D843" s="7" t="str">
        <f>IFERROR(__xludf.DUMMYFUNCTION("""COMPUTED_VALUE"""),"Git Version Control Fundamentals")</f>
        <v>Git Version Control Fundamentals</v>
      </c>
    </row>
    <row r="844">
      <c r="A844" s="7" t="str">
        <f>IFERROR(__xludf.DUMMYFUNCTION("""COMPUTED_VALUE"""),"R23")</f>
        <v>R23</v>
      </c>
      <c r="B844" s="7" t="str">
        <f>IFERROR(__xludf.DUMMYFUNCTION("""COMPUTED_VALUE"""),"Systems Administrator")</f>
        <v>Systems Administrator</v>
      </c>
      <c r="C844" s="7" t="str">
        <f>IFERROR(__xludf.DUMMYFUNCTION("""COMPUTED_VALUE"""),"S019")</f>
        <v>S019</v>
      </c>
      <c r="D844" s="7" t="str">
        <f>IFERROR(__xludf.DUMMYFUNCTION("""COMPUTED_VALUE"""),"Linux Command Line &amp; File Permissions")</f>
        <v>Linux Command Line &amp; File Permissions</v>
      </c>
    </row>
    <row r="845">
      <c r="A845" s="7" t="str">
        <f>IFERROR(__xludf.DUMMYFUNCTION("""COMPUTED_VALUE"""),"R23")</f>
        <v>R23</v>
      </c>
      <c r="B845" s="7" t="str">
        <f>IFERROR(__xludf.DUMMYFUNCTION("""COMPUTED_VALUE"""),"Systems Administrator")</f>
        <v>Systems Administrator</v>
      </c>
      <c r="C845" s="7" t="str">
        <f>IFERROR(__xludf.DUMMYFUNCTION("""COMPUTED_VALUE"""),"S020")</f>
        <v>S020</v>
      </c>
      <c r="D845" s="7" t="str">
        <f>IFERROR(__xludf.DUMMYFUNCTION("""COMPUTED_VALUE"""),"Bash &amp; Shell Scripting")</f>
        <v>Bash &amp; Shell Scripting</v>
      </c>
    </row>
    <row r="846">
      <c r="A846" s="7" t="str">
        <f>IFERROR(__xludf.DUMMYFUNCTION("""COMPUTED_VALUE"""),"R23")</f>
        <v>R23</v>
      </c>
      <c r="B846" s="7" t="str">
        <f>IFERROR(__xludf.DUMMYFUNCTION("""COMPUTED_VALUE"""),"Systems Administrator")</f>
        <v>Systems Administrator</v>
      </c>
      <c r="C846" s="7" t="str">
        <f>IFERROR(__xludf.DUMMYFUNCTION("""COMPUTED_VALUE"""),"S021")</f>
        <v>S021</v>
      </c>
      <c r="D846" s="7" t="str">
        <f>IFERROR(__xludf.DUMMYFUNCTION("""COMPUTED_VALUE"""),"PowerShell Scripting")</f>
        <v>PowerShell Scripting</v>
      </c>
    </row>
    <row r="847">
      <c r="A847" s="7" t="str">
        <f>IFERROR(__xludf.DUMMYFUNCTION("""COMPUTED_VALUE"""),"R23")</f>
        <v>R23</v>
      </c>
      <c r="B847" s="7" t="str">
        <f>IFERROR(__xludf.DUMMYFUNCTION("""COMPUTED_VALUE"""),"Systems Administrator")</f>
        <v>Systems Administrator</v>
      </c>
      <c r="C847" s="7" t="str">
        <f>IFERROR(__xludf.DUMMYFUNCTION("""COMPUTED_VALUE"""),"S022")</f>
        <v>S022</v>
      </c>
      <c r="D847" s="7" t="str">
        <f>IFERROR(__xludf.DUMMYFUNCTION("""COMPUTED_VALUE"""),"Computer Networking &amp; OSI Model")</f>
        <v>Computer Networking &amp; OSI Model</v>
      </c>
    </row>
    <row r="848">
      <c r="A848" s="7" t="str">
        <f>IFERROR(__xludf.DUMMYFUNCTION("""COMPUTED_VALUE"""),"R23")</f>
        <v>R23</v>
      </c>
      <c r="B848" s="7" t="str">
        <f>IFERROR(__xludf.DUMMYFUNCTION("""COMPUTED_VALUE"""),"Systems Administrator")</f>
        <v>Systems Administrator</v>
      </c>
      <c r="C848" s="7" t="str">
        <f>IFERROR(__xludf.DUMMYFUNCTION("""COMPUTED_VALUE"""),"S023")</f>
        <v>S023</v>
      </c>
      <c r="D848" s="7" t="str">
        <f>IFERROR(__xludf.DUMMYFUNCTION("""COMPUTED_VALUE"""),"HTTP/HTTPS Protocols &amp; Status Codes")</f>
        <v>HTTP/HTTPS Protocols &amp; Status Codes</v>
      </c>
    </row>
    <row r="849">
      <c r="A849" s="7" t="str">
        <f>IFERROR(__xludf.DUMMYFUNCTION("""COMPUTED_VALUE"""),"R23")</f>
        <v>R23</v>
      </c>
      <c r="B849" s="7" t="str">
        <f>IFERROR(__xludf.DUMMYFUNCTION("""COMPUTED_VALUE"""),"Systems Administrator")</f>
        <v>Systems Administrator</v>
      </c>
      <c r="C849" s="7" t="str">
        <f>IFERROR(__xludf.DUMMYFUNCTION("""COMPUTED_VALUE"""),"S024")</f>
        <v>S024</v>
      </c>
      <c r="D849" s="7" t="str">
        <f>IFERROR(__xludf.DUMMYFUNCTION("""COMPUTED_VALUE"""),"DNS, Domain Routing &amp; SSL/TLS")</f>
        <v>DNS, Domain Routing &amp; SSL/TLS</v>
      </c>
    </row>
    <row r="850">
      <c r="A850" s="7" t="str">
        <f>IFERROR(__xludf.DUMMYFUNCTION("""COMPUTED_VALUE"""),"R23")</f>
        <v>R23</v>
      </c>
      <c r="B850" s="7" t="str">
        <f>IFERROR(__xludf.DUMMYFUNCTION("""COMPUTED_VALUE"""),"Systems Administrator")</f>
        <v>Systems Administrator</v>
      </c>
      <c r="C850" s="7" t="str">
        <f>IFERROR(__xludf.DUMMYFUNCTION("""COMPUTED_VALUE"""),"S025")</f>
        <v>S025</v>
      </c>
      <c r="D850" s="7" t="str">
        <f>IFERROR(__xludf.DUMMYFUNCTION("""COMPUTED_VALUE"""),"Regular Expressions (Regex)")</f>
        <v>Regular Expressions (Regex)</v>
      </c>
    </row>
    <row r="851">
      <c r="A851" s="7" t="str">
        <f>IFERROR(__xludf.DUMMYFUNCTION("""COMPUTED_VALUE"""),"R23")</f>
        <v>R23</v>
      </c>
      <c r="B851" s="7" t="str">
        <f>IFERROR(__xludf.DUMMYFUNCTION("""COMPUTED_VALUE"""),"Systems Administrator")</f>
        <v>Systems Administrator</v>
      </c>
      <c r="C851" s="7" t="str">
        <f>IFERROR(__xludf.DUMMYFUNCTION("""COMPUTED_VALUE"""),"S026")</f>
        <v>S026</v>
      </c>
      <c r="D851" s="7" t="str">
        <f>IFERROR(__xludf.DUMMYFUNCTION("""COMPUTED_VALUE"""),"Data Serialization (JSON, XML, YAML, Protobuf)")</f>
        <v>Data Serialization (JSON, XML, YAML, Protobuf)</v>
      </c>
    </row>
    <row r="852">
      <c r="A852" s="7" t="str">
        <f>IFERROR(__xludf.DUMMYFUNCTION("""COMPUTED_VALUE"""),"R23")</f>
        <v>R23</v>
      </c>
      <c r="B852" s="7" t="str">
        <f>IFERROR(__xludf.DUMMYFUNCTION("""COMPUTED_VALUE"""),"Systems Administrator")</f>
        <v>Systems Administrator</v>
      </c>
      <c r="C852" s="7" t="str">
        <f>IFERROR(__xludf.DUMMYFUNCTION("""COMPUTED_VALUE"""),"S028")</f>
        <v>S028</v>
      </c>
      <c r="D852" s="7" t="str">
        <f>IFERROR(__xludf.DUMMYFUNCTION("""COMPUTED_VALUE"""),"Technical Writing &amp; Markdown Documentation")</f>
        <v>Technical Writing &amp; Markdown Documentation</v>
      </c>
    </row>
    <row r="853">
      <c r="A853" s="7" t="str">
        <f>IFERROR(__xludf.DUMMYFUNCTION("""COMPUTED_VALUE"""),"R23")</f>
        <v>R23</v>
      </c>
      <c r="B853" s="7" t="str">
        <f>IFERROR(__xludf.DUMMYFUNCTION("""COMPUTED_VALUE"""),"Systems Administrator")</f>
        <v>Systems Administrator</v>
      </c>
      <c r="C853" s="7" t="str">
        <f>IFERROR(__xludf.DUMMYFUNCTION("""COMPUTED_VALUE"""),"S029")</f>
        <v>S029</v>
      </c>
      <c r="D853" s="7" t="str">
        <f>IFERROR(__xludf.DUMMYFUNCTION("""COMPUTED_VALUE"""),"Debugging, Profiling &amp; Root Cause Analysis")</f>
        <v>Debugging, Profiling &amp; Root Cause Analysis</v>
      </c>
    </row>
    <row r="854">
      <c r="A854" s="7" t="str">
        <f>IFERROR(__xludf.DUMMYFUNCTION("""COMPUTED_VALUE"""),"R23")</f>
        <v>R23</v>
      </c>
      <c r="B854" s="7" t="str">
        <f>IFERROR(__xludf.DUMMYFUNCTION("""COMPUTED_VALUE"""),"Systems Administrator")</f>
        <v>Systems Administrator</v>
      </c>
      <c r="C854" s="7" t="str">
        <f>IFERROR(__xludf.DUMMYFUNCTION("""COMPUTED_VALUE"""),"S107")</f>
        <v>S107</v>
      </c>
      <c r="D854" s="7" t="str">
        <f>IFERROR(__xludf.DUMMYFUNCTION("""COMPUTED_VALUE"""),"SQL Querying (Joins, Aggregations, Subqueries)")</f>
        <v>SQL Querying (Joins, Aggregations, Subqueries)</v>
      </c>
    </row>
    <row r="855">
      <c r="A855" s="7" t="str">
        <f>IFERROR(__xludf.DUMMYFUNCTION("""COMPUTED_VALUE"""),"R23")</f>
        <v>R23</v>
      </c>
      <c r="B855" s="7" t="str">
        <f>IFERROR(__xludf.DUMMYFUNCTION("""COMPUTED_VALUE"""),"Systems Administrator")</f>
        <v>Systems Administrator</v>
      </c>
      <c r="C855" s="7" t="str">
        <f>IFERROR(__xludf.DUMMYFUNCTION("""COMPUTED_VALUE"""),"S110")</f>
        <v>S110</v>
      </c>
      <c r="D855" s="7" t="str">
        <f>IFERROR(__xludf.DUMMYFUNCTION("""COMPUTED_VALUE"""),"MySQL &amp; MariaDB Management")</f>
        <v>MySQL &amp; MariaDB Management</v>
      </c>
    </row>
    <row r="856">
      <c r="A856" s="7" t="str">
        <f>IFERROR(__xludf.DUMMYFUNCTION("""COMPUTED_VALUE"""),"R23")</f>
        <v>R23</v>
      </c>
      <c r="B856" s="7" t="str">
        <f>IFERROR(__xludf.DUMMYFUNCTION("""COMPUTED_VALUE"""),"Systems Administrator")</f>
        <v>Systems Administrator</v>
      </c>
      <c r="C856" s="7" t="str">
        <f>IFERROR(__xludf.DUMMYFUNCTION("""COMPUTED_VALUE"""),"S117")</f>
        <v>S117</v>
      </c>
      <c r="D856" s="7" t="str">
        <f>IFERROR(__xludf.DUMMYFUNCTION("""COMPUTED_VALUE"""),"Database Backup, Point-in-Time Recovery &amp; Migration")</f>
        <v>Database Backup, Point-in-Time Recovery &amp; Migration</v>
      </c>
    </row>
    <row r="857">
      <c r="A857" s="7" t="str">
        <f>IFERROR(__xludf.DUMMYFUNCTION("""COMPUTED_VALUE"""),"R23")</f>
        <v>R23</v>
      </c>
      <c r="B857" s="7" t="str">
        <f>IFERROR(__xludf.DUMMYFUNCTION("""COMPUTED_VALUE"""),"Systems Administrator")</f>
        <v>Systems Administrator</v>
      </c>
      <c r="C857" s="7" t="str">
        <f>IFERROR(__xludf.DUMMYFUNCTION("""COMPUTED_VALUE"""),"S171")</f>
        <v>S171</v>
      </c>
      <c r="D857" s="7" t="str">
        <f>IFERROR(__xludf.DUMMYFUNCTION("""COMPUTED_VALUE"""),"Containerization with Docker")</f>
        <v>Containerization with Docker</v>
      </c>
    </row>
    <row r="858">
      <c r="A858" s="7" t="str">
        <f>IFERROR(__xludf.DUMMYFUNCTION("""COMPUTED_VALUE"""),"R23")</f>
        <v>R23</v>
      </c>
      <c r="B858" s="7" t="str">
        <f>IFERROR(__xludf.DUMMYFUNCTION("""COMPUTED_VALUE"""),"Systems Administrator")</f>
        <v>Systems Administrator</v>
      </c>
      <c r="C858" s="7" t="str">
        <f>IFERROR(__xludf.DUMMYFUNCTION("""COMPUTED_VALUE"""),"S174")</f>
        <v>S174</v>
      </c>
      <c r="D858" s="7" t="str">
        <f>IFERROR(__xludf.DUMMYFUNCTION("""COMPUTED_VALUE"""),"Amazon Web Services Core (EC2, S3, RDS, IAM, VPC)")</f>
        <v>Amazon Web Services Core (EC2, S3, RDS, IAM, VPC)</v>
      </c>
    </row>
    <row r="859">
      <c r="A859" s="7" t="str">
        <f>IFERROR(__xludf.DUMMYFUNCTION("""COMPUTED_VALUE"""),"R23")</f>
        <v>R23</v>
      </c>
      <c r="B859" s="7" t="str">
        <f>IFERROR(__xludf.DUMMYFUNCTION("""COMPUTED_VALUE"""),"Systems Administrator")</f>
        <v>Systems Administrator</v>
      </c>
      <c r="C859" s="7" t="str">
        <f>IFERROR(__xludf.DUMMYFUNCTION("""COMPUTED_VALUE"""),"S175")</f>
        <v>S175</v>
      </c>
      <c r="D859" s="7" t="str">
        <f>IFERROR(__xludf.DUMMYFUNCTION("""COMPUTED_VALUE"""),"Microsoft Azure Cloud Services")</f>
        <v>Microsoft Azure Cloud Services</v>
      </c>
    </row>
    <row r="860">
      <c r="A860" s="7" t="str">
        <f>IFERROR(__xludf.DUMMYFUNCTION("""COMPUTED_VALUE"""),"R23")</f>
        <v>R23</v>
      </c>
      <c r="B860" s="7" t="str">
        <f>IFERROR(__xludf.DUMMYFUNCTION("""COMPUTED_VALUE"""),"Systems Administrator")</f>
        <v>Systems Administrator</v>
      </c>
      <c r="C860" s="7" t="str">
        <f>IFERROR(__xludf.DUMMYFUNCTION("""COMPUTED_VALUE"""),"S179")</f>
        <v>S179</v>
      </c>
      <c r="D860" s="7" t="str">
        <f>IFERROR(__xludf.DUMMYFUNCTION("""COMPUTED_VALUE"""),"Configuration Management (Ansible, Chef, Puppet)")</f>
        <v>Configuration Management (Ansible, Chef, Puppet)</v>
      </c>
    </row>
    <row r="861">
      <c r="A861" s="7" t="str">
        <f>IFERROR(__xludf.DUMMYFUNCTION("""COMPUTED_VALUE"""),"R23")</f>
        <v>R23</v>
      </c>
      <c r="B861" s="7" t="str">
        <f>IFERROR(__xludf.DUMMYFUNCTION("""COMPUTED_VALUE"""),"Systems Administrator")</f>
        <v>Systems Administrator</v>
      </c>
      <c r="C861" s="7" t="str">
        <f>IFERROR(__xludf.DUMMYFUNCTION("""COMPUTED_VALUE"""),"S183")</f>
        <v>S183</v>
      </c>
      <c r="D861" s="7" t="str">
        <f>IFERROR(__xludf.DUMMYFUNCTION("""COMPUTED_VALUE"""),"Web Servers, Reverse Proxy &amp; Load Balancing (Nginx, HAProxy)")</f>
        <v>Web Servers, Reverse Proxy &amp; Load Balancing (Nginx, HAProxy)</v>
      </c>
    </row>
    <row r="862">
      <c r="A862" s="7" t="str">
        <f>IFERROR(__xludf.DUMMYFUNCTION("""COMPUTED_VALUE"""),"R23")</f>
        <v>R23</v>
      </c>
      <c r="B862" s="7" t="str">
        <f>IFERROR(__xludf.DUMMYFUNCTION("""COMPUTED_VALUE"""),"Systems Administrator")</f>
        <v>Systems Administrator</v>
      </c>
      <c r="C862" s="7" t="str">
        <f>IFERROR(__xludf.DUMMYFUNCTION("""COMPUTED_VALUE"""),"S184")</f>
        <v>S184</v>
      </c>
      <c r="D862" s="7" t="str">
        <f>IFERROR(__xludf.DUMMYFUNCTION("""COMPUTED_VALUE"""),"Infrastructure &amp; Metrics Monitoring (Prometheus &amp; Grafana)")</f>
        <v>Infrastructure &amp; Metrics Monitoring (Prometheus &amp; Grafana)</v>
      </c>
    </row>
    <row r="863">
      <c r="A863" s="7" t="str">
        <f>IFERROR(__xludf.DUMMYFUNCTION("""COMPUTED_VALUE"""),"R23")</f>
        <v>R23</v>
      </c>
      <c r="B863" s="7" t="str">
        <f>IFERROR(__xludf.DUMMYFUNCTION("""COMPUTED_VALUE"""),"Systems Administrator")</f>
        <v>Systems Administrator</v>
      </c>
      <c r="C863" s="7" t="str">
        <f>IFERROR(__xludf.DUMMYFUNCTION("""COMPUTED_VALUE"""),"S185")</f>
        <v>S185</v>
      </c>
      <c r="D863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864">
      <c r="A864" s="7" t="str">
        <f>IFERROR(__xludf.DUMMYFUNCTION("""COMPUTED_VALUE"""),"R23")</f>
        <v>R23</v>
      </c>
      <c r="B864" s="7" t="str">
        <f>IFERROR(__xludf.DUMMYFUNCTION("""COMPUTED_VALUE"""),"Systems Administrator")</f>
        <v>Systems Administrator</v>
      </c>
      <c r="C864" s="7" t="str">
        <f>IFERROR(__xludf.DUMMYFUNCTION("""COMPUTED_VALUE"""),"S188")</f>
        <v>S188</v>
      </c>
      <c r="D864" s="7" t="str">
        <f>IFERROR(__xludf.DUMMYFUNCTION("""COMPUTED_VALUE"""),"High Availability, Failover &amp; Disaster Recovery")</f>
        <v>High Availability, Failover &amp; Disaster Recovery</v>
      </c>
    </row>
    <row r="865">
      <c r="A865" s="7" t="str">
        <f>IFERROR(__xludf.DUMMYFUNCTION("""COMPUTED_VALUE"""),"R23")</f>
        <v>R23</v>
      </c>
      <c r="B865" s="7" t="str">
        <f>IFERROR(__xludf.DUMMYFUNCTION("""COMPUTED_VALUE"""),"Systems Administrator")</f>
        <v>Systems Administrator</v>
      </c>
      <c r="C865" s="7" t="str">
        <f>IFERROR(__xludf.DUMMYFUNCTION("""COMPUTED_VALUE"""),"S191")</f>
        <v>S191</v>
      </c>
      <c r="D865" s="7" t="str">
        <f>IFERROR(__xludf.DUMMYFUNCTION("""COMPUTED_VALUE"""),"Enterprise Linux System Administration (RHEL, Ubuntu, systemd)")</f>
        <v>Enterprise Linux System Administration (RHEL, Ubuntu, systemd)</v>
      </c>
    </row>
    <row r="866">
      <c r="A866" s="7" t="str">
        <f>IFERROR(__xludf.DUMMYFUNCTION("""COMPUTED_VALUE"""),"R23")</f>
        <v>R23</v>
      </c>
      <c r="B866" s="7" t="str">
        <f>IFERROR(__xludf.DUMMYFUNCTION("""COMPUTED_VALUE"""),"Systems Administrator")</f>
        <v>Systems Administrator</v>
      </c>
      <c r="C866" s="7" t="str">
        <f>IFERROR(__xludf.DUMMYFUNCTION("""COMPUTED_VALUE"""),"S192")</f>
        <v>S192</v>
      </c>
      <c r="D866" s="7" t="str">
        <f>IFERROR(__xludf.DUMMYFUNCTION("""COMPUTED_VALUE"""),"Windows Server &amp; Active Directory Administration")</f>
        <v>Windows Server &amp; Active Directory Administration</v>
      </c>
    </row>
    <row r="867">
      <c r="A867" s="7" t="str">
        <f>IFERROR(__xludf.DUMMYFUNCTION("""COMPUTED_VALUE"""),"R23")</f>
        <v>R23</v>
      </c>
      <c r="B867" s="7" t="str">
        <f>IFERROR(__xludf.DUMMYFUNCTION("""COMPUTED_VALUE"""),"Systems Administrator")</f>
        <v>Systems Administrator</v>
      </c>
      <c r="C867" s="7" t="str">
        <f>IFERROR(__xludf.DUMMYFUNCTION("""COMPUTED_VALUE"""),"S193")</f>
        <v>S193</v>
      </c>
      <c r="D867" s="7" t="str">
        <f>IFERROR(__xludf.DUMMYFUNCTION("""COMPUTED_VALUE"""),"Virtualization &amp; Hypervisors (VMware vSphere, Proxmox, KVM)")</f>
        <v>Virtualization &amp; Hypervisors (VMware vSphere, Proxmox, KVM)</v>
      </c>
    </row>
    <row r="868">
      <c r="A868" s="7" t="str">
        <f>IFERROR(__xludf.DUMMYFUNCTION("""COMPUTED_VALUE"""),"R23")</f>
        <v>R23</v>
      </c>
      <c r="B868" s="7" t="str">
        <f>IFERROR(__xludf.DUMMYFUNCTION("""COMPUTED_VALUE"""),"Systems Administrator")</f>
        <v>Systems Administrator</v>
      </c>
      <c r="C868" s="7" t="str">
        <f>IFERROR(__xludf.DUMMYFUNCTION("""COMPUTED_VALUE"""),"S194")</f>
        <v>S194</v>
      </c>
      <c r="D868" s="7" t="str">
        <f>IFERROR(__xludf.DUMMYFUNCTION("""COMPUTED_VALUE"""),"TCP/IP Networking, Subnetting, VLANs &amp; VPNs")</f>
        <v>TCP/IP Networking, Subnetting, VLANs &amp; VPNs</v>
      </c>
    </row>
    <row r="869">
      <c r="A869" s="7" t="str">
        <f>IFERROR(__xludf.DUMMYFUNCTION("""COMPUTED_VALUE"""),"R23")</f>
        <v>R23</v>
      </c>
      <c r="B869" s="7" t="str">
        <f>IFERROR(__xludf.DUMMYFUNCTION("""COMPUTED_VALUE"""),"Systems Administrator")</f>
        <v>Systems Administrator</v>
      </c>
      <c r="C869" s="7" t="str">
        <f>IFERROR(__xludf.DUMMYFUNCTION("""COMPUTED_VALUE"""),"S196")</f>
        <v>S196</v>
      </c>
      <c r="D869" s="7" t="str">
        <f>IFERROR(__xludf.DUMMYFUNCTION("""COMPUTED_VALUE"""),"Cybersecurity Principles &amp; CIA Triad")</f>
        <v>Cybersecurity Principles &amp; CIA Triad</v>
      </c>
    </row>
    <row r="870">
      <c r="A870" s="7" t="str">
        <f>IFERROR(__xludf.DUMMYFUNCTION("""COMPUTED_VALUE"""),"R23")</f>
        <v>R23</v>
      </c>
      <c r="B870" s="7" t="str">
        <f>IFERROR(__xludf.DUMMYFUNCTION("""COMPUTED_VALUE"""),"Systems Administrator")</f>
        <v>Systems Administrator</v>
      </c>
      <c r="C870" s="7" t="str">
        <f>IFERROR(__xludf.DUMMYFUNCTION("""COMPUTED_VALUE"""),"S197")</f>
        <v>S197</v>
      </c>
      <c r="D870" s="7" t="str">
        <f>IFERROR(__xludf.DUMMYFUNCTION("""COMPUTED_VALUE"""),"Network Security, Firewalls &amp; WAF")</f>
        <v>Network Security, Firewalls &amp; WAF</v>
      </c>
    </row>
    <row r="871">
      <c r="A871" s="7" t="str">
        <f>IFERROR(__xludf.DUMMYFUNCTION("""COMPUTED_VALUE"""),"R23")</f>
        <v>R23</v>
      </c>
      <c r="B871" s="7" t="str">
        <f>IFERROR(__xludf.DUMMYFUNCTION("""COMPUTED_VALUE"""),"Systems Administrator")</f>
        <v>Systems Administrator</v>
      </c>
      <c r="C871" s="7" t="str">
        <f>IFERROR(__xludf.DUMMYFUNCTION("""COMPUTED_VALUE"""),"S199")</f>
        <v>S199</v>
      </c>
      <c r="D871" s="7" t="str">
        <f>IFERROR(__xludf.DUMMYFUNCTION("""COMPUTED_VALUE"""),"Packet Capture &amp; Traffic Analysis (Wireshark, tcpdump, Nmap)")</f>
        <v>Packet Capture &amp; Traffic Analysis (Wireshark, tcpdump, Nmap)</v>
      </c>
    </row>
    <row r="872">
      <c r="A872" s="7" t="str">
        <f>IFERROR(__xludf.DUMMYFUNCTION("""COMPUTED_VALUE"""),"R23")</f>
        <v>R23</v>
      </c>
      <c r="B872" s="7" t="str">
        <f>IFERROR(__xludf.DUMMYFUNCTION("""COMPUTED_VALUE"""),"Systems Administrator")</f>
        <v>Systems Administrator</v>
      </c>
      <c r="C872" s="7" t="str">
        <f>IFERROR(__xludf.DUMMYFUNCTION("""COMPUTED_VALUE"""),"S203")</f>
        <v>S203</v>
      </c>
      <c r="D872" s="7" t="str">
        <f>IFERROR(__xludf.DUMMYFUNCTION("""COMPUTED_VALUE"""),"Vulnerability Assessment &amp; Management (Nessus, OpenVAS, Qualys)")</f>
        <v>Vulnerability Assessment &amp; Management (Nessus, OpenVAS, Qualys)</v>
      </c>
    </row>
    <row r="873">
      <c r="A873" s="7" t="str">
        <f>IFERROR(__xludf.DUMMYFUNCTION("""COMPUTED_VALUE"""),"R23")</f>
        <v>R23</v>
      </c>
      <c r="B873" s="7" t="str">
        <f>IFERROR(__xludf.DUMMYFUNCTION("""COMPUTED_VALUE"""),"Systems Administrator")</f>
        <v>Systems Administrator</v>
      </c>
      <c r="C873" s="7" t="str">
        <f>IFERROR(__xludf.DUMMYFUNCTION("""COMPUTED_VALUE"""),"S206")</f>
        <v>S206</v>
      </c>
      <c r="D873" s="7" t="str">
        <f>IFERROR(__xludf.DUMMYFUNCTION("""COMPUTED_VALUE"""),"Endpoint Detection &amp; Response (EDR / XDR: CrowdStrike, Defender)")</f>
        <v>Endpoint Detection &amp; Response (EDR / XDR: CrowdStrike, Defender)</v>
      </c>
    </row>
    <row r="874">
      <c r="A874" s="7" t="str">
        <f>IFERROR(__xludf.DUMMYFUNCTION("""COMPUTED_VALUE"""),"R23")</f>
        <v>R23</v>
      </c>
      <c r="B874" s="7" t="str">
        <f>IFERROR(__xludf.DUMMYFUNCTION("""COMPUTED_VALUE"""),"Systems Administrator")</f>
        <v>Systems Administrator</v>
      </c>
      <c r="C874" s="7" t="str">
        <f>IFERROR(__xludf.DUMMYFUNCTION("""COMPUTED_VALUE"""),"S210")</f>
        <v>S210</v>
      </c>
      <c r="D874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875">
      <c r="A875" s="7" t="str">
        <f>IFERROR(__xludf.DUMMYFUNCTION("""COMPUTED_VALUE"""),"R23")</f>
        <v>R23</v>
      </c>
      <c r="B875" s="7" t="str">
        <f>IFERROR(__xludf.DUMMYFUNCTION("""COMPUTED_VALUE"""),"Systems Administrator")</f>
        <v>Systems Administrator</v>
      </c>
      <c r="C875" s="7" t="str">
        <f>IFERROR(__xludf.DUMMYFUNCTION("""COMPUTED_VALUE"""),"S242")</f>
        <v>S242</v>
      </c>
      <c r="D875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876">
      <c r="A876" s="7" t="str">
        <f>IFERROR(__xludf.DUMMYFUNCTION("""COMPUTED_VALUE"""),"R23")</f>
        <v>R23</v>
      </c>
      <c r="B876" s="7" t="str">
        <f>IFERROR(__xludf.DUMMYFUNCTION("""COMPUTED_VALUE"""),"Systems Administrator")</f>
        <v>Systems Administrator</v>
      </c>
      <c r="C876" s="7" t="str">
        <f>IFERROR(__xludf.DUMMYFUNCTION("""COMPUTED_VALUE"""),"S246")</f>
        <v>S246</v>
      </c>
      <c r="D876" s="7" t="str">
        <f>IFERROR(__xludf.DUMMYFUNCTION("""COMPUTED_VALUE"""),"Agile Methodologies, Scrum Framework &amp; Kanban")</f>
        <v>Agile Methodologies, Scrum Framework &amp; Kanban</v>
      </c>
    </row>
    <row r="877">
      <c r="A877" s="7" t="str">
        <f>IFERROR(__xludf.DUMMYFUNCTION("""COMPUTED_VALUE"""),"R23")</f>
        <v>R23</v>
      </c>
      <c r="B877" s="7" t="str">
        <f>IFERROR(__xludf.DUMMYFUNCTION("""COMPUTED_VALUE"""),"Systems Administrator")</f>
        <v>Systems Administrator</v>
      </c>
      <c r="C877" s="7" t="str">
        <f>IFERROR(__xludf.DUMMYFUNCTION("""COMPUTED_VALUE"""),"S247")</f>
        <v>S247</v>
      </c>
      <c r="D877" s="7" t="str">
        <f>IFERROR(__xludf.DUMMYFUNCTION("""COMPUTED_VALUE"""),"Project Tracking &amp; Documentation Tools (Jira, Confluence, Linear)")</f>
        <v>Project Tracking &amp; Documentation Tools (Jira, Confluence, Linear)</v>
      </c>
    </row>
    <row r="878">
      <c r="A878" s="7" t="str">
        <f>IFERROR(__xludf.DUMMYFUNCTION("""COMPUTED_VALUE"""),"R24")</f>
        <v>R24</v>
      </c>
      <c r="B878" s="7" t="str">
        <f>IFERROR(__xludf.DUMMYFUNCTION("""COMPUTED_VALUE"""),"Network Engineer")</f>
        <v>Network Engineer</v>
      </c>
      <c r="C878" s="7" t="str">
        <f>IFERROR(__xludf.DUMMYFUNCTION("""COMPUTED_VALUE"""),"S001")</f>
        <v>S001</v>
      </c>
      <c r="D878" s="7" t="str">
        <f>IFERROR(__xludf.DUMMYFUNCTION("""COMPUTED_VALUE"""),"Computer Architecture &amp; Organization")</f>
        <v>Computer Architecture &amp; Organization</v>
      </c>
    </row>
    <row r="879">
      <c r="A879" s="7" t="str">
        <f>IFERROR(__xludf.DUMMYFUNCTION("""COMPUTED_VALUE"""),"R24")</f>
        <v>R24</v>
      </c>
      <c r="B879" s="7" t="str">
        <f>IFERROR(__xludf.DUMMYFUNCTION("""COMPUTED_VALUE"""),"Network Engineer")</f>
        <v>Network Engineer</v>
      </c>
      <c r="C879" s="7" t="str">
        <f>IFERROR(__xludf.DUMMYFUNCTION("""COMPUTED_VALUE"""),"S002")</f>
        <v>S002</v>
      </c>
      <c r="D879" s="7" t="str">
        <f>IFERROR(__xludf.DUMMYFUNCTION("""COMPUTED_VALUE"""),"Operating Systems Concepts")</f>
        <v>Operating Systems Concepts</v>
      </c>
    </row>
    <row r="880">
      <c r="A880" s="7" t="str">
        <f>IFERROR(__xludf.DUMMYFUNCTION("""COMPUTED_VALUE"""),"R24")</f>
        <v>R24</v>
      </c>
      <c r="B880" s="7" t="str">
        <f>IFERROR(__xludf.DUMMYFUNCTION("""COMPUTED_VALUE"""),"Network Engineer")</f>
        <v>Network Engineer</v>
      </c>
      <c r="C880" s="7" t="str">
        <f>IFERROR(__xludf.DUMMYFUNCTION("""COMPUTED_VALUE"""),"S017")</f>
        <v>S017</v>
      </c>
      <c r="D880" s="7" t="str">
        <f>IFERROR(__xludf.DUMMYFUNCTION("""COMPUTED_VALUE"""),"Git Version Control Fundamentals")</f>
        <v>Git Version Control Fundamentals</v>
      </c>
    </row>
    <row r="881">
      <c r="A881" s="7" t="str">
        <f>IFERROR(__xludf.DUMMYFUNCTION("""COMPUTED_VALUE"""),"R24")</f>
        <v>R24</v>
      </c>
      <c r="B881" s="7" t="str">
        <f>IFERROR(__xludf.DUMMYFUNCTION("""COMPUTED_VALUE"""),"Network Engineer")</f>
        <v>Network Engineer</v>
      </c>
      <c r="C881" s="7" t="str">
        <f>IFERROR(__xludf.DUMMYFUNCTION("""COMPUTED_VALUE"""),"S019")</f>
        <v>S019</v>
      </c>
      <c r="D881" s="7" t="str">
        <f>IFERROR(__xludf.DUMMYFUNCTION("""COMPUTED_VALUE"""),"Linux Command Line &amp; File Permissions")</f>
        <v>Linux Command Line &amp; File Permissions</v>
      </c>
    </row>
    <row r="882">
      <c r="A882" s="7" t="str">
        <f>IFERROR(__xludf.DUMMYFUNCTION("""COMPUTED_VALUE"""),"R24")</f>
        <v>R24</v>
      </c>
      <c r="B882" s="7" t="str">
        <f>IFERROR(__xludf.DUMMYFUNCTION("""COMPUTED_VALUE"""),"Network Engineer")</f>
        <v>Network Engineer</v>
      </c>
      <c r="C882" s="7" t="str">
        <f>IFERROR(__xludf.DUMMYFUNCTION("""COMPUTED_VALUE"""),"S020")</f>
        <v>S020</v>
      </c>
      <c r="D882" s="7" t="str">
        <f>IFERROR(__xludf.DUMMYFUNCTION("""COMPUTED_VALUE"""),"Bash &amp; Shell Scripting")</f>
        <v>Bash &amp; Shell Scripting</v>
      </c>
    </row>
    <row r="883">
      <c r="A883" s="7" t="str">
        <f>IFERROR(__xludf.DUMMYFUNCTION("""COMPUTED_VALUE"""),"R24")</f>
        <v>R24</v>
      </c>
      <c r="B883" s="7" t="str">
        <f>IFERROR(__xludf.DUMMYFUNCTION("""COMPUTED_VALUE"""),"Network Engineer")</f>
        <v>Network Engineer</v>
      </c>
      <c r="C883" s="7" t="str">
        <f>IFERROR(__xludf.DUMMYFUNCTION("""COMPUTED_VALUE"""),"S022")</f>
        <v>S022</v>
      </c>
      <c r="D883" s="7" t="str">
        <f>IFERROR(__xludf.DUMMYFUNCTION("""COMPUTED_VALUE"""),"Computer Networking &amp; OSI Model")</f>
        <v>Computer Networking &amp; OSI Model</v>
      </c>
    </row>
    <row r="884">
      <c r="A884" s="7" t="str">
        <f>IFERROR(__xludf.DUMMYFUNCTION("""COMPUTED_VALUE"""),"R24")</f>
        <v>R24</v>
      </c>
      <c r="B884" s="7" t="str">
        <f>IFERROR(__xludf.DUMMYFUNCTION("""COMPUTED_VALUE"""),"Network Engineer")</f>
        <v>Network Engineer</v>
      </c>
      <c r="C884" s="7" t="str">
        <f>IFERROR(__xludf.DUMMYFUNCTION("""COMPUTED_VALUE"""),"S023")</f>
        <v>S023</v>
      </c>
      <c r="D884" s="7" t="str">
        <f>IFERROR(__xludf.DUMMYFUNCTION("""COMPUTED_VALUE"""),"HTTP/HTTPS Protocols &amp; Status Codes")</f>
        <v>HTTP/HTTPS Protocols &amp; Status Codes</v>
      </c>
    </row>
    <row r="885">
      <c r="A885" s="7" t="str">
        <f>IFERROR(__xludf.DUMMYFUNCTION("""COMPUTED_VALUE"""),"R24")</f>
        <v>R24</v>
      </c>
      <c r="B885" s="7" t="str">
        <f>IFERROR(__xludf.DUMMYFUNCTION("""COMPUTED_VALUE"""),"Network Engineer")</f>
        <v>Network Engineer</v>
      </c>
      <c r="C885" s="7" t="str">
        <f>IFERROR(__xludf.DUMMYFUNCTION("""COMPUTED_VALUE"""),"S024")</f>
        <v>S024</v>
      </c>
      <c r="D885" s="7" t="str">
        <f>IFERROR(__xludf.DUMMYFUNCTION("""COMPUTED_VALUE"""),"DNS, Domain Routing &amp; SSL/TLS")</f>
        <v>DNS, Domain Routing &amp; SSL/TLS</v>
      </c>
    </row>
    <row r="886">
      <c r="A886" s="7" t="str">
        <f>IFERROR(__xludf.DUMMYFUNCTION("""COMPUTED_VALUE"""),"R24")</f>
        <v>R24</v>
      </c>
      <c r="B886" s="7" t="str">
        <f>IFERROR(__xludf.DUMMYFUNCTION("""COMPUTED_VALUE"""),"Network Engineer")</f>
        <v>Network Engineer</v>
      </c>
      <c r="C886" s="7" t="str">
        <f>IFERROR(__xludf.DUMMYFUNCTION("""COMPUTED_VALUE"""),"S026")</f>
        <v>S026</v>
      </c>
      <c r="D886" s="7" t="str">
        <f>IFERROR(__xludf.DUMMYFUNCTION("""COMPUTED_VALUE"""),"Data Serialization (JSON, XML, YAML, Protobuf)")</f>
        <v>Data Serialization (JSON, XML, YAML, Protobuf)</v>
      </c>
    </row>
    <row r="887">
      <c r="A887" s="7" t="str">
        <f>IFERROR(__xludf.DUMMYFUNCTION("""COMPUTED_VALUE"""),"R24")</f>
        <v>R24</v>
      </c>
      <c r="B887" s="7" t="str">
        <f>IFERROR(__xludf.DUMMYFUNCTION("""COMPUTED_VALUE"""),"Network Engineer")</f>
        <v>Network Engineer</v>
      </c>
      <c r="C887" s="7" t="str">
        <f>IFERROR(__xludf.DUMMYFUNCTION("""COMPUTED_VALUE"""),"S028")</f>
        <v>S028</v>
      </c>
      <c r="D887" s="7" t="str">
        <f>IFERROR(__xludf.DUMMYFUNCTION("""COMPUTED_VALUE"""),"Technical Writing &amp; Markdown Documentation")</f>
        <v>Technical Writing &amp; Markdown Documentation</v>
      </c>
    </row>
    <row r="888">
      <c r="A888" s="7" t="str">
        <f>IFERROR(__xludf.DUMMYFUNCTION("""COMPUTED_VALUE"""),"R24")</f>
        <v>R24</v>
      </c>
      <c r="B888" s="7" t="str">
        <f>IFERROR(__xludf.DUMMYFUNCTION("""COMPUTED_VALUE"""),"Network Engineer")</f>
        <v>Network Engineer</v>
      </c>
      <c r="C888" s="7" t="str">
        <f>IFERROR(__xludf.DUMMYFUNCTION("""COMPUTED_VALUE"""),"S029")</f>
        <v>S029</v>
      </c>
      <c r="D888" s="7" t="str">
        <f>IFERROR(__xludf.DUMMYFUNCTION("""COMPUTED_VALUE"""),"Debugging, Profiling &amp; Root Cause Analysis")</f>
        <v>Debugging, Profiling &amp; Root Cause Analysis</v>
      </c>
    </row>
    <row r="889">
      <c r="A889" s="7" t="str">
        <f>IFERROR(__xludf.DUMMYFUNCTION("""COMPUTED_VALUE"""),"R24")</f>
        <v>R24</v>
      </c>
      <c r="B889" s="7" t="str">
        <f>IFERROR(__xludf.DUMMYFUNCTION("""COMPUTED_VALUE"""),"Network Engineer")</f>
        <v>Network Engineer</v>
      </c>
      <c r="C889" s="7" t="str">
        <f>IFERROR(__xludf.DUMMYFUNCTION("""COMPUTED_VALUE"""),"S068")</f>
        <v>S068</v>
      </c>
      <c r="D889" s="7" t="str">
        <f>IFERROR(__xludf.DUMMYFUNCTION("""COMPUTED_VALUE"""),"Python Programming Fundamentals")</f>
        <v>Python Programming Fundamentals</v>
      </c>
    </row>
    <row r="890">
      <c r="A890" s="7" t="str">
        <f>IFERROR(__xludf.DUMMYFUNCTION("""COMPUTED_VALUE"""),"R24")</f>
        <v>R24</v>
      </c>
      <c r="B890" s="7" t="str">
        <f>IFERROR(__xludf.DUMMYFUNCTION("""COMPUTED_VALUE"""),"Network Engineer")</f>
        <v>Network Engineer</v>
      </c>
      <c r="C890" s="7" t="str">
        <f>IFERROR(__xludf.DUMMYFUNCTION("""COMPUTED_VALUE"""),"S174")</f>
        <v>S174</v>
      </c>
      <c r="D890" s="7" t="str">
        <f>IFERROR(__xludf.DUMMYFUNCTION("""COMPUTED_VALUE"""),"Amazon Web Services Core (EC2, S3, RDS, IAM, VPC)")</f>
        <v>Amazon Web Services Core (EC2, S3, RDS, IAM, VPC)</v>
      </c>
    </row>
    <row r="891">
      <c r="A891" s="7" t="str">
        <f>IFERROR(__xludf.DUMMYFUNCTION("""COMPUTED_VALUE"""),"R24")</f>
        <v>R24</v>
      </c>
      <c r="B891" s="7" t="str">
        <f>IFERROR(__xludf.DUMMYFUNCTION("""COMPUTED_VALUE"""),"Network Engineer")</f>
        <v>Network Engineer</v>
      </c>
      <c r="C891" s="7" t="str">
        <f>IFERROR(__xludf.DUMMYFUNCTION("""COMPUTED_VALUE"""),"S179")</f>
        <v>S179</v>
      </c>
      <c r="D891" s="7" t="str">
        <f>IFERROR(__xludf.DUMMYFUNCTION("""COMPUTED_VALUE"""),"Configuration Management (Ansible, Chef, Puppet)")</f>
        <v>Configuration Management (Ansible, Chef, Puppet)</v>
      </c>
    </row>
    <row r="892">
      <c r="A892" s="7" t="str">
        <f>IFERROR(__xludf.DUMMYFUNCTION("""COMPUTED_VALUE"""),"R24")</f>
        <v>R24</v>
      </c>
      <c r="B892" s="7" t="str">
        <f>IFERROR(__xludf.DUMMYFUNCTION("""COMPUTED_VALUE"""),"Network Engineer")</f>
        <v>Network Engineer</v>
      </c>
      <c r="C892" s="7" t="str">
        <f>IFERROR(__xludf.DUMMYFUNCTION("""COMPUTED_VALUE"""),"S183")</f>
        <v>S183</v>
      </c>
      <c r="D892" s="7" t="str">
        <f>IFERROR(__xludf.DUMMYFUNCTION("""COMPUTED_VALUE"""),"Web Servers, Reverse Proxy &amp; Load Balancing (Nginx, HAProxy)")</f>
        <v>Web Servers, Reverse Proxy &amp; Load Balancing (Nginx, HAProxy)</v>
      </c>
    </row>
    <row r="893">
      <c r="A893" s="7" t="str">
        <f>IFERROR(__xludf.DUMMYFUNCTION("""COMPUTED_VALUE"""),"R24")</f>
        <v>R24</v>
      </c>
      <c r="B893" s="7" t="str">
        <f>IFERROR(__xludf.DUMMYFUNCTION("""COMPUTED_VALUE"""),"Network Engineer")</f>
        <v>Network Engineer</v>
      </c>
      <c r="C893" s="7" t="str">
        <f>IFERROR(__xludf.DUMMYFUNCTION("""COMPUTED_VALUE"""),"S184")</f>
        <v>S184</v>
      </c>
      <c r="D893" s="7" t="str">
        <f>IFERROR(__xludf.DUMMYFUNCTION("""COMPUTED_VALUE"""),"Infrastructure &amp; Metrics Monitoring (Prometheus &amp; Grafana)")</f>
        <v>Infrastructure &amp; Metrics Monitoring (Prometheus &amp; Grafana)</v>
      </c>
    </row>
    <row r="894">
      <c r="A894" s="7" t="str">
        <f>IFERROR(__xludf.DUMMYFUNCTION("""COMPUTED_VALUE"""),"R24")</f>
        <v>R24</v>
      </c>
      <c r="B894" s="7" t="str">
        <f>IFERROR(__xludf.DUMMYFUNCTION("""COMPUTED_VALUE"""),"Network Engineer")</f>
        <v>Network Engineer</v>
      </c>
      <c r="C894" s="7" t="str">
        <f>IFERROR(__xludf.DUMMYFUNCTION("""COMPUTED_VALUE"""),"S188")</f>
        <v>S188</v>
      </c>
      <c r="D894" s="7" t="str">
        <f>IFERROR(__xludf.DUMMYFUNCTION("""COMPUTED_VALUE"""),"High Availability, Failover &amp; Disaster Recovery")</f>
        <v>High Availability, Failover &amp; Disaster Recovery</v>
      </c>
    </row>
    <row r="895">
      <c r="A895" s="7" t="str">
        <f>IFERROR(__xludf.DUMMYFUNCTION("""COMPUTED_VALUE"""),"R24")</f>
        <v>R24</v>
      </c>
      <c r="B895" s="7" t="str">
        <f>IFERROR(__xludf.DUMMYFUNCTION("""COMPUTED_VALUE"""),"Network Engineer")</f>
        <v>Network Engineer</v>
      </c>
      <c r="C895" s="7" t="str">
        <f>IFERROR(__xludf.DUMMYFUNCTION("""COMPUTED_VALUE"""),"S191")</f>
        <v>S191</v>
      </c>
      <c r="D895" s="7" t="str">
        <f>IFERROR(__xludf.DUMMYFUNCTION("""COMPUTED_VALUE"""),"Enterprise Linux System Administration (RHEL, Ubuntu, systemd)")</f>
        <v>Enterprise Linux System Administration (RHEL, Ubuntu, systemd)</v>
      </c>
    </row>
    <row r="896">
      <c r="A896" s="7" t="str">
        <f>IFERROR(__xludf.DUMMYFUNCTION("""COMPUTED_VALUE"""),"R24")</f>
        <v>R24</v>
      </c>
      <c r="B896" s="7" t="str">
        <f>IFERROR(__xludf.DUMMYFUNCTION("""COMPUTED_VALUE"""),"Network Engineer")</f>
        <v>Network Engineer</v>
      </c>
      <c r="C896" s="7" t="str">
        <f>IFERROR(__xludf.DUMMYFUNCTION("""COMPUTED_VALUE"""),"S193")</f>
        <v>S193</v>
      </c>
      <c r="D896" s="7" t="str">
        <f>IFERROR(__xludf.DUMMYFUNCTION("""COMPUTED_VALUE"""),"Virtualization &amp; Hypervisors (VMware vSphere, Proxmox, KVM)")</f>
        <v>Virtualization &amp; Hypervisors (VMware vSphere, Proxmox, KVM)</v>
      </c>
    </row>
    <row r="897">
      <c r="A897" s="7" t="str">
        <f>IFERROR(__xludf.DUMMYFUNCTION("""COMPUTED_VALUE"""),"R24")</f>
        <v>R24</v>
      </c>
      <c r="B897" s="7" t="str">
        <f>IFERROR(__xludf.DUMMYFUNCTION("""COMPUTED_VALUE"""),"Network Engineer")</f>
        <v>Network Engineer</v>
      </c>
      <c r="C897" s="7" t="str">
        <f>IFERROR(__xludf.DUMMYFUNCTION("""COMPUTED_VALUE"""),"S194")</f>
        <v>S194</v>
      </c>
      <c r="D897" s="7" t="str">
        <f>IFERROR(__xludf.DUMMYFUNCTION("""COMPUTED_VALUE"""),"TCP/IP Networking, Subnetting, VLANs &amp; VPNs")</f>
        <v>TCP/IP Networking, Subnetting, VLANs &amp; VPNs</v>
      </c>
    </row>
    <row r="898">
      <c r="A898" s="7" t="str">
        <f>IFERROR(__xludf.DUMMYFUNCTION("""COMPUTED_VALUE"""),"R24")</f>
        <v>R24</v>
      </c>
      <c r="B898" s="7" t="str">
        <f>IFERROR(__xludf.DUMMYFUNCTION("""COMPUTED_VALUE"""),"Network Engineer")</f>
        <v>Network Engineer</v>
      </c>
      <c r="C898" s="7" t="str">
        <f>IFERROR(__xludf.DUMMYFUNCTION("""COMPUTED_VALUE"""),"S195")</f>
        <v>S195</v>
      </c>
      <c r="D898" s="7" t="str">
        <f>IFERROR(__xludf.DUMMYFUNCTION("""COMPUTED_VALUE"""),"Enterprise Routing &amp; Switching (BGP, OSPF, Cisco IOS)")</f>
        <v>Enterprise Routing &amp; Switching (BGP, OSPF, Cisco IOS)</v>
      </c>
    </row>
    <row r="899">
      <c r="A899" s="7" t="str">
        <f>IFERROR(__xludf.DUMMYFUNCTION("""COMPUTED_VALUE"""),"R24")</f>
        <v>R24</v>
      </c>
      <c r="B899" s="7" t="str">
        <f>IFERROR(__xludf.DUMMYFUNCTION("""COMPUTED_VALUE"""),"Network Engineer")</f>
        <v>Network Engineer</v>
      </c>
      <c r="C899" s="7" t="str">
        <f>IFERROR(__xludf.DUMMYFUNCTION("""COMPUTED_VALUE"""),"S196")</f>
        <v>S196</v>
      </c>
      <c r="D899" s="7" t="str">
        <f>IFERROR(__xludf.DUMMYFUNCTION("""COMPUTED_VALUE"""),"Cybersecurity Principles &amp; CIA Triad")</f>
        <v>Cybersecurity Principles &amp; CIA Triad</v>
      </c>
    </row>
    <row r="900">
      <c r="A900" s="7" t="str">
        <f>IFERROR(__xludf.DUMMYFUNCTION("""COMPUTED_VALUE"""),"R24")</f>
        <v>R24</v>
      </c>
      <c r="B900" s="7" t="str">
        <f>IFERROR(__xludf.DUMMYFUNCTION("""COMPUTED_VALUE"""),"Network Engineer")</f>
        <v>Network Engineer</v>
      </c>
      <c r="C900" s="7" t="str">
        <f>IFERROR(__xludf.DUMMYFUNCTION("""COMPUTED_VALUE"""),"S197")</f>
        <v>S197</v>
      </c>
      <c r="D900" s="7" t="str">
        <f>IFERROR(__xludf.DUMMYFUNCTION("""COMPUTED_VALUE"""),"Network Security, Firewalls &amp; WAF")</f>
        <v>Network Security, Firewalls &amp; WAF</v>
      </c>
    </row>
    <row r="901">
      <c r="A901" s="7" t="str">
        <f>IFERROR(__xludf.DUMMYFUNCTION("""COMPUTED_VALUE"""),"R24")</f>
        <v>R24</v>
      </c>
      <c r="B901" s="7" t="str">
        <f>IFERROR(__xludf.DUMMYFUNCTION("""COMPUTED_VALUE"""),"Network Engineer")</f>
        <v>Network Engineer</v>
      </c>
      <c r="C901" s="7" t="str">
        <f>IFERROR(__xludf.DUMMYFUNCTION("""COMPUTED_VALUE"""),"S198")</f>
        <v>S198</v>
      </c>
      <c r="D901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902">
      <c r="A902" s="7" t="str">
        <f>IFERROR(__xludf.DUMMYFUNCTION("""COMPUTED_VALUE"""),"R24")</f>
        <v>R24</v>
      </c>
      <c r="B902" s="7" t="str">
        <f>IFERROR(__xludf.DUMMYFUNCTION("""COMPUTED_VALUE"""),"Network Engineer")</f>
        <v>Network Engineer</v>
      </c>
      <c r="C902" s="7" t="str">
        <f>IFERROR(__xludf.DUMMYFUNCTION("""COMPUTED_VALUE"""),"S199")</f>
        <v>S199</v>
      </c>
      <c r="D902" s="7" t="str">
        <f>IFERROR(__xludf.DUMMYFUNCTION("""COMPUTED_VALUE"""),"Packet Capture &amp; Traffic Analysis (Wireshark, tcpdump, Nmap)")</f>
        <v>Packet Capture &amp; Traffic Analysis (Wireshark, tcpdump, Nmap)</v>
      </c>
    </row>
    <row r="903">
      <c r="A903" s="7" t="str">
        <f>IFERROR(__xludf.DUMMYFUNCTION("""COMPUTED_VALUE"""),"R24")</f>
        <v>R24</v>
      </c>
      <c r="B903" s="7" t="str">
        <f>IFERROR(__xludf.DUMMYFUNCTION("""COMPUTED_VALUE"""),"Network Engineer")</f>
        <v>Network Engineer</v>
      </c>
      <c r="C903" s="7" t="str">
        <f>IFERROR(__xludf.DUMMYFUNCTION("""COMPUTED_VALUE"""),"S209")</f>
        <v>S209</v>
      </c>
      <c r="D903" s="7" t="str">
        <f>IFERROR(__xludf.DUMMYFUNCTION("""COMPUTED_VALUE"""),"Applied Cryptography, Hashing &amp; PKI Certificates")</f>
        <v>Applied Cryptography, Hashing &amp; PKI Certificates</v>
      </c>
    </row>
    <row r="904">
      <c r="A904" s="7" t="str">
        <f>IFERROR(__xludf.DUMMYFUNCTION("""COMPUTED_VALUE"""),"R24")</f>
        <v>R24</v>
      </c>
      <c r="B904" s="7" t="str">
        <f>IFERROR(__xludf.DUMMYFUNCTION("""COMPUTED_VALUE"""),"Network Engineer")</f>
        <v>Network Engineer</v>
      </c>
      <c r="C904" s="7" t="str">
        <f>IFERROR(__xludf.DUMMYFUNCTION("""COMPUTED_VALUE"""),"S211")</f>
        <v>S211</v>
      </c>
      <c r="D904" s="7" t="str">
        <f>IFERROR(__xludf.DUMMYFUNCTION("""COMPUTED_VALUE"""),"Zero Trust Network Architecture")</f>
        <v>Zero Trust Network Architecture</v>
      </c>
    </row>
    <row r="905">
      <c r="A905" s="7" t="str">
        <f>IFERROR(__xludf.DUMMYFUNCTION("""COMPUTED_VALUE"""),"R24")</f>
        <v>R24</v>
      </c>
      <c r="B905" s="7" t="str">
        <f>IFERROR(__xludf.DUMMYFUNCTION("""COMPUTED_VALUE"""),"Network Engineer")</f>
        <v>Network Engineer</v>
      </c>
      <c r="C905" s="7" t="str">
        <f>IFERROR(__xludf.DUMMYFUNCTION("""COMPUTED_VALUE"""),"S242")</f>
        <v>S242</v>
      </c>
      <c r="D905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906">
      <c r="A906" s="7" t="str">
        <f>IFERROR(__xludf.DUMMYFUNCTION("""COMPUTED_VALUE"""),"R24")</f>
        <v>R24</v>
      </c>
      <c r="B906" s="7" t="str">
        <f>IFERROR(__xludf.DUMMYFUNCTION("""COMPUTED_VALUE"""),"Network Engineer")</f>
        <v>Network Engineer</v>
      </c>
      <c r="C906" s="7" t="str">
        <f>IFERROR(__xludf.DUMMYFUNCTION("""COMPUTED_VALUE"""),"S246")</f>
        <v>S246</v>
      </c>
      <c r="D906" s="7" t="str">
        <f>IFERROR(__xludf.DUMMYFUNCTION("""COMPUTED_VALUE"""),"Agile Methodologies, Scrum Framework &amp; Kanban")</f>
        <v>Agile Methodologies, Scrum Framework &amp; Kanban</v>
      </c>
    </row>
    <row r="907">
      <c r="A907" s="7" t="str">
        <f>IFERROR(__xludf.DUMMYFUNCTION("""COMPUTED_VALUE"""),"R24")</f>
        <v>R24</v>
      </c>
      <c r="B907" s="7" t="str">
        <f>IFERROR(__xludf.DUMMYFUNCTION("""COMPUTED_VALUE"""),"Network Engineer")</f>
        <v>Network Engineer</v>
      </c>
      <c r="C907" s="7" t="str">
        <f>IFERROR(__xludf.DUMMYFUNCTION("""COMPUTED_VALUE"""),"S247")</f>
        <v>S247</v>
      </c>
      <c r="D907" s="7" t="str">
        <f>IFERROR(__xludf.DUMMYFUNCTION("""COMPUTED_VALUE"""),"Project Tracking &amp; Documentation Tools (Jira, Confluence, Linear)")</f>
        <v>Project Tracking &amp; Documentation Tools (Jira, Confluence, Linear)</v>
      </c>
    </row>
    <row r="908">
      <c r="A908" s="7" t="str">
        <f>IFERROR(__xludf.DUMMYFUNCTION("""COMPUTED_VALUE"""),"R25")</f>
        <v>R25</v>
      </c>
      <c r="B908" s="7" t="str">
        <f>IFERROR(__xludf.DUMMYFUNCTION("""COMPUTED_VALUE"""),"IT Support Specialist")</f>
        <v>IT Support Specialist</v>
      </c>
      <c r="C908" s="7" t="str">
        <f>IFERROR(__xludf.DUMMYFUNCTION("""COMPUTED_VALUE"""),"S001")</f>
        <v>S001</v>
      </c>
      <c r="D908" s="7" t="str">
        <f>IFERROR(__xludf.DUMMYFUNCTION("""COMPUTED_VALUE"""),"Computer Architecture &amp; Organization")</f>
        <v>Computer Architecture &amp; Organization</v>
      </c>
    </row>
    <row r="909">
      <c r="A909" s="7" t="str">
        <f>IFERROR(__xludf.DUMMYFUNCTION("""COMPUTED_VALUE"""),"R25")</f>
        <v>R25</v>
      </c>
      <c r="B909" s="7" t="str">
        <f>IFERROR(__xludf.DUMMYFUNCTION("""COMPUTED_VALUE"""),"IT Support Specialist")</f>
        <v>IT Support Specialist</v>
      </c>
      <c r="C909" s="7" t="str">
        <f>IFERROR(__xludf.DUMMYFUNCTION("""COMPUTED_VALUE"""),"S002")</f>
        <v>S002</v>
      </c>
      <c r="D909" s="7" t="str">
        <f>IFERROR(__xludf.DUMMYFUNCTION("""COMPUTED_VALUE"""),"Operating Systems Concepts")</f>
        <v>Operating Systems Concepts</v>
      </c>
    </row>
    <row r="910">
      <c r="A910" s="7" t="str">
        <f>IFERROR(__xludf.DUMMYFUNCTION("""COMPUTED_VALUE"""),"R25")</f>
        <v>R25</v>
      </c>
      <c r="B910" s="7" t="str">
        <f>IFERROR(__xludf.DUMMYFUNCTION("""COMPUTED_VALUE"""),"IT Support Specialist")</f>
        <v>IT Support Specialist</v>
      </c>
      <c r="C910" s="7" t="str">
        <f>IFERROR(__xludf.DUMMYFUNCTION("""COMPUTED_VALUE"""),"S005")</f>
        <v>S005</v>
      </c>
      <c r="D910" s="7" t="str">
        <f>IFERROR(__xludf.DUMMYFUNCTION("""COMPUTED_VALUE"""),"File Systems &amp; Storage I/O")</f>
        <v>File Systems &amp; Storage I/O</v>
      </c>
    </row>
    <row r="911">
      <c r="A911" s="7" t="str">
        <f>IFERROR(__xludf.DUMMYFUNCTION("""COMPUTED_VALUE"""),"R25")</f>
        <v>R25</v>
      </c>
      <c r="B911" s="7" t="str">
        <f>IFERROR(__xludf.DUMMYFUNCTION("""COMPUTED_VALUE"""),"IT Support Specialist")</f>
        <v>IT Support Specialist</v>
      </c>
      <c r="C911" s="7" t="str">
        <f>IFERROR(__xludf.DUMMYFUNCTION("""COMPUTED_VALUE"""),"S017")</f>
        <v>S017</v>
      </c>
      <c r="D911" s="7" t="str">
        <f>IFERROR(__xludf.DUMMYFUNCTION("""COMPUTED_VALUE"""),"Git Version Control Fundamentals")</f>
        <v>Git Version Control Fundamentals</v>
      </c>
    </row>
    <row r="912">
      <c r="A912" s="7" t="str">
        <f>IFERROR(__xludf.DUMMYFUNCTION("""COMPUTED_VALUE"""),"R25")</f>
        <v>R25</v>
      </c>
      <c r="B912" s="7" t="str">
        <f>IFERROR(__xludf.DUMMYFUNCTION("""COMPUTED_VALUE"""),"IT Support Specialist")</f>
        <v>IT Support Specialist</v>
      </c>
      <c r="C912" s="7" t="str">
        <f>IFERROR(__xludf.DUMMYFUNCTION("""COMPUTED_VALUE"""),"S019")</f>
        <v>S019</v>
      </c>
      <c r="D912" s="7" t="str">
        <f>IFERROR(__xludf.DUMMYFUNCTION("""COMPUTED_VALUE"""),"Linux Command Line &amp; File Permissions")</f>
        <v>Linux Command Line &amp; File Permissions</v>
      </c>
    </row>
    <row r="913">
      <c r="A913" s="7" t="str">
        <f>IFERROR(__xludf.DUMMYFUNCTION("""COMPUTED_VALUE"""),"R25")</f>
        <v>R25</v>
      </c>
      <c r="B913" s="7" t="str">
        <f>IFERROR(__xludf.DUMMYFUNCTION("""COMPUTED_VALUE"""),"IT Support Specialist")</f>
        <v>IT Support Specialist</v>
      </c>
      <c r="C913" s="7" t="str">
        <f>IFERROR(__xludf.DUMMYFUNCTION("""COMPUTED_VALUE"""),"S020")</f>
        <v>S020</v>
      </c>
      <c r="D913" s="7" t="str">
        <f>IFERROR(__xludf.DUMMYFUNCTION("""COMPUTED_VALUE"""),"Bash &amp; Shell Scripting")</f>
        <v>Bash &amp; Shell Scripting</v>
      </c>
    </row>
    <row r="914">
      <c r="A914" s="7" t="str">
        <f>IFERROR(__xludf.DUMMYFUNCTION("""COMPUTED_VALUE"""),"R25")</f>
        <v>R25</v>
      </c>
      <c r="B914" s="7" t="str">
        <f>IFERROR(__xludf.DUMMYFUNCTION("""COMPUTED_VALUE"""),"IT Support Specialist")</f>
        <v>IT Support Specialist</v>
      </c>
      <c r="C914" s="7" t="str">
        <f>IFERROR(__xludf.DUMMYFUNCTION("""COMPUTED_VALUE"""),"S021")</f>
        <v>S021</v>
      </c>
      <c r="D914" s="7" t="str">
        <f>IFERROR(__xludf.DUMMYFUNCTION("""COMPUTED_VALUE"""),"PowerShell Scripting")</f>
        <v>PowerShell Scripting</v>
      </c>
    </row>
    <row r="915">
      <c r="A915" s="7" t="str">
        <f>IFERROR(__xludf.DUMMYFUNCTION("""COMPUTED_VALUE"""),"R25")</f>
        <v>R25</v>
      </c>
      <c r="B915" s="7" t="str">
        <f>IFERROR(__xludf.DUMMYFUNCTION("""COMPUTED_VALUE"""),"IT Support Specialist")</f>
        <v>IT Support Specialist</v>
      </c>
      <c r="C915" s="7" t="str">
        <f>IFERROR(__xludf.DUMMYFUNCTION("""COMPUTED_VALUE"""),"S022")</f>
        <v>S022</v>
      </c>
      <c r="D915" s="7" t="str">
        <f>IFERROR(__xludf.DUMMYFUNCTION("""COMPUTED_VALUE"""),"Computer Networking &amp; OSI Model")</f>
        <v>Computer Networking &amp; OSI Model</v>
      </c>
    </row>
    <row r="916">
      <c r="A916" s="7" t="str">
        <f>IFERROR(__xludf.DUMMYFUNCTION("""COMPUTED_VALUE"""),"R25")</f>
        <v>R25</v>
      </c>
      <c r="B916" s="7" t="str">
        <f>IFERROR(__xludf.DUMMYFUNCTION("""COMPUTED_VALUE"""),"IT Support Specialist")</f>
        <v>IT Support Specialist</v>
      </c>
      <c r="C916" s="7" t="str">
        <f>IFERROR(__xludf.DUMMYFUNCTION("""COMPUTED_VALUE"""),"S023")</f>
        <v>S023</v>
      </c>
      <c r="D916" s="7" t="str">
        <f>IFERROR(__xludf.DUMMYFUNCTION("""COMPUTED_VALUE"""),"HTTP/HTTPS Protocols &amp; Status Codes")</f>
        <v>HTTP/HTTPS Protocols &amp; Status Codes</v>
      </c>
    </row>
    <row r="917">
      <c r="A917" s="7" t="str">
        <f>IFERROR(__xludf.DUMMYFUNCTION("""COMPUTED_VALUE"""),"R25")</f>
        <v>R25</v>
      </c>
      <c r="B917" s="7" t="str">
        <f>IFERROR(__xludf.DUMMYFUNCTION("""COMPUTED_VALUE"""),"IT Support Specialist")</f>
        <v>IT Support Specialist</v>
      </c>
      <c r="C917" s="7" t="str">
        <f>IFERROR(__xludf.DUMMYFUNCTION("""COMPUTED_VALUE"""),"S024")</f>
        <v>S024</v>
      </c>
      <c r="D917" s="7" t="str">
        <f>IFERROR(__xludf.DUMMYFUNCTION("""COMPUTED_VALUE"""),"DNS, Domain Routing &amp; SSL/TLS")</f>
        <v>DNS, Domain Routing &amp; SSL/TLS</v>
      </c>
    </row>
    <row r="918">
      <c r="A918" s="7" t="str">
        <f>IFERROR(__xludf.DUMMYFUNCTION("""COMPUTED_VALUE"""),"R25")</f>
        <v>R25</v>
      </c>
      <c r="B918" s="7" t="str">
        <f>IFERROR(__xludf.DUMMYFUNCTION("""COMPUTED_VALUE"""),"IT Support Specialist")</f>
        <v>IT Support Specialist</v>
      </c>
      <c r="C918" s="7" t="str">
        <f>IFERROR(__xludf.DUMMYFUNCTION("""COMPUTED_VALUE"""),"S028")</f>
        <v>S028</v>
      </c>
      <c r="D918" s="7" t="str">
        <f>IFERROR(__xludf.DUMMYFUNCTION("""COMPUTED_VALUE"""),"Technical Writing &amp; Markdown Documentation")</f>
        <v>Technical Writing &amp; Markdown Documentation</v>
      </c>
    </row>
    <row r="919">
      <c r="A919" s="7" t="str">
        <f>IFERROR(__xludf.DUMMYFUNCTION("""COMPUTED_VALUE"""),"R25")</f>
        <v>R25</v>
      </c>
      <c r="B919" s="7" t="str">
        <f>IFERROR(__xludf.DUMMYFUNCTION("""COMPUTED_VALUE"""),"IT Support Specialist")</f>
        <v>IT Support Specialist</v>
      </c>
      <c r="C919" s="7" t="str">
        <f>IFERROR(__xludf.DUMMYFUNCTION("""COMPUTED_VALUE"""),"S029")</f>
        <v>S029</v>
      </c>
      <c r="D919" s="7" t="str">
        <f>IFERROR(__xludf.DUMMYFUNCTION("""COMPUTED_VALUE"""),"Debugging, Profiling &amp; Root Cause Analysis")</f>
        <v>Debugging, Profiling &amp; Root Cause Analysis</v>
      </c>
    </row>
    <row r="920">
      <c r="A920" s="7" t="str">
        <f>IFERROR(__xludf.DUMMYFUNCTION("""COMPUTED_VALUE"""),"R25")</f>
        <v>R25</v>
      </c>
      <c r="B920" s="7" t="str">
        <f>IFERROR(__xludf.DUMMYFUNCTION("""COMPUTED_VALUE"""),"IT Support Specialist")</f>
        <v>IT Support Specialist</v>
      </c>
      <c r="C920" s="7" t="str">
        <f>IFERROR(__xludf.DUMMYFUNCTION("""COMPUTED_VALUE"""),"S107")</f>
        <v>S107</v>
      </c>
      <c r="D920" s="7" t="str">
        <f>IFERROR(__xludf.DUMMYFUNCTION("""COMPUTED_VALUE"""),"SQL Querying (Joins, Aggregations, Subqueries)")</f>
        <v>SQL Querying (Joins, Aggregations, Subqueries)</v>
      </c>
    </row>
    <row r="921">
      <c r="A921" s="7" t="str">
        <f>IFERROR(__xludf.DUMMYFUNCTION("""COMPUTED_VALUE"""),"R25")</f>
        <v>R25</v>
      </c>
      <c r="B921" s="7" t="str">
        <f>IFERROR(__xludf.DUMMYFUNCTION("""COMPUTED_VALUE"""),"IT Support Specialist")</f>
        <v>IT Support Specialist</v>
      </c>
      <c r="C921" s="7" t="str">
        <f>IFERROR(__xludf.DUMMYFUNCTION("""COMPUTED_VALUE"""),"S146")</f>
        <v>S146</v>
      </c>
      <c r="D921" s="7" t="str">
        <f>IFERROR(__xludf.DUMMYFUNCTION("""COMPUTED_VALUE"""),"Advanced Excel, Pivot Tables &amp; Financial Modeling")</f>
        <v>Advanced Excel, Pivot Tables &amp; Financial Modeling</v>
      </c>
    </row>
    <row r="922">
      <c r="A922" s="7" t="str">
        <f>IFERROR(__xludf.DUMMYFUNCTION("""COMPUTED_VALUE"""),"R25")</f>
        <v>R25</v>
      </c>
      <c r="B922" s="7" t="str">
        <f>IFERROR(__xludf.DUMMYFUNCTION("""COMPUTED_VALUE"""),"IT Support Specialist")</f>
        <v>IT Support Specialist</v>
      </c>
      <c r="C922" s="7" t="str">
        <f>IFERROR(__xludf.DUMMYFUNCTION("""COMPUTED_VALUE"""),"S191")</f>
        <v>S191</v>
      </c>
      <c r="D922" s="7" t="str">
        <f>IFERROR(__xludf.DUMMYFUNCTION("""COMPUTED_VALUE"""),"Enterprise Linux System Administration (RHEL, Ubuntu, systemd)")</f>
        <v>Enterprise Linux System Administration (RHEL, Ubuntu, systemd)</v>
      </c>
    </row>
    <row r="923">
      <c r="A923" s="7" t="str">
        <f>IFERROR(__xludf.DUMMYFUNCTION("""COMPUTED_VALUE"""),"R25")</f>
        <v>R25</v>
      </c>
      <c r="B923" s="7" t="str">
        <f>IFERROR(__xludf.DUMMYFUNCTION("""COMPUTED_VALUE"""),"IT Support Specialist")</f>
        <v>IT Support Specialist</v>
      </c>
      <c r="C923" s="7" t="str">
        <f>IFERROR(__xludf.DUMMYFUNCTION("""COMPUTED_VALUE"""),"S192")</f>
        <v>S192</v>
      </c>
      <c r="D923" s="7" t="str">
        <f>IFERROR(__xludf.DUMMYFUNCTION("""COMPUTED_VALUE"""),"Windows Server &amp; Active Directory Administration")</f>
        <v>Windows Server &amp; Active Directory Administration</v>
      </c>
    </row>
    <row r="924">
      <c r="A924" s="7" t="str">
        <f>IFERROR(__xludf.DUMMYFUNCTION("""COMPUTED_VALUE"""),"R25")</f>
        <v>R25</v>
      </c>
      <c r="B924" s="7" t="str">
        <f>IFERROR(__xludf.DUMMYFUNCTION("""COMPUTED_VALUE"""),"IT Support Specialist")</f>
        <v>IT Support Specialist</v>
      </c>
      <c r="C924" s="7" t="str">
        <f>IFERROR(__xludf.DUMMYFUNCTION("""COMPUTED_VALUE"""),"S193")</f>
        <v>S193</v>
      </c>
      <c r="D924" s="7" t="str">
        <f>IFERROR(__xludf.DUMMYFUNCTION("""COMPUTED_VALUE"""),"Virtualization &amp; Hypervisors (VMware vSphere, Proxmox, KVM)")</f>
        <v>Virtualization &amp; Hypervisors (VMware vSphere, Proxmox, KVM)</v>
      </c>
    </row>
    <row r="925">
      <c r="A925" s="7" t="str">
        <f>IFERROR(__xludf.DUMMYFUNCTION("""COMPUTED_VALUE"""),"R25")</f>
        <v>R25</v>
      </c>
      <c r="B925" s="7" t="str">
        <f>IFERROR(__xludf.DUMMYFUNCTION("""COMPUTED_VALUE"""),"IT Support Specialist")</f>
        <v>IT Support Specialist</v>
      </c>
      <c r="C925" s="7" t="str">
        <f>IFERROR(__xludf.DUMMYFUNCTION("""COMPUTED_VALUE"""),"S194")</f>
        <v>S194</v>
      </c>
      <c r="D925" s="7" t="str">
        <f>IFERROR(__xludf.DUMMYFUNCTION("""COMPUTED_VALUE"""),"TCP/IP Networking, Subnetting, VLANs &amp; VPNs")</f>
        <v>TCP/IP Networking, Subnetting, VLANs &amp; VPNs</v>
      </c>
    </row>
    <row r="926">
      <c r="A926" s="7" t="str">
        <f>IFERROR(__xludf.DUMMYFUNCTION("""COMPUTED_VALUE"""),"R25")</f>
        <v>R25</v>
      </c>
      <c r="B926" s="7" t="str">
        <f>IFERROR(__xludf.DUMMYFUNCTION("""COMPUTED_VALUE"""),"IT Support Specialist")</f>
        <v>IT Support Specialist</v>
      </c>
      <c r="C926" s="7" t="str">
        <f>IFERROR(__xludf.DUMMYFUNCTION("""COMPUTED_VALUE"""),"S196")</f>
        <v>S196</v>
      </c>
      <c r="D926" s="7" t="str">
        <f>IFERROR(__xludf.DUMMYFUNCTION("""COMPUTED_VALUE"""),"Cybersecurity Principles &amp; CIA Triad")</f>
        <v>Cybersecurity Principles &amp; CIA Triad</v>
      </c>
    </row>
    <row r="927">
      <c r="A927" s="7" t="str">
        <f>IFERROR(__xludf.DUMMYFUNCTION("""COMPUTED_VALUE"""),"R25")</f>
        <v>R25</v>
      </c>
      <c r="B927" s="7" t="str">
        <f>IFERROR(__xludf.DUMMYFUNCTION("""COMPUTED_VALUE"""),"IT Support Specialist")</f>
        <v>IT Support Specialist</v>
      </c>
      <c r="C927" s="7" t="str">
        <f>IFERROR(__xludf.DUMMYFUNCTION("""COMPUTED_VALUE"""),"S197")</f>
        <v>S197</v>
      </c>
      <c r="D927" s="7" t="str">
        <f>IFERROR(__xludf.DUMMYFUNCTION("""COMPUTED_VALUE"""),"Network Security, Firewalls &amp; WAF")</f>
        <v>Network Security, Firewalls &amp; WAF</v>
      </c>
    </row>
    <row r="928">
      <c r="A928" s="7" t="str">
        <f>IFERROR(__xludf.DUMMYFUNCTION("""COMPUTED_VALUE"""),"R25")</f>
        <v>R25</v>
      </c>
      <c r="B928" s="7" t="str">
        <f>IFERROR(__xludf.DUMMYFUNCTION("""COMPUTED_VALUE"""),"IT Support Specialist")</f>
        <v>IT Support Specialist</v>
      </c>
      <c r="C928" s="7" t="str">
        <f>IFERROR(__xludf.DUMMYFUNCTION("""COMPUTED_VALUE"""),"S199")</f>
        <v>S199</v>
      </c>
      <c r="D928" s="7" t="str">
        <f>IFERROR(__xludf.DUMMYFUNCTION("""COMPUTED_VALUE"""),"Packet Capture &amp; Traffic Analysis (Wireshark, tcpdump, Nmap)")</f>
        <v>Packet Capture &amp; Traffic Analysis (Wireshark, tcpdump, Nmap)</v>
      </c>
    </row>
    <row r="929">
      <c r="A929" s="7" t="str">
        <f>IFERROR(__xludf.DUMMYFUNCTION("""COMPUTED_VALUE"""),"R25")</f>
        <v>R25</v>
      </c>
      <c r="B929" s="7" t="str">
        <f>IFERROR(__xludf.DUMMYFUNCTION("""COMPUTED_VALUE"""),"IT Support Specialist")</f>
        <v>IT Support Specialist</v>
      </c>
      <c r="C929" s="7" t="str">
        <f>IFERROR(__xludf.DUMMYFUNCTION("""COMPUTED_VALUE"""),"S206")</f>
        <v>S206</v>
      </c>
      <c r="D929" s="7" t="str">
        <f>IFERROR(__xludf.DUMMYFUNCTION("""COMPUTED_VALUE"""),"Endpoint Detection &amp; Response (EDR / XDR: CrowdStrike, Defender)")</f>
        <v>Endpoint Detection &amp; Response (EDR / XDR: CrowdStrike, Defender)</v>
      </c>
    </row>
    <row r="930">
      <c r="A930" s="7" t="str">
        <f>IFERROR(__xludf.DUMMYFUNCTION("""COMPUTED_VALUE"""),"R25")</f>
        <v>R25</v>
      </c>
      <c r="B930" s="7" t="str">
        <f>IFERROR(__xludf.DUMMYFUNCTION("""COMPUTED_VALUE"""),"IT Support Specialist")</f>
        <v>IT Support Specialist</v>
      </c>
      <c r="C930" s="7" t="str">
        <f>IFERROR(__xludf.DUMMYFUNCTION("""COMPUTED_VALUE"""),"S210")</f>
        <v>S210</v>
      </c>
      <c r="D930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931">
      <c r="A931" s="7" t="str">
        <f>IFERROR(__xludf.DUMMYFUNCTION("""COMPUTED_VALUE"""),"R25")</f>
        <v>R25</v>
      </c>
      <c r="B931" s="7" t="str">
        <f>IFERROR(__xludf.DUMMYFUNCTION("""COMPUTED_VALUE"""),"IT Support Specialist")</f>
        <v>IT Support Specialist</v>
      </c>
      <c r="C931" s="7" t="str">
        <f>IFERROR(__xludf.DUMMYFUNCTION("""COMPUTED_VALUE"""),"S242")</f>
        <v>S242</v>
      </c>
      <c r="D931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932">
      <c r="A932" s="7" t="str">
        <f>IFERROR(__xludf.DUMMYFUNCTION("""COMPUTED_VALUE"""),"R25")</f>
        <v>R25</v>
      </c>
      <c r="B932" s="7" t="str">
        <f>IFERROR(__xludf.DUMMYFUNCTION("""COMPUTED_VALUE"""),"IT Support Specialist")</f>
        <v>IT Support Specialist</v>
      </c>
      <c r="C932" s="7" t="str">
        <f>IFERROR(__xludf.DUMMYFUNCTION("""COMPUTED_VALUE"""),"S246")</f>
        <v>S246</v>
      </c>
      <c r="D932" s="7" t="str">
        <f>IFERROR(__xludf.DUMMYFUNCTION("""COMPUTED_VALUE"""),"Agile Methodologies, Scrum Framework &amp; Kanban")</f>
        <v>Agile Methodologies, Scrum Framework &amp; Kanban</v>
      </c>
    </row>
    <row r="933">
      <c r="A933" s="7" t="str">
        <f>IFERROR(__xludf.DUMMYFUNCTION("""COMPUTED_VALUE"""),"R25")</f>
        <v>R25</v>
      </c>
      <c r="B933" s="7" t="str">
        <f>IFERROR(__xludf.DUMMYFUNCTION("""COMPUTED_VALUE"""),"IT Support Specialist")</f>
        <v>IT Support Specialist</v>
      </c>
      <c r="C933" s="7" t="str">
        <f>IFERROR(__xludf.DUMMYFUNCTION("""COMPUTED_VALUE"""),"S247")</f>
        <v>S247</v>
      </c>
      <c r="D933" s="7" t="str">
        <f>IFERROR(__xludf.DUMMYFUNCTION("""COMPUTED_VALUE"""),"Project Tracking &amp; Documentation Tools (Jira, Confluence, Linear)")</f>
        <v>Project Tracking &amp; Documentation Tools (Jira, Confluence, Linear)</v>
      </c>
    </row>
    <row r="934">
      <c r="A934" s="7" t="str">
        <f>IFERROR(__xludf.DUMMYFUNCTION("""COMPUTED_VALUE"""),"R26")</f>
        <v>R26</v>
      </c>
      <c r="B934" s="7" t="str">
        <f>IFERROR(__xludf.DUMMYFUNCTION("""COMPUTED_VALUE"""),"Business Analyst")</f>
        <v>Business Analyst</v>
      </c>
      <c r="C934" s="7" t="str">
        <f>IFERROR(__xludf.DUMMYFUNCTION("""COMPUTED_VALUE"""),"S017")</f>
        <v>S017</v>
      </c>
      <c r="D934" s="7" t="str">
        <f>IFERROR(__xludf.DUMMYFUNCTION("""COMPUTED_VALUE"""),"Git Version Control Fundamentals")</f>
        <v>Git Version Control Fundamentals</v>
      </c>
    </row>
    <row r="935">
      <c r="A935" s="7" t="str">
        <f>IFERROR(__xludf.DUMMYFUNCTION("""COMPUTED_VALUE"""),"R26")</f>
        <v>R26</v>
      </c>
      <c r="B935" s="7" t="str">
        <f>IFERROR(__xludf.DUMMYFUNCTION("""COMPUTED_VALUE"""),"Business Analyst")</f>
        <v>Business Analyst</v>
      </c>
      <c r="C935" s="7" t="str">
        <f>IFERROR(__xludf.DUMMYFUNCTION("""COMPUTED_VALUE"""),"S026")</f>
        <v>S026</v>
      </c>
      <c r="D935" s="7" t="str">
        <f>IFERROR(__xludf.DUMMYFUNCTION("""COMPUTED_VALUE"""),"Data Serialization (JSON, XML, YAML, Protobuf)")</f>
        <v>Data Serialization (JSON, XML, YAML, Protobuf)</v>
      </c>
    </row>
    <row r="936">
      <c r="A936" s="7" t="str">
        <f>IFERROR(__xludf.DUMMYFUNCTION("""COMPUTED_VALUE"""),"R26")</f>
        <v>R26</v>
      </c>
      <c r="B936" s="7" t="str">
        <f>IFERROR(__xludf.DUMMYFUNCTION("""COMPUTED_VALUE"""),"Business Analyst")</f>
        <v>Business Analyst</v>
      </c>
      <c r="C936" s="7" t="str">
        <f>IFERROR(__xludf.DUMMYFUNCTION("""COMPUTED_VALUE"""),"S028")</f>
        <v>S028</v>
      </c>
      <c r="D936" s="7" t="str">
        <f>IFERROR(__xludf.DUMMYFUNCTION("""COMPUTED_VALUE"""),"Technical Writing &amp; Markdown Documentation")</f>
        <v>Technical Writing &amp; Markdown Documentation</v>
      </c>
    </row>
    <row r="937">
      <c r="A937" s="7" t="str">
        <f>IFERROR(__xludf.DUMMYFUNCTION("""COMPUTED_VALUE"""),"R26")</f>
        <v>R26</v>
      </c>
      <c r="B937" s="7" t="str">
        <f>IFERROR(__xludf.DUMMYFUNCTION("""COMPUTED_VALUE"""),"Business Analyst")</f>
        <v>Business Analyst</v>
      </c>
      <c r="C937" s="7" t="str">
        <f>IFERROR(__xludf.DUMMYFUNCTION("""COMPUTED_VALUE"""),"S062")</f>
        <v>S062</v>
      </c>
      <c r="D937" s="7" t="str">
        <f>IFERROR(__xludf.DUMMYFUNCTION("""COMPUTED_VALUE"""),"Wireframing &amp; Interactive Prototyping (Figma)")</f>
        <v>Wireframing &amp; Interactive Prototyping (Figma)</v>
      </c>
    </row>
    <row r="938">
      <c r="A938" s="7" t="str">
        <f>IFERROR(__xludf.DUMMYFUNCTION("""COMPUTED_VALUE"""),"R26")</f>
        <v>R26</v>
      </c>
      <c r="B938" s="7" t="str">
        <f>IFERROR(__xludf.DUMMYFUNCTION("""COMPUTED_VALUE"""),"Business Analyst")</f>
        <v>Business Analyst</v>
      </c>
      <c r="C938" s="7" t="str">
        <f>IFERROR(__xludf.DUMMYFUNCTION("""COMPUTED_VALUE"""),"S063")</f>
        <v>S063</v>
      </c>
      <c r="D938" s="7" t="str">
        <f>IFERROR(__xludf.DUMMYFUNCTION("""COMPUTED_VALUE"""),"User Research, Personas &amp; Usability Testing")</f>
        <v>User Research, Personas &amp; Usability Testing</v>
      </c>
    </row>
    <row r="939">
      <c r="A939" s="7" t="str">
        <f>IFERROR(__xludf.DUMMYFUNCTION("""COMPUTED_VALUE"""),"R26")</f>
        <v>R26</v>
      </c>
      <c r="B939" s="7" t="str">
        <f>IFERROR(__xludf.DUMMYFUNCTION("""COMPUTED_VALUE"""),"Business Analyst")</f>
        <v>Business Analyst</v>
      </c>
      <c r="C939" s="7" t="str">
        <f>IFERROR(__xludf.DUMMYFUNCTION("""COMPUTED_VALUE"""),"S064")</f>
        <v>S064</v>
      </c>
      <c r="D939" s="7" t="str">
        <f>IFERROR(__xludf.DUMMYFUNCTION("""COMPUTED_VALUE"""),"Information Architecture &amp; User Flows")</f>
        <v>Information Architecture &amp; User Flows</v>
      </c>
    </row>
    <row r="940">
      <c r="A940" s="7" t="str">
        <f>IFERROR(__xludf.DUMMYFUNCTION("""COMPUTED_VALUE"""),"R26")</f>
        <v>R26</v>
      </c>
      <c r="B940" s="7" t="str">
        <f>IFERROR(__xludf.DUMMYFUNCTION("""COMPUTED_VALUE"""),"Business Analyst")</f>
        <v>Business Analyst</v>
      </c>
      <c r="C940" s="7" t="str">
        <f>IFERROR(__xludf.DUMMYFUNCTION("""COMPUTED_VALUE"""),"S086")</f>
        <v>S086</v>
      </c>
      <c r="D940" s="7" t="str">
        <f>IFERROR(__xludf.DUMMYFUNCTION("""COMPUTED_VALUE"""),"RESTful API Design &amp; OpenAPI/Swagger")</f>
        <v>RESTful API Design &amp; OpenAPI/Swagger</v>
      </c>
    </row>
    <row r="941">
      <c r="A941" s="7" t="str">
        <f>IFERROR(__xludf.DUMMYFUNCTION("""COMPUTED_VALUE"""),"R26")</f>
        <v>R26</v>
      </c>
      <c r="B941" s="7" t="str">
        <f>IFERROR(__xludf.DUMMYFUNCTION("""COMPUTED_VALUE"""),"Business Analyst")</f>
        <v>Business Analyst</v>
      </c>
      <c r="C941" s="7" t="str">
        <f>IFERROR(__xludf.DUMMYFUNCTION("""COMPUTED_VALUE"""),"S106")</f>
        <v>S106</v>
      </c>
      <c r="D941" s="7" t="str">
        <f>IFERROR(__xludf.DUMMYFUNCTION("""COMPUTED_VALUE"""),"Relational Database Design &amp; Normalization (1NF-3NF)")</f>
        <v>Relational Database Design &amp; Normalization (1NF-3NF)</v>
      </c>
    </row>
    <row r="942">
      <c r="A942" s="7" t="str">
        <f>IFERROR(__xludf.DUMMYFUNCTION("""COMPUTED_VALUE"""),"R26")</f>
        <v>R26</v>
      </c>
      <c r="B942" s="7" t="str">
        <f>IFERROR(__xludf.DUMMYFUNCTION("""COMPUTED_VALUE"""),"Business Analyst")</f>
        <v>Business Analyst</v>
      </c>
      <c r="C942" s="7" t="str">
        <f>IFERROR(__xludf.DUMMYFUNCTION("""COMPUTED_VALUE"""),"S107")</f>
        <v>S107</v>
      </c>
      <c r="D942" s="7" t="str">
        <f>IFERROR(__xludf.DUMMYFUNCTION("""COMPUTED_VALUE"""),"SQL Querying (Joins, Aggregations, Subqueries)")</f>
        <v>SQL Querying (Joins, Aggregations, Subqueries)</v>
      </c>
    </row>
    <row r="943">
      <c r="A943" s="7" t="str">
        <f>IFERROR(__xludf.DUMMYFUNCTION("""COMPUTED_VALUE"""),"R26")</f>
        <v>R26</v>
      </c>
      <c r="B943" s="7" t="str">
        <f>IFERROR(__xludf.DUMMYFUNCTION("""COMPUTED_VALUE"""),"Business Analyst")</f>
        <v>Business Analyst</v>
      </c>
      <c r="C943" s="7" t="str">
        <f>IFERROR(__xludf.DUMMYFUNCTION("""COMPUTED_VALUE"""),"S108")</f>
        <v>S108</v>
      </c>
      <c r="D943" s="7" t="str">
        <f>IFERROR(__xludf.DUMMYFUNCTION("""COMPUTED_VALUE"""),"Advanced SQL (Window Functions, CTEs, Stored Procedures)")</f>
        <v>Advanced SQL (Window Functions, CTEs, Stored Procedures)</v>
      </c>
    </row>
    <row r="944">
      <c r="A944" s="7" t="str">
        <f>IFERROR(__xludf.DUMMYFUNCTION("""COMPUTED_VALUE"""),"R26")</f>
        <v>R26</v>
      </c>
      <c r="B944" s="7" t="str">
        <f>IFERROR(__xludf.DUMMYFUNCTION("""COMPUTED_VALUE"""),"Business Analyst")</f>
        <v>Business Analyst</v>
      </c>
      <c r="C944" s="7" t="str">
        <f>IFERROR(__xludf.DUMMYFUNCTION("""COMPUTED_VALUE"""),"S131")</f>
        <v>S131</v>
      </c>
      <c r="D944" s="7" t="str">
        <f>IFERROR(__xludf.DUMMYFUNCTION("""COMPUTED_VALUE"""),"Cloud Data Warehousing (Snowflake, Google BigQuery, AWS Redshift)")</f>
        <v>Cloud Data Warehousing (Snowflake, Google BigQuery, AWS Redshift)</v>
      </c>
    </row>
    <row r="945">
      <c r="A945" s="7" t="str">
        <f>IFERROR(__xludf.DUMMYFUNCTION("""COMPUTED_VALUE"""),"R26")</f>
        <v>R26</v>
      </c>
      <c r="B945" s="7" t="str">
        <f>IFERROR(__xludf.DUMMYFUNCTION("""COMPUTED_VALUE"""),"Business Analyst")</f>
        <v>Business Analyst</v>
      </c>
      <c r="C945" s="7" t="str">
        <f>IFERROR(__xludf.DUMMYFUNCTION("""COMPUTED_VALUE"""),"S134")</f>
        <v>S134</v>
      </c>
      <c r="D945" s="7" t="str">
        <f>IFERROR(__xludf.DUMMYFUNCTION("""COMPUTED_VALUE"""),"Data Modeling (Star Schema, Snowflake Schema, Data Vault)")</f>
        <v>Data Modeling (Star Schema, Snowflake Schema, Data Vault)</v>
      </c>
    </row>
    <row r="946">
      <c r="A946" s="7" t="str">
        <f>IFERROR(__xludf.DUMMYFUNCTION("""COMPUTED_VALUE"""),"R26")</f>
        <v>R26</v>
      </c>
      <c r="B946" s="7" t="str">
        <f>IFERROR(__xludf.DUMMYFUNCTION("""COMPUTED_VALUE"""),"Business Analyst")</f>
        <v>Business Analyst</v>
      </c>
      <c r="C946" s="7" t="str">
        <f>IFERROR(__xludf.DUMMYFUNCTION("""COMPUTED_VALUE"""),"S135")</f>
        <v>S135</v>
      </c>
      <c r="D946" s="7" t="str">
        <f>IFERROR(__xludf.DUMMYFUNCTION("""COMPUTED_VALUE"""),"Data Quality, Lineage &amp; Governance (Great Expectations, Collibra)")</f>
        <v>Data Quality, Lineage &amp; Governance (Great Expectations, Collibra)</v>
      </c>
    </row>
    <row r="947">
      <c r="A947" s="7" t="str">
        <f>IFERROR(__xludf.DUMMYFUNCTION("""COMPUTED_VALUE"""),"R26")</f>
        <v>R26</v>
      </c>
      <c r="B947" s="7" t="str">
        <f>IFERROR(__xludf.DUMMYFUNCTION("""COMPUTED_VALUE"""),"Business Analyst")</f>
        <v>Business Analyst</v>
      </c>
      <c r="C947" s="7" t="str">
        <f>IFERROR(__xludf.DUMMYFUNCTION("""COMPUTED_VALUE"""),"S136")</f>
        <v>S136</v>
      </c>
      <c r="D947" s="7" t="str">
        <f>IFERROR(__xludf.DUMMYFUNCTION("""COMPUTED_VALUE"""),"Probability Theory &amp; Descriptive Statistics")</f>
        <v>Probability Theory &amp; Descriptive Statistics</v>
      </c>
    </row>
    <row r="948">
      <c r="A948" s="7" t="str">
        <f>IFERROR(__xludf.DUMMYFUNCTION("""COMPUTED_VALUE"""),"R26")</f>
        <v>R26</v>
      </c>
      <c r="B948" s="7" t="str">
        <f>IFERROR(__xludf.DUMMYFUNCTION("""COMPUTED_VALUE"""),"Business Analyst")</f>
        <v>Business Analyst</v>
      </c>
      <c r="C948" s="7" t="str">
        <f>IFERROR(__xludf.DUMMYFUNCTION("""COMPUTED_VALUE"""),"S137")</f>
        <v>S137</v>
      </c>
      <c r="D948" s="7" t="str">
        <f>IFERROR(__xludf.DUMMYFUNCTION("""COMPUTED_VALUE"""),"Inferential Statistics, Hypothesis Testing &amp; A/B Testing")</f>
        <v>Inferential Statistics, Hypothesis Testing &amp; A/B Testing</v>
      </c>
    </row>
    <row r="949">
      <c r="A949" s="7" t="str">
        <f>IFERROR(__xludf.DUMMYFUNCTION("""COMPUTED_VALUE"""),"R26")</f>
        <v>R26</v>
      </c>
      <c r="B949" s="7" t="str">
        <f>IFERROR(__xludf.DUMMYFUNCTION("""COMPUTED_VALUE"""),"Business Analyst")</f>
        <v>Business Analyst</v>
      </c>
      <c r="C949" s="7" t="str">
        <f>IFERROR(__xludf.DUMMYFUNCTION("""COMPUTED_VALUE"""),"S140")</f>
        <v>S140</v>
      </c>
      <c r="D949" s="7" t="str">
        <f>IFERROR(__xludf.DUMMYFUNCTION("""COMPUTED_VALUE"""),"Data Manipulation &amp; Analysis with Pandas / Polars")</f>
        <v>Data Manipulation &amp; Analysis with Pandas / Polars</v>
      </c>
    </row>
    <row r="950">
      <c r="A950" s="7" t="str">
        <f>IFERROR(__xludf.DUMMYFUNCTION("""COMPUTED_VALUE"""),"R26")</f>
        <v>R26</v>
      </c>
      <c r="B950" s="7" t="str">
        <f>IFERROR(__xludf.DUMMYFUNCTION("""COMPUTED_VALUE"""),"Business Analyst")</f>
        <v>Business Analyst</v>
      </c>
      <c r="C950" s="7" t="str">
        <f>IFERROR(__xludf.DUMMYFUNCTION("""COMPUTED_VALUE"""),"S141")</f>
        <v>S141</v>
      </c>
      <c r="D950" s="7" t="str">
        <f>IFERROR(__xludf.DUMMYFUNCTION("""COMPUTED_VALUE"""),"Exploratory Data Analysis (EDA) &amp; Data Wrangling")</f>
        <v>Exploratory Data Analysis (EDA) &amp; Data Wrangling</v>
      </c>
    </row>
    <row r="951">
      <c r="A951" s="7" t="str">
        <f>IFERROR(__xludf.DUMMYFUNCTION("""COMPUTED_VALUE"""),"R26")</f>
        <v>R26</v>
      </c>
      <c r="B951" s="7" t="str">
        <f>IFERROR(__xludf.DUMMYFUNCTION("""COMPUTED_VALUE"""),"Business Analyst")</f>
        <v>Business Analyst</v>
      </c>
      <c r="C951" s="7" t="str">
        <f>IFERROR(__xludf.DUMMYFUNCTION("""COMPUTED_VALUE"""),"S144")</f>
        <v>S144</v>
      </c>
      <c r="D951" s="7" t="str">
        <f>IFERROR(__xludf.DUMMYFUNCTION("""COMPUTED_VALUE"""),"Business Intelligence &amp; Dashboards (Tableau)")</f>
        <v>Business Intelligence &amp; Dashboards (Tableau)</v>
      </c>
    </row>
    <row r="952">
      <c r="A952" s="7" t="str">
        <f>IFERROR(__xludf.DUMMYFUNCTION("""COMPUTED_VALUE"""),"R26")</f>
        <v>R26</v>
      </c>
      <c r="B952" s="7" t="str">
        <f>IFERROR(__xludf.DUMMYFUNCTION("""COMPUTED_VALUE"""),"Business Analyst")</f>
        <v>Business Analyst</v>
      </c>
      <c r="C952" s="7" t="str">
        <f>IFERROR(__xludf.DUMMYFUNCTION("""COMPUTED_VALUE"""),"S145")</f>
        <v>S145</v>
      </c>
      <c r="D952" s="7" t="str">
        <f>IFERROR(__xludf.DUMMYFUNCTION("""COMPUTED_VALUE"""),"Business Intelligence &amp; DAX Modeling (Power BI)")</f>
        <v>Business Intelligence &amp; DAX Modeling (Power BI)</v>
      </c>
    </row>
    <row r="953">
      <c r="A953" s="7" t="str">
        <f>IFERROR(__xludf.DUMMYFUNCTION("""COMPUTED_VALUE"""),"R26")</f>
        <v>R26</v>
      </c>
      <c r="B953" s="7" t="str">
        <f>IFERROR(__xludf.DUMMYFUNCTION("""COMPUTED_VALUE"""),"Business Analyst")</f>
        <v>Business Analyst</v>
      </c>
      <c r="C953" s="7" t="str">
        <f>IFERROR(__xludf.DUMMYFUNCTION("""COMPUTED_VALUE"""),"S146")</f>
        <v>S146</v>
      </c>
      <c r="D953" s="7" t="str">
        <f>IFERROR(__xludf.DUMMYFUNCTION("""COMPUTED_VALUE"""),"Advanced Excel, Pivot Tables &amp; Financial Modeling")</f>
        <v>Advanced Excel, Pivot Tables &amp; Financial Modeling</v>
      </c>
    </row>
    <row r="954">
      <c r="A954" s="7" t="str">
        <f>IFERROR(__xludf.DUMMYFUNCTION("""COMPUTED_VALUE"""),"R26")</f>
        <v>R26</v>
      </c>
      <c r="B954" s="7" t="str">
        <f>IFERROR(__xludf.DUMMYFUNCTION("""COMPUTED_VALUE"""),"Business Analyst")</f>
        <v>Business Analyst</v>
      </c>
      <c r="C954" s="7" t="str">
        <f>IFERROR(__xludf.DUMMYFUNCTION("""COMPUTED_VALUE"""),"S240")</f>
        <v>S240</v>
      </c>
      <c r="D954" s="7" t="str">
        <f>IFERROR(__xludf.DUMMYFUNCTION("""COMPUTED_VALUE"""),"Enterprise Resource Planning Systems (SAP ERP, S/4HANA, ABAP)")</f>
        <v>Enterprise Resource Planning Systems (SAP ERP, S/4HANA, ABAP)</v>
      </c>
    </row>
    <row r="955">
      <c r="A955" s="7" t="str">
        <f>IFERROR(__xludf.DUMMYFUNCTION("""COMPUTED_VALUE"""),"R26")</f>
        <v>R26</v>
      </c>
      <c r="B955" s="7" t="str">
        <f>IFERROR(__xludf.DUMMYFUNCTION("""COMPUTED_VALUE"""),"Business Analyst")</f>
        <v>Business Analyst</v>
      </c>
      <c r="C955" s="7" t="str">
        <f>IFERROR(__xludf.DUMMYFUNCTION("""COMPUTED_VALUE"""),"S241")</f>
        <v>S241</v>
      </c>
      <c r="D955" s="7" t="str">
        <f>IFERROR(__xludf.DUMMYFUNCTION("""COMPUTED_VALUE"""),"Customer Relationship Management Platforms (Salesforce CRM, Apex, LWC)")</f>
        <v>Customer Relationship Management Platforms (Salesforce CRM, Apex, LWC)</v>
      </c>
    </row>
    <row r="956">
      <c r="A956" s="7" t="str">
        <f>IFERROR(__xludf.DUMMYFUNCTION("""COMPUTED_VALUE"""),"R26")</f>
        <v>R26</v>
      </c>
      <c r="B956" s="7" t="str">
        <f>IFERROR(__xludf.DUMMYFUNCTION("""COMPUTED_VALUE"""),"Business Analyst")</f>
        <v>Business Analyst</v>
      </c>
      <c r="C956" s="7" t="str">
        <f>IFERROR(__xludf.DUMMYFUNCTION("""COMPUTED_VALUE"""),"S246")</f>
        <v>S246</v>
      </c>
      <c r="D956" s="7" t="str">
        <f>IFERROR(__xludf.DUMMYFUNCTION("""COMPUTED_VALUE"""),"Agile Methodologies, Scrum Framework &amp; Kanban")</f>
        <v>Agile Methodologies, Scrum Framework &amp; Kanban</v>
      </c>
    </row>
    <row r="957">
      <c r="A957" s="7" t="str">
        <f>IFERROR(__xludf.DUMMYFUNCTION("""COMPUTED_VALUE"""),"R26")</f>
        <v>R26</v>
      </c>
      <c r="B957" s="7" t="str">
        <f>IFERROR(__xludf.DUMMYFUNCTION("""COMPUTED_VALUE"""),"Business Analyst")</f>
        <v>Business Analyst</v>
      </c>
      <c r="C957" s="7" t="str">
        <f>IFERROR(__xludf.DUMMYFUNCTION("""COMPUTED_VALUE"""),"S247")</f>
        <v>S247</v>
      </c>
      <c r="D957" s="7" t="str">
        <f>IFERROR(__xludf.DUMMYFUNCTION("""COMPUTED_VALUE"""),"Project Tracking &amp; Documentation Tools (Jira, Confluence, Linear)")</f>
        <v>Project Tracking &amp; Documentation Tools (Jira, Confluence, Linear)</v>
      </c>
    </row>
    <row r="958">
      <c r="A958" s="7" t="str">
        <f>IFERROR(__xludf.DUMMYFUNCTION("""COMPUTED_VALUE"""),"R26")</f>
        <v>R26</v>
      </c>
      <c r="B958" s="7" t="str">
        <f>IFERROR(__xludf.DUMMYFUNCTION("""COMPUTED_VALUE"""),"Business Analyst")</f>
        <v>Business Analyst</v>
      </c>
      <c r="C958" s="7" t="str">
        <f>IFERROR(__xludf.DUMMYFUNCTION("""COMPUTED_VALUE"""),"S248")</f>
        <v>S248</v>
      </c>
      <c r="D958" s="7" t="str">
        <f>IFERROR(__xludf.DUMMYFUNCTION("""COMPUTED_VALUE"""),"Product Management, Roadmapping &amp; User Story Mapping")</f>
        <v>Product Management, Roadmapping &amp; User Story Mapping</v>
      </c>
    </row>
    <row r="959">
      <c r="A959" s="7" t="str">
        <f>IFERROR(__xludf.DUMMYFUNCTION("""COMPUTED_VALUE"""),"R26")</f>
        <v>R26</v>
      </c>
      <c r="B959" s="7" t="str">
        <f>IFERROR(__xludf.DUMMYFUNCTION("""COMPUTED_VALUE"""),"Business Analyst")</f>
        <v>Business Analyst</v>
      </c>
      <c r="C959" s="7" t="str">
        <f>IFERROR(__xludf.DUMMYFUNCTION("""COMPUTED_VALUE"""),"S249")</f>
        <v>S249</v>
      </c>
      <c r="D959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960">
      <c r="A960" s="7" t="str">
        <f>IFERROR(__xludf.DUMMYFUNCTION("""COMPUTED_VALUE"""),"R27")</f>
        <v>R27</v>
      </c>
      <c r="B960" s="7" t="str">
        <f>IFERROR(__xludf.DUMMYFUNCTION("""COMPUTED_VALUE"""),"AI Researcher")</f>
        <v>AI Researcher</v>
      </c>
      <c r="C960" s="7" t="str">
        <f>IFERROR(__xludf.DUMMYFUNCTION("""COMPUTED_VALUE"""),"S006")</f>
        <v>S006</v>
      </c>
      <c r="D960" s="7" t="str">
        <f>IFERROR(__xludf.DUMMYFUNCTION("""COMPUTED_VALUE"""),"Basic Data Structures (Arrays, Lists, Stacks, Queues)")</f>
        <v>Basic Data Structures (Arrays, Lists, Stacks, Queues)</v>
      </c>
    </row>
    <row r="961">
      <c r="A961" s="7" t="str">
        <f>IFERROR(__xludf.DUMMYFUNCTION("""COMPUTED_VALUE"""),"R27")</f>
        <v>R27</v>
      </c>
      <c r="B961" s="7" t="str">
        <f>IFERROR(__xludf.DUMMYFUNCTION("""COMPUTED_VALUE"""),"AI Researcher")</f>
        <v>AI Researcher</v>
      </c>
      <c r="C961" s="7" t="str">
        <f>IFERROR(__xludf.DUMMYFUNCTION("""COMPUTED_VALUE"""),"S007")</f>
        <v>S007</v>
      </c>
      <c r="D961" s="7" t="str">
        <f>IFERROR(__xludf.DUMMYFUNCTION("""COMPUTED_VALUE"""),"Trees &amp; Binary Search Trees")</f>
        <v>Trees &amp; Binary Search Trees</v>
      </c>
    </row>
    <row r="962">
      <c r="A962" s="7" t="str">
        <f>IFERROR(__xludf.DUMMYFUNCTION("""COMPUTED_VALUE"""),"R27")</f>
        <v>R27</v>
      </c>
      <c r="B962" s="7" t="str">
        <f>IFERROR(__xludf.DUMMYFUNCTION("""COMPUTED_VALUE"""),"AI Researcher")</f>
        <v>AI Researcher</v>
      </c>
      <c r="C962" s="7" t="str">
        <f>IFERROR(__xludf.DUMMYFUNCTION("""COMPUTED_VALUE"""),"S008")</f>
        <v>S008</v>
      </c>
      <c r="D962" s="7" t="str">
        <f>IFERROR(__xludf.DUMMYFUNCTION("""COMPUTED_VALUE"""),"Heaps, Priority Queues &amp; Hashing")</f>
        <v>Heaps, Priority Queues &amp; Hashing</v>
      </c>
    </row>
    <row r="963">
      <c r="A963" s="7" t="str">
        <f>IFERROR(__xludf.DUMMYFUNCTION("""COMPUTED_VALUE"""),"R27")</f>
        <v>R27</v>
      </c>
      <c r="B963" s="7" t="str">
        <f>IFERROR(__xludf.DUMMYFUNCTION("""COMPUTED_VALUE"""),"AI Researcher")</f>
        <v>AI Researcher</v>
      </c>
      <c r="C963" s="7" t="str">
        <f>IFERROR(__xludf.DUMMYFUNCTION("""COMPUTED_VALUE"""),"S009")</f>
        <v>S009</v>
      </c>
      <c r="D963" s="7" t="str">
        <f>IFERROR(__xludf.DUMMYFUNCTION("""COMPUTED_VALUE"""),"Graphs &amp; Graph Traversal (BFS/DFS)")</f>
        <v>Graphs &amp; Graph Traversal (BFS/DFS)</v>
      </c>
    </row>
    <row r="964">
      <c r="A964" s="7" t="str">
        <f>IFERROR(__xludf.DUMMYFUNCTION("""COMPUTED_VALUE"""),"R27")</f>
        <v>R27</v>
      </c>
      <c r="B964" s="7" t="str">
        <f>IFERROR(__xludf.DUMMYFUNCTION("""COMPUTED_VALUE"""),"AI Researcher")</f>
        <v>AI Researcher</v>
      </c>
      <c r="C964" s="7" t="str">
        <f>IFERROR(__xludf.DUMMYFUNCTION("""COMPUTED_VALUE"""),"S010")</f>
        <v>S010</v>
      </c>
      <c r="D964" s="7" t="str">
        <f>IFERROR(__xludf.DUMMYFUNCTION("""COMPUTED_VALUE"""),"Sorting &amp; Searching Algorithms")</f>
        <v>Sorting &amp; Searching Algorithms</v>
      </c>
    </row>
    <row r="965">
      <c r="A965" s="7" t="str">
        <f>IFERROR(__xludf.DUMMYFUNCTION("""COMPUTED_VALUE"""),"R27")</f>
        <v>R27</v>
      </c>
      <c r="B965" s="7" t="str">
        <f>IFERROR(__xludf.DUMMYFUNCTION("""COMPUTED_VALUE"""),"AI Researcher")</f>
        <v>AI Researcher</v>
      </c>
      <c r="C965" s="7" t="str">
        <f>IFERROR(__xludf.DUMMYFUNCTION("""COMPUTED_VALUE"""),"S011")</f>
        <v>S011</v>
      </c>
      <c r="D965" s="7" t="str">
        <f>IFERROR(__xludf.DUMMYFUNCTION("""COMPUTED_VALUE"""),"Dynamic Programming &amp; Greedy Algorithms")</f>
        <v>Dynamic Programming &amp; Greedy Algorithms</v>
      </c>
    </row>
    <row r="966">
      <c r="A966" s="7" t="str">
        <f>IFERROR(__xludf.DUMMYFUNCTION("""COMPUTED_VALUE"""),"R27")</f>
        <v>R27</v>
      </c>
      <c r="B966" s="7" t="str">
        <f>IFERROR(__xludf.DUMMYFUNCTION("""COMPUTED_VALUE"""),"AI Researcher")</f>
        <v>AI Researcher</v>
      </c>
      <c r="C966" s="7" t="str">
        <f>IFERROR(__xludf.DUMMYFUNCTION("""COMPUTED_VALUE"""),"S012")</f>
        <v>S012</v>
      </c>
      <c r="D966" s="7" t="str">
        <f>IFERROR(__xludf.DUMMYFUNCTION("""COMPUTED_VALUE"""),"Time &amp; Space Complexity (Big-O Analysis)")</f>
        <v>Time &amp; Space Complexity (Big-O Analysis)</v>
      </c>
    </row>
    <row r="967">
      <c r="A967" s="7" t="str">
        <f>IFERROR(__xludf.DUMMYFUNCTION("""COMPUTED_VALUE"""),"R27")</f>
        <v>R27</v>
      </c>
      <c r="B967" s="7" t="str">
        <f>IFERROR(__xludf.DUMMYFUNCTION("""COMPUTED_VALUE"""),"AI Researcher")</f>
        <v>AI Researcher</v>
      </c>
      <c r="C967" s="7" t="str">
        <f>IFERROR(__xludf.DUMMYFUNCTION("""COMPUTED_VALUE"""),"S013")</f>
        <v>S013</v>
      </c>
      <c r="D967" s="7" t="str">
        <f>IFERROR(__xludf.DUMMYFUNCTION("""COMPUTED_VALUE"""),"Object-Oriented Programming (OOP)")</f>
        <v>Object-Oriented Programming (OOP)</v>
      </c>
    </row>
    <row r="968">
      <c r="A968" s="7" t="str">
        <f>IFERROR(__xludf.DUMMYFUNCTION("""COMPUTED_VALUE"""),"R27")</f>
        <v>R27</v>
      </c>
      <c r="B968" s="7" t="str">
        <f>IFERROR(__xludf.DUMMYFUNCTION("""COMPUTED_VALUE"""),"AI Researcher")</f>
        <v>AI Researcher</v>
      </c>
      <c r="C968" s="7" t="str">
        <f>IFERROR(__xludf.DUMMYFUNCTION("""COMPUTED_VALUE"""),"S014")</f>
        <v>S014</v>
      </c>
      <c r="D968" s="7" t="str">
        <f>IFERROR(__xludf.DUMMYFUNCTION("""COMPUTED_VALUE"""),"Functional Programming Concepts")</f>
        <v>Functional Programming Concepts</v>
      </c>
    </row>
    <row r="969">
      <c r="A969" s="7" t="str">
        <f>IFERROR(__xludf.DUMMYFUNCTION("""COMPUTED_VALUE"""),"R27")</f>
        <v>R27</v>
      </c>
      <c r="B969" s="7" t="str">
        <f>IFERROR(__xludf.DUMMYFUNCTION("""COMPUTED_VALUE"""),"AI Researcher")</f>
        <v>AI Researcher</v>
      </c>
      <c r="C969" s="7" t="str">
        <f>IFERROR(__xludf.DUMMYFUNCTION("""COMPUTED_VALUE"""),"S017")</f>
        <v>S017</v>
      </c>
      <c r="D969" s="7" t="str">
        <f>IFERROR(__xludf.DUMMYFUNCTION("""COMPUTED_VALUE"""),"Git Version Control Fundamentals")</f>
        <v>Git Version Control Fundamentals</v>
      </c>
    </row>
    <row r="970">
      <c r="A970" s="7" t="str">
        <f>IFERROR(__xludf.DUMMYFUNCTION("""COMPUTED_VALUE"""),"R27")</f>
        <v>R27</v>
      </c>
      <c r="B970" s="7" t="str">
        <f>IFERROR(__xludf.DUMMYFUNCTION("""COMPUTED_VALUE"""),"AI Researcher")</f>
        <v>AI Researcher</v>
      </c>
      <c r="C970" s="7" t="str">
        <f>IFERROR(__xludf.DUMMYFUNCTION("""COMPUTED_VALUE"""),"S018")</f>
        <v>S018</v>
      </c>
      <c r="D970" s="7" t="str">
        <f>IFERROR(__xludf.DUMMYFUNCTION("""COMPUTED_VALUE"""),"GitHub / GitLab Workflows &amp; Pull Requests")</f>
        <v>GitHub / GitLab Workflows &amp; Pull Requests</v>
      </c>
    </row>
    <row r="971">
      <c r="A971" s="7" t="str">
        <f>IFERROR(__xludf.DUMMYFUNCTION("""COMPUTED_VALUE"""),"R27")</f>
        <v>R27</v>
      </c>
      <c r="B971" s="7" t="str">
        <f>IFERROR(__xludf.DUMMYFUNCTION("""COMPUTED_VALUE"""),"AI Researcher")</f>
        <v>AI Researcher</v>
      </c>
      <c r="C971" s="7" t="str">
        <f>IFERROR(__xludf.DUMMYFUNCTION("""COMPUTED_VALUE"""),"S019")</f>
        <v>S019</v>
      </c>
      <c r="D971" s="7" t="str">
        <f>IFERROR(__xludf.DUMMYFUNCTION("""COMPUTED_VALUE"""),"Linux Command Line &amp; File Permissions")</f>
        <v>Linux Command Line &amp; File Permissions</v>
      </c>
    </row>
    <row r="972">
      <c r="A972" s="7" t="str">
        <f>IFERROR(__xludf.DUMMYFUNCTION("""COMPUTED_VALUE"""),"R27")</f>
        <v>R27</v>
      </c>
      <c r="B972" s="7" t="str">
        <f>IFERROR(__xludf.DUMMYFUNCTION("""COMPUTED_VALUE"""),"AI Researcher")</f>
        <v>AI Researcher</v>
      </c>
      <c r="C972" s="7" t="str">
        <f>IFERROR(__xludf.DUMMYFUNCTION("""COMPUTED_VALUE"""),"S020")</f>
        <v>S020</v>
      </c>
      <c r="D972" s="7" t="str">
        <f>IFERROR(__xludf.DUMMYFUNCTION("""COMPUTED_VALUE"""),"Bash &amp; Shell Scripting")</f>
        <v>Bash &amp; Shell Scripting</v>
      </c>
    </row>
    <row r="973">
      <c r="A973" s="7" t="str">
        <f>IFERROR(__xludf.DUMMYFUNCTION("""COMPUTED_VALUE"""),"R27")</f>
        <v>R27</v>
      </c>
      <c r="B973" s="7" t="str">
        <f>IFERROR(__xludf.DUMMYFUNCTION("""COMPUTED_VALUE"""),"AI Researcher")</f>
        <v>AI Researcher</v>
      </c>
      <c r="C973" s="7" t="str">
        <f>IFERROR(__xludf.DUMMYFUNCTION("""COMPUTED_VALUE"""),"S026")</f>
        <v>S026</v>
      </c>
      <c r="D973" s="7" t="str">
        <f>IFERROR(__xludf.DUMMYFUNCTION("""COMPUTED_VALUE"""),"Data Serialization (JSON, XML, YAML, Protobuf)")</f>
        <v>Data Serialization (JSON, XML, YAML, Protobuf)</v>
      </c>
    </row>
    <row r="974">
      <c r="A974" s="7" t="str">
        <f>IFERROR(__xludf.DUMMYFUNCTION("""COMPUTED_VALUE"""),"R27")</f>
        <v>R27</v>
      </c>
      <c r="B974" s="7" t="str">
        <f>IFERROR(__xludf.DUMMYFUNCTION("""COMPUTED_VALUE"""),"AI Researcher")</f>
        <v>AI Researcher</v>
      </c>
      <c r="C974" s="7" t="str">
        <f>IFERROR(__xludf.DUMMYFUNCTION("""COMPUTED_VALUE"""),"S028")</f>
        <v>S028</v>
      </c>
      <c r="D974" s="7" t="str">
        <f>IFERROR(__xludf.DUMMYFUNCTION("""COMPUTED_VALUE"""),"Technical Writing &amp; Markdown Documentation")</f>
        <v>Technical Writing &amp; Markdown Documentation</v>
      </c>
    </row>
    <row r="975">
      <c r="A975" s="7" t="str">
        <f>IFERROR(__xludf.DUMMYFUNCTION("""COMPUTED_VALUE"""),"R27")</f>
        <v>R27</v>
      </c>
      <c r="B975" s="7" t="str">
        <f>IFERROR(__xludf.DUMMYFUNCTION("""COMPUTED_VALUE"""),"AI Researcher")</f>
        <v>AI Researcher</v>
      </c>
      <c r="C975" s="7" t="str">
        <f>IFERROR(__xludf.DUMMYFUNCTION("""COMPUTED_VALUE"""),"S030")</f>
        <v>S030</v>
      </c>
      <c r="D975" s="7" t="str">
        <f>IFERROR(__xludf.DUMMYFUNCTION("""COMPUTED_VALUE"""),"Discrete Mathematics &amp; Boolean Logic")</f>
        <v>Discrete Mathematics &amp; Boolean Logic</v>
      </c>
    </row>
    <row r="976">
      <c r="A976" s="7" t="str">
        <f>IFERROR(__xludf.DUMMYFUNCTION("""COMPUTED_VALUE"""),"R27")</f>
        <v>R27</v>
      </c>
      <c r="B976" s="7" t="str">
        <f>IFERROR(__xludf.DUMMYFUNCTION("""COMPUTED_VALUE"""),"AI Researcher")</f>
        <v>AI Researcher</v>
      </c>
      <c r="C976" s="7" t="str">
        <f>IFERROR(__xludf.DUMMYFUNCTION("""COMPUTED_VALUE"""),"S068")</f>
        <v>S068</v>
      </c>
      <c r="D976" s="7" t="str">
        <f>IFERROR(__xludf.DUMMYFUNCTION("""COMPUTED_VALUE"""),"Python Programming Fundamentals")</f>
        <v>Python Programming Fundamentals</v>
      </c>
    </row>
    <row r="977">
      <c r="A977" s="7" t="str">
        <f>IFERROR(__xludf.DUMMYFUNCTION("""COMPUTED_VALUE"""),"R27")</f>
        <v>R27</v>
      </c>
      <c r="B977" s="7" t="str">
        <f>IFERROR(__xludf.DUMMYFUNCTION("""COMPUTED_VALUE"""),"AI Researcher")</f>
        <v>AI Researcher</v>
      </c>
      <c r="C977" s="7" t="str">
        <f>IFERROR(__xludf.DUMMYFUNCTION("""COMPUTED_VALUE"""),"S082")</f>
        <v>S082</v>
      </c>
      <c r="D977" s="7" t="str">
        <f>IFERROR(__xludf.DUMMYFUNCTION("""COMPUTED_VALUE"""),"C Programming &amp; Pointers")</f>
        <v>C Programming &amp; Pointers</v>
      </c>
    </row>
    <row r="978">
      <c r="A978" s="7" t="str">
        <f>IFERROR(__xludf.DUMMYFUNCTION("""COMPUTED_VALUE"""),"R27")</f>
        <v>R27</v>
      </c>
      <c r="B978" s="7" t="str">
        <f>IFERROR(__xludf.DUMMYFUNCTION("""COMPUTED_VALUE"""),"AI Researcher")</f>
        <v>AI Researcher</v>
      </c>
      <c r="C978" s="7" t="str">
        <f>IFERROR(__xludf.DUMMYFUNCTION("""COMPUTED_VALUE"""),"S083")</f>
        <v>S083</v>
      </c>
      <c r="D978" s="7" t="str">
        <f>IFERROR(__xludf.DUMMYFUNCTION("""COMPUTED_VALUE"""),"C++ &amp; Standard Template Library (STL)")</f>
        <v>C++ &amp; Standard Template Library (STL)</v>
      </c>
    </row>
    <row r="979">
      <c r="A979" s="7" t="str">
        <f>IFERROR(__xludf.DUMMYFUNCTION("""COMPUTED_VALUE"""),"R27")</f>
        <v>R27</v>
      </c>
      <c r="B979" s="7" t="str">
        <f>IFERROR(__xludf.DUMMYFUNCTION("""COMPUTED_VALUE"""),"AI Researcher")</f>
        <v>AI Researcher</v>
      </c>
      <c r="C979" s="7" t="str">
        <f>IFERROR(__xludf.DUMMYFUNCTION("""COMPUTED_VALUE"""),"S100")</f>
        <v>S100</v>
      </c>
      <c r="D979" s="7" t="str">
        <f>IFERROR(__xludf.DUMMYFUNCTION("""COMPUTED_VALUE"""),"Multithreading, Concurrency &amp; Parallel Processing")</f>
        <v>Multithreading, Concurrency &amp; Parallel Processing</v>
      </c>
    </row>
    <row r="980">
      <c r="A980" s="7" t="str">
        <f>IFERROR(__xludf.DUMMYFUNCTION("""COMPUTED_VALUE"""),"R27")</f>
        <v>R27</v>
      </c>
      <c r="B980" s="7" t="str">
        <f>IFERROR(__xludf.DUMMYFUNCTION("""COMPUTED_VALUE"""),"AI Researcher")</f>
        <v>AI Researcher</v>
      </c>
      <c r="C980" s="7" t="str">
        <f>IFERROR(__xludf.DUMMYFUNCTION("""COMPUTED_VALUE"""),"S125")</f>
        <v>S125</v>
      </c>
      <c r="D980" s="7" t="str">
        <f>IFERROR(__xludf.DUMMYFUNCTION("""COMPUTED_VALUE"""),"Vector Databases (Pinecone, Milvus, Weaviate, pgvector)")</f>
        <v>Vector Databases (Pinecone, Milvus, Weaviate, pgvector)</v>
      </c>
    </row>
    <row r="981">
      <c r="A981" s="7" t="str">
        <f>IFERROR(__xludf.DUMMYFUNCTION("""COMPUTED_VALUE"""),"R27")</f>
        <v>R27</v>
      </c>
      <c r="B981" s="7" t="str">
        <f>IFERROR(__xludf.DUMMYFUNCTION("""COMPUTED_VALUE"""),"AI Researcher")</f>
        <v>AI Researcher</v>
      </c>
      <c r="C981" s="7" t="str">
        <f>IFERROR(__xludf.DUMMYFUNCTION("""COMPUTED_VALUE"""),"S128")</f>
        <v>S128</v>
      </c>
      <c r="D981" s="7" t="str">
        <f>IFERROR(__xludf.DUMMYFUNCTION("""COMPUTED_VALUE"""),"Distributed Data Processing (Apache Spark, PySpark)")</f>
        <v>Distributed Data Processing (Apache Spark, PySpark)</v>
      </c>
    </row>
    <row r="982">
      <c r="A982" s="7" t="str">
        <f>IFERROR(__xludf.DUMMYFUNCTION("""COMPUTED_VALUE"""),"R27")</f>
        <v>R27</v>
      </c>
      <c r="B982" s="7" t="str">
        <f>IFERROR(__xludf.DUMMYFUNCTION("""COMPUTED_VALUE"""),"AI Researcher")</f>
        <v>AI Researcher</v>
      </c>
      <c r="C982" s="7" t="str">
        <f>IFERROR(__xludf.DUMMYFUNCTION("""COMPUTED_VALUE"""),"S136")</f>
        <v>S136</v>
      </c>
      <c r="D982" s="7" t="str">
        <f>IFERROR(__xludf.DUMMYFUNCTION("""COMPUTED_VALUE"""),"Probability Theory &amp; Descriptive Statistics")</f>
        <v>Probability Theory &amp; Descriptive Statistics</v>
      </c>
    </row>
    <row r="983">
      <c r="A983" s="7" t="str">
        <f>IFERROR(__xludf.DUMMYFUNCTION("""COMPUTED_VALUE"""),"R27")</f>
        <v>R27</v>
      </c>
      <c r="B983" s="7" t="str">
        <f>IFERROR(__xludf.DUMMYFUNCTION("""COMPUTED_VALUE"""),"AI Researcher")</f>
        <v>AI Researcher</v>
      </c>
      <c r="C983" s="7" t="str">
        <f>IFERROR(__xludf.DUMMYFUNCTION("""COMPUTED_VALUE"""),"S137")</f>
        <v>S137</v>
      </c>
      <c r="D983" s="7" t="str">
        <f>IFERROR(__xludf.DUMMYFUNCTION("""COMPUTED_VALUE"""),"Inferential Statistics, Hypothesis Testing &amp; A/B Testing")</f>
        <v>Inferential Statistics, Hypothesis Testing &amp; A/B Testing</v>
      </c>
    </row>
    <row r="984">
      <c r="A984" s="7" t="str">
        <f>IFERROR(__xludf.DUMMYFUNCTION("""COMPUTED_VALUE"""),"R27")</f>
        <v>R27</v>
      </c>
      <c r="B984" s="7" t="str">
        <f>IFERROR(__xludf.DUMMYFUNCTION("""COMPUTED_VALUE"""),"AI Researcher")</f>
        <v>AI Researcher</v>
      </c>
      <c r="C984" s="7" t="str">
        <f>IFERROR(__xludf.DUMMYFUNCTION("""COMPUTED_VALUE"""),"S138")</f>
        <v>S138</v>
      </c>
      <c r="D984" s="7" t="str">
        <f>IFERROR(__xludf.DUMMYFUNCTION("""COMPUTED_VALUE"""),"Linear Algebra, Calculus &amp; Optimization for ML")</f>
        <v>Linear Algebra, Calculus &amp; Optimization for ML</v>
      </c>
    </row>
    <row r="985">
      <c r="A985" s="7" t="str">
        <f>IFERROR(__xludf.DUMMYFUNCTION("""COMPUTED_VALUE"""),"R27")</f>
        <v>R27</v>
      </c>
      <c r="B985" s="7" t="str">
        <f>IFERROR(__xludf.DUMMYFUNCTION("""COMPUTED_VALUE"""),"AI Researcher")</f>
        <v>AI Researcher</v>
      </c>
      <c r="C985" s="7" t="str">
        <f>IFERROR(__xludf.DUMMYFUNCTION("""COMPUTED_VALUE"""),"S139")</f>
        <v>S139</v>
      </c>
      <c r="D985" s="7" t="str">
        <f>IFERROR(__xludf.DUMMYFUNCTION("""COMPUTED_VALUE"""),"Scientific Computing with NumPy &amp; SciPy")</f>
        <v>Scientific Computing with NumPy &amp; SciPy</v>
      </c>
    </row>
    <row r="986">
      <c r="A986" s="7" t="str">
        <f>IFERROR(__xludf.DUMMYFUNCTION("""COMPUTED_VALUE"""),"R27")</f>
        <v>R27</v>
      </c>
      <c r="B986" s="7" t="str">
        <f>IFERROR(__xludf.DUMMYFUNCTION("""COMPUTED_VALUE"""),"AI Researcher")</f>
        <v>AI Researcher</v>
      </c>
      <c r="C986" s="7" t="str">
        <f>IFERROR(__xludf.DUMMYFUNCTION("""COMPUTED_VALUE"""),"S140")</f>
        <v>S140</v>
      </c>
      <c r="D986" s="7" t="str">
        <f>IFERROR(__xludf.DUMMYFUNCTION("""COMPUTED_VALUE"""),"Data Manipulation &amp; Analysis with Pandas / Polars")</f>
        <v>Data Manipulation &amp; Analysis with Pandas / Polars</v>
      </c>
    </row>
    <row r="987">
      <c r="A987" s="7" t="str">
        <f>IFERROR(__xludf.DUMMYFUNCTION("""COMPUTED_VALUE"""),"R27")</f>
        <v>R27</v>
      </c>
      <c r="B987" s="7" t="str">
        <f>IFERROR(__xludf.DUMMYFUNCTION("""COMPUTED_VALUE"""),"AI Researcher")</f>
        <v>AI Researcher</v>
      </c>
      <c r="C987" s="7" t="str">
        <f>IFERROR(__xludf.DUMMYFUNCTION("""COMPUTED_VALUE"""),"S141")</f>
        <v>S141</v>
      </c>
      <c r="D987" s="7" t="str">
        <f>IFERROR(__xludf.DUMMYFUNCTION("""COMPUTED_VALUE"""),"Exploratory Data Analysis (EDA) &amp; Data Wrangling")</f>
        <v>Exploratory Data Analysis (EDA) &amp; Data Wrangling</v>
      </c>
    </row>
    <row r="988">
      <c r="A988" s="7" t="str">
        <f>IFERROR(__xludf.DUMMYFUNCTION("""COMPUTED_VALUE"""),"R27")</f>
        <v>R27</v>
      </c>
      <c r="B988" s="7" t="str">
        <f>IFERROR(__xludf.DUMMYFUNCTION("""COMPUTED_VALUE"""),"AI Researcher")</f>
        <v>AI Researcher</v>
      </c>
      <c r="C988" s="7" t="str">
        <f>IFERROR(__xludf.DUMMYFUNCTION("""COMPUTED_VALUE"""),"S143")</f>
        <v>S143</v>
      </c>
      <c r="D988" s="7" t="str">
        <f>IFERROR(__xludf.DUMMYFUNCTION("""COMPUTED_VALUE"""),"Python Data Visualization (Matplotlib, Seaborn, Plotly)")</f>
        <v>Python Data Visualization (Matplotlib, Seaborn, Plotly)</v>
      </c>
    </row>
    <row r="989">
      <c r="A989" s="7" t="str">
        <f>IFERROR(__xludf.DUMMYFUNCTION("""COMPUTED_VALUE"""),"R27")</f>
        <v>R27</v>
      </c>
      <c r="B989" s="7" t="str">
        <f>IFERROR(__xludf.DUMMYFUNCTION("""COMPUTED_VALUE"""),"AI Researcher")</f>
        <v>AI Researcher</v>
      </c>
      <c r="C989" s="7" t="str">
        <f>IFERROR(__xludf.DUMMYFUNCTION("""COMPUTED_VALUE"""),"S147")</f>
        <v>S147</v>
      </c>
      <c r="D989" s="7" t="str">
        <f>IFERROR(__xludf.DUMMYFUNCTION("""COMPUTED_VALUE"""),"Feature Engineering, Selection &amp; Dimensionality Reduction (PCA)")</f>
        <v>Feature Engineering, Selection &amp; Dimensionality Reduction (PCA)</v>
      </c>
    </row>
    <row r="990">
      <c r="A990" s="7" t="str">
        <f>IFERROR(__xludf.DUMMYFUNCTION("""COMPUTED_VALUE"""),"R27")</f>
        <v>R27</v>
      </c>
      <c r="B990" s="7" t="str">
        <f>IFERROR(__xludf.DUMMYFUNCTION("""COMPUTED_VALUE"""),"AI Researcher")</f>
        <v>AI Researcher</v>
      </c>
      <c r="C990" s="7" t="str">
        <f>IFERROR(__xludf.DUMMYFUNCTION("""COMPUTED_VALUE"""),"S148")</f>
        <v>S148</v>
      </c>
      <c r="D990" s="7" t="str">
        <f>IFERROR(__xludf.DUMMYFUNCTION("""COMPUTED_VALUE"""),"Supervised Machine Learning (Regression, Classification, SVM)")</f>
        <v>Supervised Machine Learning (Regression, Classification, SVM)</v>
      </c>
    </row>
    <row r="991">
      <c r="A991" s="7" t="str">
        <f>IFERROR(__xludf.DUMMYFUNCTION("""COMPUTED_VALUE"""),"R27")</f>
        <v>R27</v>
      </c>
      <c r="B991" s="7" t="str">
        <f>IFERROR(__xludf.DUMMYFUNCTION("""COMPUTED_VALUE"""),"AI Researcher")</f>
        <v>AI Researcher</v>
      </c>
      <c r="C991" s="7" t="str">
        <f>IFERROR(__xludf.DUMMYFUNCTION("""COMPUTED_VALUE"""),"S149")</f>
        <v>S149</v>
      </c>
      <c r="D991" s="7" t="str">
        <f>IFERROR(__xludf.DUMMYFUNCTION("""COMPUTED_VALUE"""),"Ensemble Methods (Random Forests, XGBoost, LightGBM)")</f>
        <v>Ensemble Methods (Random Forests, XGBoost, LightGBM)</v>
      </c>
    </row>
    <row r="992">
      <c r="A992" s="7" t="str">
        <f>IFERROR(__xludf.DUMMYFUNCTION("""COMPUTED_VALUE"""),"R27")</f>
        <v>R27</v>
      </c>
      <c r="B992" s="7" t="str">
        <f>IFERROR(__xludf.DUMMYFUNCTION("""COMPUTED_VALUE"""),"AI Researcher")</f>
        <v>AI Researcher</v>
      </c>
      <c r="C992" s="7" t="str">
        <f>IFERROR(__xludf.DUMMYFUNCTION("""COMPUTED_VALUE"""),"S150")</f>
        <v>S150</v>
      </c>
      <c r="D992" s="7" t="str">
        <f>IFERROR(__xludf.DUMMYFUNCTION("""COMPUTED_VALUE"""),"Unsupervised Learning (K-Means, Hierarchical Clustering, Anomaly Detection)")</f>
        <v>Unsupervised Learning (K-Means, Hierarchical Clustering, Anomaly Detection)</v>
      </c>
    </row>
    <row r="993">
      <c r="A993" s="7" t="str">
        <f>IFERROR(__xludf.DUMMYFUNCTION("""COMPUTED_VALUE"""),"R27")</f>
        <v>R27</v>
      </c>
      <c r="B993" s="7" t="str">
        <f>IFERROR(__xludf.DUMMYFUNCTION("""COMPUTED_VALUE"""),"AI Researcher")</f>
        <v>AI Researcher</v>
      </c>
      <c r="C993" s="7" t="str">
        <f>IFERROR(__xludf.DUMMYFUNCTION("""COMPUTED_VALUE"""),"S151")</f>
        <v>S151</v>
      </c>
      <c r="D993" s="7" t="str">
        <f>IFERROR(__xludf.DUMMYFUNCTION("""COMPUTED_VALUE"""),"Model Evaluation Metrics, Cross-Validation &amp; Hyperparameter Tuning")</f>
        <v>Model Evaluation Metrics, Cross-Validation &amp; Hyperparameter Tuning</v>
      </c>
    </row>
    <row r="994">
      <c r="A994" s="7" t="str">
        <f>IFERROR(__xludf.DUMMYFUNCTION("""COMPUTED_VALUE"""),"R27")</f>
        <v>R27</v>
      </c>
      <c r="B994" s="7" t="str">
        <f>IFERROR(__xludf.DUMMYFUNCTION("""COMPUTED_VALUE"""),"AI Researcher")</f>
        <v>AI Researcher</v>
      </c>
      <c r="C994" s="7" t="str">
        <f>IFERROR(__xludf.DUMMYFUNCTION("""COMPUTED_VALUE"""),"S152")</f>
        <v>S152</v>
      </c>
      <c r="D994" s="7" t="str">
        <f>IFERROR(__xludf.DUMMYFUNCTION("""COMPUTED_VALUE"""),"Time-Series Forecasting (ARIMA, Prophet, LSTM)")</f>
        <v>Time-Series Forecasting (ARIMA, Prophet, LSTM)</v>
      </c>
    </row>
    <row r="995">
      <c r="A995" s="7" t="str">
        <f>IFERROR(__xludf.DUMMYFUNCTION("""COMPUTED_VALUE"""),"R27")</f>
        <v>R27</v>
      </c>
      <c r="B995" s="7" t="str">
        <f>IFERROR(__xludf.DUMMYFUNCTION("""COMPUTED_VALUE"""),"AI Researcher")</f>
        <v>AI Researcher</v>
      </c>
      <c r="C995" s="7" t="str">
        <f>IFERROR(__xludf.DUMMYFUNCTION("""COMPUTED_VALUE"""),"S153")</f>
        <v>S153</v>
      </c>
      <c r="D995" s="7" t="str">
        <f>IFERROR(__xludf.DUMMYFUNCTION("""COMPUTED_VALUE"""),"Recommendation Systems (Collaborative &amp; Content-Based Filtering)")</f>
        <v>Recommendation Systems (Collaborative &amp; Content-Based Filtering)</v>
      </c>
    </row>
    <row r="996">
      <c r="A996" s="7" t="str">
        <f>IFERROR(__xludf.DUMMYFUNCTION("""COMPUTED_VALUE"""),"R27")</f>
        <v>R27</v>
      </c>
      <c r="B996" s="7" t="str">
        <f>IFERROR(__xludf.DUMMYFUNCTION("""COMPUTED_VALUE"""),"AI Researcher")</f>
        <v>AI Researcher</v>
      </c>
      <c r="C996" s="7" t="str">
        <f>IFERROR(__xludf.DUMMYFUNCTION("""COMPUTED_VALUE"""),"S154")</f>
        <v>S154</v>
      </c>
      <c r="D996" s="7" t="str">
        <f>IFERROR(__xludf.DUMMYFUNCTION("""COMPUTED_VALUE"""),"Neural Networks &amp; Deep Learning Fundamentals")</f>
        <v>Neural Networks &amp; Deep Learning Fundamentals</v>
      </c>
    </row>
    <row r="997">
      <c r="A997" s="7" t="str">
        <f>IFERROR(__xludf.DUMMYFUNCTION("""COMPUTED_VALUE"""),"R27")</f>
        <v>R27</v>
      </c>
      <c r="B997" s="7" t="str">
        <f>IFERROR(__xludf.DUMMYFUNCTION("""COMPUTED_VALUE"""),"AI Researcher")</f>
        <v>AI Researcher</v>
      </c>
      <c r="C997" s="7" t="str">
        <f>IFERROR(__xludf.DUMMYFUNCTION("""COMPUTED_VALUE"""),"S155")</f>
        <v>S155</v>
      </c>
      <c r="D997" s="7" t="str">
        <f>IFERROR(__xludf.DUMMYFUNCTION("""COMPUTED_VALUE"""),"Deep Learning with PyTorch")</f>
        <v>Deep Learning with PyTorch</v>
      </c>
    </row>
    <row r="998">
      <c r="A998" s="7" t="str">
        <f>IFERROR(__xludf.DUMMYFUNCTION("""COMPUTED_VALUE"""),"R27")</f>
        <v>R27</v>
      </c>
      <c r="B998" s="7" t="str">
        <f>IFERROR(__xludf.DUMMYFUNCTION("""COMPUTED_VALUE"""),"AI Researcher")</f>
        <v>AI Researcher</v>
      </c>
      <c r="C998" s="7" t="str">
        <f>IFERROR(__xludf.DUMMYFUNCTION("""COMPUTED_VALUE"""),"S156")</f>
        <v>S156</v>
      </c>
      <c r="D998" s="7" t="str">
        <f>IFERROR(__xludf.DUMMYFUNCTION("""COMPUTED_VALUE"""),"Deep Learning with TensorFlow &amp; Keras")</f>
        <v>Deep Learning with TensorFlow &amp; Keras</v>
      </c>
    </row>
    <row r="999">
      <c r="A999" s="7" t="str">
        <f>IFERROR(__xludf.DUMMYFUNCTION("""COMPUTED_VALUE"""),"R27")</f>
        <v>R27</v>
      </c>
      <c r="B999" s="7" t="str">
        <f>IFERROR(__xludf.DUMMYFUNCTION("""COMPUTED_VALUE"""),"AI Researcher")</f>
        <v>AI Researcher</v>
      </c>
      <c r="C999" s="7" t="str">
        <f>IFERROR(__xludf.DUMMYFUNCTION("""COMPUTED_VALUE"""),"S157")</f>
        <v>S157</v>
      </c>
      <c r="D999" s="7" t="str">
        <f>IFERROR(__xludf.DUMMYFUNCTION("""COMPUTED_VALUE"""),"Natural Language Processing (Tokenization, Embeddings, SpaCy, NLTK)")</f>
        <v>Natural Language Processing (Tokenization, Embeddings, SpaCy, NLTK)</v>
      </c>
    </row>
    <row r="1000">
      <c r="A1000" s="7" t="str">
        <f>IFERROR(__xludf.DUMMYFUNCTION("""COMPUTED_VALUE"""),"R27")</f>
        <v>R27</v>
      </c>
      <c r="B1000" s="7" t="str">
        <f>IFERROR(__xludf.DUMMYFUNCTION("""COMPUTED_VALUE"""),"AI Researcher")</f>
        <v>AI Researcher</v>
      </c>
      <c r="C1000" s="7" t="str">
        <f>IFERROR(__xludf.DUMMYFUNCTION("""COMPUTED_VALUE"""),"S158")</f>
        <v>S158</v>
      </c>
      <c r="D1000" s="7" t="str">
        <f>IFERROR(__xludf.DUMMYFUNCTION("""COMPUTED_VALUE"""),"Transformer Architecture &amp; Attention Mechanisms (Hugging Face)")</f>
        <v>Transformer Architecture &amp; Attention Mechanisms (Hugging Face)</v>
      </c>
    </row>
    <row r="1001">
      <c r="A1001" s="7" t="str">
        <f>IFERROR(__xludf.DUMMYFUNCTION("""COMPUTED_VALUE"""),"R27")</f>
        <v>R27</v>
      </c>
      <c r="B1001" s="7" t="str">
        <f>IFERROR(__xludf.DUMMYFUNCTION("""COMPUTED_VALUE"""),"AI Researcher")</f>
        <v>AI Researcher</v>
      </c>
      <c r="C1001" s="7" t="str">
        <f>IFERROR(__xludf.DUMMYFUNCTION("""COMPUTED_VALUE"""),"S159")</f>
        <v>S159</v>
      </c>
      <c r="D1001" s="7" t="str">
        <f>IFERROR(__xludf.DUMMYFUNCTION("""COMPUTED_VALUE"""),"Large Language Models (LLMs), Fine-Tuning (LoRA/QLoRA) &amp; Evaluation")</f>
        <v>Large Language Models (LLMs), Fine-Tuning (LoRA/QLoRA) &amp; Evaluation</v>
      </c>
    </row>
    <row r="1002">
      <c r="A1002" s="7" t="str">
        <f>IFERROR(__xludf.DUMMYFUNCTION("""COMPUTED_VALUE"""),"R27")</f>
        <v>R27</v>
      </c>
      <c r="B1002" s="7" t="str">
        <f>IFERROR(__xludf.DUMMYFUNCTION("""COMPUTED_VALUE"""),"AI Researcher")</f>
        <v>AI Researcher</v>
      </c>
      <c r="C1002" s="7" t="str">
        <f>IFERROR(__xludf.DUMMYFUNCTION("""COMPUTED_VALUE"""),"S160")</f>
        <v>S160</v>
      </c>
      <c r="D1002" s="7" t="str">
        <f>IFERROR(__xludf.DUMMYFUNCTION("""COMPUTED_VALUE"""),"Prompt Engineering, RAG &amp; AI Agents (LangChain, LlamaIndex)")</f>
        <v>Prompt Engineering, RAG &amp; AI Agents (LangChain, LlamaIndex)</v>
      </c>
    </row>
    <row r="1003">
      <c r="A1003" s="7" t="str">
        <f>IFERROR(__xludf.DUMMYFUNCTION("""COMPUTED_VALUE"""),"R27")</f>
        <v>R27</v>
      </c>
      <c r="B1003" s="7" t="str">
        <f>IFERROR(__xludf.DUMMYFUNCTION("""COMPUTED_VALUE"""),"AI Researcher")</f>
        <v>AI Researcher</v>
      </c>
      <c r="C1003" s="7" t="str">
        <f>IFERROR(__xludf.DUMMYFUNCTION("""COMPUTED_VALUE"""),"S161")</f>
        <v>S161</v>
      </c>
      <c r="D1003" s="7" t="str">
        <f>IFERROR(__xludf.DUMMYFUNCTION("""COMPUTED_VALUE"""),"Computer Vision &amp; Image Processing (OpenCV)")</f>
        <v>Computer Vision &amp; Image Processing (OpenCV)</v>
      </c>
    </row>
    <row r="1004">
      <c r="A1004" s="7" t="str">
        <f>IFERROR(__xludf.DUMMYFUNCTION("""COMPUTED_VALUE"""),"R27")</f>
        <v>R27</v>
      </c>
      <c r="B1004" s="7" t="str">
        <f>IFERROR(__xludf.DUMMYFUNCTION("""COMPUTED_VALUE"""),"AI Researcher")</f>
        <v>AI Researcher</v>
      </c>
      <c r="C1004" s="7" t="str">
        <f>IFERROR(__xludf.DUMMYFUNCTION("""COMPUTED_VALUE"""),"S162")</f>
        <v>S162</v>
      </c>
      <c r="D1004" s="7" t="str">
        <f>IFERROR(__xludf.DUMMYFUNCTION("""COMPUTED_VALUE"""),"Convolutional Neural Networks (CNNs) &amp; Object Detection (YOLO)")</f>
        <v>Convolutional Neural Networks (CNNs) &amp; Object Detection (YOLO)</v>
      </c>
    </row>
    <row r="1005">
      <c r="A1005" s="7" t="str">
        <f>IFERROR(__xludf.DUMMYFUNCTION("""COMPUTED_VALUE"""),"R27")</f>
        <v>R27</v>
      </c>
      <c r="B1005" s="7" t="str">
        <f>IFERROR(__xludf.DUMMYFUNCTION("""COMPUTED_VALUE"""),"AI Researcher")</f>
        <v>AI Researcher</v>
      </c>
      <c r="C1005" s="7" t="str">
        <f>IFERROR(__xludf.DUMMYFUNCTION("""COMPUTED_VALUE"""),"S163")</f>
        <v>S163</v>
      </c>
      <c r="D1005" s="7" t="str">
        <f>IFERROR(__xludf.DUMMYFUNCTION("""COMPUTED_VALUE"""),"Generative AI &amp; Diffusion Models")</f>
        <v>Generative AI &amp; Diffusion Models</v>
      </c>
    </row>
    <row r="1006">
      <c r="A1006" s="7" t="str">
        <f>IFERROR(__xludf.DUMMYFUNCTION("""COMPUTED_VALUE"""),"R27")</f>
        <v>R27</v>
      </c>
      <c r="B1006" s="7" t="str">
        <f>IFERROR(__xludf.DUMMYFUNCTION("""COMPUTED_VALUE"""),"AI Researcher")</f>
        <v>AI Researcher</v>
      </c>
      <c r="C1006" s="7" t="str">
        <f>IFERROR(__xludf.DUMMYFUNCTION("""COMPUTED_VALUE"""),"S164")</f>
        <v>S164</v>
      </c>
      <c r="D1006" s="7" t="str">
        <f>IFERROR(__xludf.DUMMYFUNCTION("""COMPUTED_VALUE"""),"Reinforcement Learning (Markov Decision Processes, Q-Learning)")</f>
        <v>Reinforcement Learning (Markov Decision Processes, Q-Learning)</v>
      </c>
    </row>
    <row r="1007">
      <c r="A1007" s="7" t="str">
        <f>IFERROR(__xludf.DUMMYFUNCTION("""COMPUTED_VALUE"""),"R27")</f>
        <v>R27</v>
      </c>
      <c r="B1007" s="7" t="str">
        <f>IFERROR(__xludf.DUMMYFUNCTION("""COMPUTED_VALUE"""),"AI Researcher")</f>
        <v>AI Researcher</v>
      </c>
      <c r="C1007" s="7" t="str">
        <f>IFERROR(__xludf.DUMMYFUNCTION("""COMPUTED_VALUE"""),"S165")</f>
        <v>S165</v>
      </c>
      <c r="D1007" s="7" t="str">
        <f>IFERROR(__xludf.DUMMYFUNCTION("""COMPUTED_VALUE"""),"MLOps &amp; Experiment Tracking (MLflow, Weights &amp; Biases, Kubeflow)")</f>
        <v>MLOps &amp; Experiment Tracking (MLflow, Weights &amp; Biases, Kubeflow)</v>
      </c>
    </row>
    <row r="1008">
      <c r="A1008" s="7" t="str">
        <f>IFERROR(__xludf.DUMMYFUNCTION("""COMPUTED_VALUE"""),"R27")</f>
        <v>R27</v>
      </c>
      <c r="B1008" s="7" t="str">
        <f>IFERROR(__xludf.DUMMYFUNCTION("""COMPUTED_VALUE"""),"AI Researcher")</f>
        <v>AI Researcher</v>
      </c>
      <c r="C1008" s="7" t="str">
        <f>IFERROR(__xludf.DUMMYFUNCTION("""COMPUTED_VALUE"""),"S166")</f>
        <v>S166</v>
      </c>
      <c r="D1008" s="7" t="str">
        <f>IFERROR(__xludf.DUMMYFUNCTION("""COMPUTED_VALUE"""),"Model Serving &amp; Inference Optimization (ONNX, TensorRT, Triton, BentoML)")</f>
        <v>Model Serving &amp; Inference Optimization (ONNX, TensorRT, Triton, BentoML)</v>
      </c>
    </row>
    <row r="1009">
      <c r="A1009" s="7" t="str">
        <f>IFERROR(__xludf.DUMMYFUNCTION("""COMPUTED_VALUE"""),"R27")</f>
        <v>R27</v>
      </c>
      <c r="B1009" s="7" t="str">
        <f>IFERROR(__xludf.DUMMYFUNCTION("""COMPUTED_VALUE"""),"AI Researcher")</f>
        <v>AI Researcher</v>
      </c>
      <c r="C1009" s="7" t="str">
        <f>IFERROR(__xludf.DUMMYFUNCTION("""COMPUTED_VALUE"""),"S167")</f>
        <v>S167</v>
      </c>
      <c r="D1009" s="7" t="str">
        <f>IFERROR(__xludf.DUMMYFUNCTION("""COMPUTED_VALUE"""),"AI Ethics, Bias Mitigation &amp; Explainable AI (SHAP, LIME)")</f>
        <v>AI Ethics, Bias Mitigation &amp; Explainable AI (SHAP, LIME)</v>
      </c>
    </row>
    <row r="1010">
      <c r="A1010" s="7" t="str">
        <f>IFERROR(__xludf.DUMMYFUNCTION("""COMPUTED_VALUE"""),"R27")</f>
        <v>R27</v>
      </c>
      <c r="B1010" s="7" t="str">
        <f>IFERROR(__xludf.DUMMYFUNCTION("""COMPUTED_VALUE"""),"AI Researcher")</f>
        <v>AI Researcher</v>
      </c>
      <c r="C1010" s="7" t="str">
        <f>IFERROR(__xludf.DUMMYFUNCTION("""COMPUTED_VALUE"""),"S168")</f>
        <v>S168</v>
      </c>
      <c r="D1010" s="7" t="str">
        <f>IFERROR(__xludf.DUMMYFUNCTION("""COMPUTED_VALUE"""),"Speech Recognition &amp; Audio Processing (Whisper, Librosa)")</f>
        <v>Speech Recognition &amp; Audio Processing (Whisper, Librosa)</v>
      </c>
    </row>
    <row r="1011">
      <c r="A1011" s="7" t="str">
        <f>IFERROR(__xludf.DUMMYFUNCTION("""COMPUTED_VALUE"""),"R27")</f>
        <v>R27</v>
      </c>
      <c r="B1011" s="7" t="str">
        <f>IFERROR(__xludf.DUMMYFUNCTION("""COMPUTED_VALUE"""),"AI Researcher")</f>
        <v>AI Researcher</v>
      </c>
      <c r="C1011" s="7" t="str">
        <f>IFERROR(__xludf.DUMMYFUNCTION("""COMPUTED_VALUE"""),"S169")</f>
        <v>S169</v>
      </c>
      <c r="D1011" s="7" t="str">
        <f>IFERROR(__xludf.DUMMYFUNCTION("""COMPUTED_VALUE"""),"Graph Neural Networks (GNNs &amp; PyTorch Geometric)")</f>
        <v>Graph Neural Networks (GNNs &amp; PyTorch Geometric)</v>
      </c>
    </row>
    <row r="1012">
      <c r="A1012" s="7" t="str">
        <f>IFERROR(__xludf.DUMMYFUNCTION("""COMPUTED_VALUE"""),"R27")</f>
        <v>R27</v>
      </c>
      <c r="B1012" s="7" t="str">
        <f>IFERROR(__xludf.DUMMYFUNCTION("""COMPUTED_VALUE"""),"AI Researcher")</f>
        <v>AI Researcher</v>
      </c>
      <c r="C1012" s="7" t="str">
        <f>IFERROR(__xludf.DUMMYFUNCTION("""COMPUTED_VALUE"""),"S170")</f>
        <v>S170</v>
      </c>
      <c r="D1012" s="7" t="str">
        <f>IFERROR(__xludf.DUMMYFUNCTION("""COMPUTED_VALUE"""),"Operations Research &amp; Mathematical Optimization (SciPy, OR-Tools)")</f>
        <v>Operations Research &amp; Mathematical Optimization (SciPy, OR-Tools)</v>
      </c>
    </row>
    <row r="1013">
      <c r="A1013" s="7" t="str">
        <f>IFERROR(__xludf.DUMMYFUNCTION("""COMPUTED_VALUE"""),"R27")</f>
        <v>R27</v>
      </c>
      <c r="B1013" s="7" t="str">
        <f>IFERROR(__xludf.DUMMYFUNCTION("""COMPUTED_VALUE"""),"AI Researcher")</f>
        <v>AI Researcher</v>
      </c>
      <c r="C1013" s="7" t="str">
        <f>IFERROR(__xludf.DUMMYFUNCTION("""COMPUTED_VALUE"""),"S171")</f>
        <v>S171</v>
      </c>
      <c r="D1013" s="7" t="str">
        <f>IFERROR(__xludf.DUMMYFUNCTION("""COMPUTED_VALUE"""),"Containerization with Docker")</f>
        <v>Containerization with Docker</v>
      </c>
    </row>
    <row r="1014">
      <c r="A1014" s="7" t="str">
        <f>IFERROR(__xludf.DUMMYFUNCTION("""COMPUTED_VALUE"""),"R27")</f>
        <v>R27</v>
      </c>
      <c r="B1014" s="7" t="str">
        <f>IFERROR(__xludf.DUMMYFUNCTION("""COMPUTED_VALUE"""),"AI Researcher")</f>
        <v>AI Researcher</v>
      </c>
      <c r="C1014" s="7" t="str">
        <f>IFERROR(__xludf.DUMMYFUNCTION("""COMPUTED_VALUE"""),"S246")</f>
        <v>S246</v>
      </c>
      <c r="D1014" s="7" t="str">
        <f>IFERROR(__xludf.DUMMYFUNCTION("""COMPUTED_VALUE"""),"Agile Methodologies, Scrum Framework &amp; Kanban")</f>
        <v>Agile Methodologies, Scrum Framework &amp; Kanban</v>
      </c>
    </row>
    <row r="1015">
      <c r="A1015" s="7" t="str">
        <f>IFERROR(__xludf.DUMMYFUNCTION("""COMPUTED_VALUE"""),"R27")</f>
        <v>R27</v>
      </c>
      <c r="B1015" s="7" t="str">
        <f>IFERROR(__xludf.DUMMYFUNCTION("""COMPUTED_VALUE"""),"AI Researcher")</f>
        <v>AI Researcher</v>
      </c>
      <c r="C1015" s="7" t="str">
        <f>IFERROR(__xludf.DUMMYFUNCTION("""COMPUTED_VALUE"""),"S247")</f>
        <v>S247</v>
      </c>
      <c r="D1015" s="7" t="str">
        <f>IFERROR(__xludf.DUMMYFUNCTION("""COMPUTED_VALUE"""),"Project Tracking &amp; Documentation Tools (Jira, Confluence, Linear)")</f>
        <v>Project Tracking &amp; Documentation Tools (Jira, Confluence, Linear)</v>
      </c>
    </row>
    <row r="1016">
      <c r="A1016" s="7" t="str">
        <f>IFERROR(__xludf.DUMMYFUNCTION("""COMPUTED_VALUE"""),"R27")</f>
        <v>R27</v>
      </c>
      <c r="B1016" s="7" t="str">
        <f>IFERROR(__xludf.DUMMYFUNCTION("""COMPUTED_VALUE"""),"AI Researcher")</f>
        <v>AI Researcher</v>
      </c>
      <c r="C1016" s="7" t="str">
        <f>IFERROR(__xludf.DUMMYFUNCTION("""COMPUTED_VALUE"""),"S250")</f>
        <v>S250</v>
      </c>
      <c r="D1016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017">
      <c r="A1017" s="7" t="str">
        <f>IFERROR(__xludf.DUMMYFUNCTION("""COMPUTED_VALUE"""),"R28")</f>
        <v>R28</v>
      </c>
      <c r="B1017" s="7" t="str">
        <f>IFERROR(__xludf.DUMMYFUNCTION("""COMPUTED_VALUE"""),"Blockchain Developer")</f>
        <v>Blockchain Developer</v>
      </c>
      <c r="C1017" s="7" t="str">
        <f>IFERROR(__xludf.DUMMYFUNCTION("""COMPUTED_VALUE"""),"S006")</f>
        <v>S006</v>
      </c>
      <c r="D1017" s="7" t="str">
        <f>IFERROR(__xludf.DUMMYFUNCTION("""COMPUTED_VALUE"""),"Basic Data Structures (Arrays, Lists, Stacks, Queues)")</f>
        <v>Basic Data Structures (Arrays, Lists, Stacks, Queues)</v>
      </c>
    </row>
    <row r="1018">
      <c r="A1018" s="7" t="str">
        <f>IFERROR(__xludf.DUMMYFUNCTION("""COMPUTED_VALUE"""),"R28")</f>
        <v>R28</v>
      </c>
      <c r="B1018" s="7" t="str">
        <f>IFERROR(__xludf.DUMMYFUNCTION("""COMPUTED_VALUE"""),"Blockchain Developer")</f>
        <v>Blockchain Developer</v>
      </c>
      <c r="C1018" s="7" t="str">
        <f>IFERROR(__xludf.DUMMYFUNCTION("""COMPUTED_VALUE"""),"S007")</f>
        <v>S007</v>
      </c>
      <c r="D1018" s="7" t="str">
        <f>IFERROR(__xludf.DUMMYFUNCTION("""COMPUTED_VALUE"""),"Trees &amp; Binary Search Trees")</f>
        <v>Trees &amp; Binary Search Trees</v>
      </c>
    </row>
    <row r="1019">
      <c r="A1019" s="7" t="str">
        <f>IFERROR(__xludf.DUMMYFUNCTION("""COMPUTED_VALUE"""),"R28")</f>
        <v>R28</v>
      </c>
      <c r="B1019" s="7" t="str">
        <f>IFERROR(__xludf.DUMMYFUNCTION("""COMPUTED_VALUE"""),"Blockchain Developer")</f>
        <v>Blockchain Developer</v>
      </c>
      <c r="C1019" s="7" t="str">
        <f>IFERROR(__xludf.DUMMYFUNCTION("""COMPUTED_VALUE"""),"S008")</f>
        <v>S008</v>
      </c>
      <c r="D1019" s="7" t="str">
        <f>IFERROR(__xludf.DUMMYFUNCTION("""COMPUTED_VALUE"""),"Heaps, Priority Queues &amp; Hashing")</f>
        <v>Heaps, Priority Queues &amp; Hashing</v>
      </c>
    </row>
    <row r="1020">
      <c r="A1020" s="7" t="str">
        <f>IFERROR(__xludf.DUMMYFUNCTION("""COMPUTED_VALUE"""),"R28")</f>
        <v>R28</v>
      </c>
      <c r="B1020" s="7" t="str">
        <f>IFERROR(__xludf.DUMMYFUNCTION("""COMPUTED_VALUE"""),"Blockchain Developer")</f>
        <v>Blockchain Developer</v>
      </c>
      <c r="C1020" s="7" t="str">
        <f>IFERROR(__xludf.DUMMYFUNCTION("""COMPUTED_VALUE"""),"S009")</f>
        <v>S009</v>
      </c>
      <c r="D1020" s="7" t="str">
        <f>IFERROR(__xludf.DUMMYFUNCTION("""COMPUTED_VALUE"""),"Graphs &amp; Graph Traversal (BFS/DFS)")</f>
        <v>Graphs &amp; Graph Traversal (BFS/DFS)</v>
      </c>
    </row>
    <row r="1021">
      <c r="A1021" s="7" t="str">
        <f>IFERROR(__xludf.DUMMYFUNCTION("""COMPUTED_VALUE"""),"R28")</f>
        <v>R28</v>
      </c>
      <c r="B1021" s="7" t="str">
        <f>IFERROR(__xludf.DUMMYFUNCTION("""COMPUTED_VALUE"""),"Blockchain Developer")</f>
        <v>Blockchain Developer</v>
      </c>
      <c r="C1021" s="7" t="str">
        <f>IFERROR(__xludf.DUMMYFUNCTION("""COMPUTED_VALUE"""),"S010")</f>
        <v>S010</v>
      </c>
      <c r="D1021" s="7" t="str">
        <f>IFERROR(__xludf.DUMMYFUNCTION("""COMPUTED_VALUE"""),"Sorting &amp; Searching Algorithms")</f>
        <v>Sorting &amp; Searching Algorithms</v>
      </c>
    </row>
    <row r="1022">
      <c r="A1022" s="7" t="str">
        <f>IFERROR(__xludf.DUMMYFUNCTION("""COMPUTED_VALUE"""),"R28")</f>
        <v>R28</v>
      </c>
      <c r="B1022" s="7" t="str">
        <f>IFERROR(__xludf.DUMMYFUNCTION("""COMPUTED_VALUE"""),"Blockchain Developer")</f>
        <v>Blockchain Developer</v>
      </c>
      <c r="C1022" s="7" t="str">
        <f>IFERROR(__xludf.DUMMYFUNCTION("""COMPUTED_VALUE"""),"S012")</f>
        <v>S012</v>
      </c>
      <c r="D1022" s="7" t="str">
        <f>IFERROR(__xludf.DUMMYFUNCTION("""COMPUTED_VALUE"""),"Time &amp; Space Complexity (Big-O Analysis)")</f>
        <v>Time &amp; Space Complexity (Big-O Analysis)</v>
      </c>
    </row>
    <row r="1023">
      <c r="A1023" s="7" t="str">
        <f>IFERROR(__xludf.DUMMYFUNCTION("""COMPUTED_VALUE"""),"R28")</f>
        <v>R28</v>
      </c>
      <c r="B1023" s="7" t="str">
        <f>IFERROR(__xludf.DUMMYFUNCTION("""COMPUTED_VALUE"""),"Blockchain Developer")</f>
        <v>Blockchain Developer</v>
      </c>
      <c r="C1023" s="7" t="str">
        <f>IFERROR(__xludf.DUMMYFUNCTION("""COMPUTED_VALUE"""),"S013")</f>
        <v>S013</v>
      </c>
      <c r="D1023" s="7" t="str">
        <f>IFERROR(__xludf.DUMMYFUNCTION("""COMPUTED_VALUE"""),"Object-Oriented Programming (OOP)")</f>
        <v>Object-Oriented Programming (OOP)</v>
      </c>
    </row>
    <row r="1024">
      <c r="A1024" s="7" t="str">
        <f>IFERROR(__xludf.DUMMYFUNCTION("""COMPUTED_VALUE"""),"R28")</f>
        <v>R28</v>
      </c>
      <c r="B1024" s="7" t="str">
        <f>IFERROR(__xludf.DUMMYFUNCTION("""COMPUTED_VALUE"""),"Blockchain Developer")</f>
        <v>Blockchain Developer</v>
      </c>
      <c r="C1024" s="7" t="str">
        <f>IFERROR(__xludf.DUMMYFUNCTION("""COMPUTED_VALUE"""),"S016")</f>
        <v>S016</v>
      </c>
      <c r="D1024" s="7" t="str">
        <f>IFERROR(__xludf.DUMMYFUNCTION("""COMPUTED_VALUE"""),"SOLID Principles &amp; Clean Code")</f>
        <v>SOLID Principles &amp; Clean Code</v>
      </c>
    </row>
    <row r="1025">
      <c r="A1025" s="7" t="str">
        <f>IFERROR(__xludf.DUMMYFUNCTION("""COMPUTED_VALUE"""),"R28")</f>
        <v>R28</v>
      </c>
      <c r="B1025" s="7" t="str">
        <f>IFERROR(__xludf.DUMMYFUNCTION("""COMPUTED_VALUE"""),"Blockchain Developer")</f>
        <v>Blockchain Developer</v>
      </c>
      <c r="C1025" s="7" t="str">
        <f>IFERROR(__xludf.DUMMYFUNCTION("""COMPUTED_VALUE"""),"S017")</f>
        <v>S017</v>
      </c>
      <c r="D1025" s="7" t="str">
        <f>IFERROR(__xludf.DUMMYFUNCTION("""COMPUTED_VALUE"""),"Git Version Control Fundamentals")</f>
        <v>Git Version Control Fundamentals</v>
      </c>
    </row>
    <row r="1026">
      <c r="A1026" s="7" t="str">
        <f>IFERROR(__xludf.DUMMYFUNCTION("""COMPUTED_VALUE"""),"R28")</f>
        <v>R28</v>
      </c>
      <c r="B1026" s="7" t="str">
        <f>IFERROR(__xludf.DUMMYFUNCTION("""COMPUTED_VALUE"""),"Blockchain Developer")</f>
        <v>Blockchain Developer</v>
      </c>
      <c r="C1026" s="7" t="str">
        <f>IFERROR(__xludf.DUMMYFUNCTION("""COMPUTED_VALUE"""),"S018")</f>
        <v>S018</v>
      </c>
      <c r="D1026" s="7" t="str">
        <f>IFERROR(__xludf.DUMMYFUNCTION("""COMPUTED_VALUE"""),"GitHub / GitLab Workflows &amp; Pull Requests")</f>
        <v>GitHub / GitLab Workflows &amp; Pull Requests</v>
      </c>
    </row>
    <row r="1027">
      <c r="A1027" s="7" t="str">
        <f>IFERROR(__xludf.DUMMYFUNCTION("""COMPUTED_VALUE"""),"R28")</f>
        <v>R28</v>
      </c>
      <c r="B1027" s="7" t="str">
        <f>IFERROR(__xludf.DUMMYFUNCTION("""COMPUTED_VALUE"""),"Blockchain Developer")</f>
        <v>Blockchain Developer</v>
      </c>
      <c r="C1027" s="7" t="str">
        <f>IFERROR(__xludf.DUMMYFUNCTION("""COMPUTED_VALUE"""),"S019")</f>
        <v>S019</v>
      </c>
      <c r="D1027" s="7" t="str">
        <f>IFERROR(__xludf.DUMMYFUNCTION("""COMPUTED_VALUE"""),"Linux Command Line &amp; File Permissions")</f>
        <v>Linux Command Line &amp; File Permissions</v>
      </c>
    </row>
    <row r="1028">
      <c r="A1028" s="7" t="str">
        <f>IFERROR(__xludf.DUMMYFUNCTION("""COMPUTED_VALUE"""),"R28")</f>
        <v>R28</v>
      </c>
      <c r="B1028" s="7" t="str">
        <f>IFERROR(__xludf.DUMMYFUNCTION("""COMPUTED_VALUE"""),"Blockchain Developer")</f>
        <v>Blockchain Developer</v>
      </c>
      <c r="C1028" s="7" t="str">
        <f>IFERROR(__xludf.DUMMYFUNCTION("""COMPUTED_VALUE"""),"S022")</f>
        <v>S022</v>
      </c>
      <c r="D1028" s="7" t="str">
        <f>IFERROR(__xludf.DUMMYFUNCTION("""COMPUTED_VALUE"""),"Computer Networking &amp; OSI Model")</f>
        <v>Computer Networking &amp; OSI Model</v>
      </c>
    </row>
    <row r="1029">
      <c r="A1029" s="7" t="str">
        <f>IFERROR(__xludf.DUMMYFUNCTION("""COMPUTED_VALUE"""),"R28")</f>
        <v>R28</v>
      </c>
      <c r="B1029" s="7" t="str">
        <f>IFERROR(__xludf.DUMMYFUNCTION("""COMPUTED_VALUE"""),"Blockchain Developer")</f>
        <v>Blockchain Developer</v>
      </c>
      <c r="C1029" s="7" t="str">
        <f>IFERROR(__xludf.DUMMYFUNCTION("""COMPUTED_VALUE"""),"S023")</f>
        <v>S023</v>
      </c>
      <c r="D1029" s="7" t="str">
        <f>IFERROR(__xludf.DUMMYFUNCTION("""COMPUTED_VALUE"""),"HTTP/HTTPS Protocols &amp; Status Codes")</f>
        <v>HTTP/HTTPS Protocols &amp; Status Codes</v>
      </c>
    </row>
    <row r="1030">
      <c r="A1030" s="7" t="str">
        <f>IFERROR(__xludf.DUMMYFUNCTION("""COMPUTED_VALUE"""),"R28")</f>
        <v>R28</v>
      </c>
      <c r="B1030" s="7" t="str">
        <f>IFERROR(__xludf.DUMMYFUNCTION("""COMPUTED_VALUE"""),"Blockchain Developer")</f>
        <v>Blockchain Developer</v>
      </c>
      <c r="C1030" s="7" t="str">
        <f>IFERROR(__xludf.DUMMYFUNCTION("""COMPUTED_VALUE"""),"S026")</f>
        <v>S026</v>
      </c>
      <c r="D1030" s="7" t="str">
        <f>IFERROR(__xludf.DUMMYFUNCTION("""COMPUTED_VALUE"""),"Data Serialization (JSON, XML, YAML, Protobuf)")</f>
        <v>Data Serialization (JSON, XML, YAML, Protobuf)</v>
      </c>
    </row>
    <row r="1031">
      <c r="A1031" s="7" t="str">
        <f>IFERROR(__xludf.DUMMYFUNCTION("""COMPUTED_VALUE"""),"R28")</f>
        <v>R28</v>
      </c>
      <c r="B1031" s="7" t="str">
        <f>IFERROR(__xludf.DUMMYFUNCTION("""COMPUTED_VALUE"""),"Blockchain Developer")</f>
        <v>Blockchain Developer</v>
      </c>
      <c r="C1031" s="7" t="str">
        <f>IFERROR(__xludf.DUMMYFUNCTION("""COMPUTED_VALUE"""),"S028")</f>
        <v>S028</v>
      </c>
      <c r="D1031" s="7" t="str">
        <f>IFERROR(__xludf.DUMMYFUNCTION("""COMPUTED_VALUE"""),"Technical Writing &amp; Markdown Documentation")</f>
        <v>Technical Writing &amp; Markdown Documentation</v>
      </c>
    </row>
    <row r="1032">
      <c r="A1032" s="7" t="str">
        <f>IFERROR(__xludf.DUMMYFUNCTION("""COMPUTED_VALUE"""),"R28")</f>
        <v>R28</v>
      </c>
      <c r="B1032" s="7" t="str">
        <f>IFERROR(__xludf.DUMMYFUNCTION("""COMPUTED_VALUE"""),"Blockchain Developer")</f>
        <v>Blockchain Developer</v>
      </c>
      <c r="C1032" s="7" t="str">
        <f>IFERROR(__xludf.DUMMYFUNCTION("""COMPUTED_VALUE"""),"S030")</f>
        <v>S030</v>
      </c>
      <c r="D1032" s="7" t="str">
        <f>IFERROR(__xludf.DUMMYFUNCTION("""COMPUTED_VALUE"""),"Discrete Mathematics &amp; Boolean Logic")</f>
        <v>Discrete Mathematics &amp; Boolean Logic</v>
      </c>
    </row>
    <row r="1033">
      <c r="A1033" s="7" t="str">
        <f>IFERROR(__xludf.DUMMYFUNCTION("""COMPUTED_VALUE"""),"R28")</f>
        <v>R28</v>
      </c>
      <c r="B1033" s="7" t="str">
        <f>IFERROR(__xludf.DUMMYFUNCTION("""COMPUTED_VALUE"""),"Blockchain Developer")</f>
        <v>Blockchain Developer</v>
      </c>
      <c r="C1033" s="7" t="str">
        <f>IFERROR(__xludf.DUMMYFUNCTION("""COMPUTED_VALUE"""),"S031")</f>
        <v>S031</v>
      </c>
      <c r="D1033" s="7" t="str">
        <f>IFERROR(__xludf.DUMMYFUNCTION("""COMPUTED_VALUE"""),"Semantic HTML5")</f>
        <v>Semantic HTML5</v>
      </c>
    </row>
    <row r="1034">
      <c r="A1034" s="7" t="str">
        <f>IFERROR(__xludf.DUMMYFUNCTION("""COMPUTED_VALUE"""),"R28")</f>
        <v>R28</v>
      </c>
      <c r="B1034" s="7" t="str">
        <f>IFERROR(__xludf.DUMMYFUNCTION("""COMPUTED_VALUE"""),"Blockchain Developer")</f>
        <v>Blockchain Developer</v>
      </c>
      <c r="C1034" s="7" t="str">
        <f>IFERROR(__xludf.DUMMYFUNCTION("""COMPUTED_VALUE"""),"S032")</f>
        <v>S032</v>
      </c>
      <c r="D1034" s="7" t="str">
        <f>IFERROR(__xludf.DUMMYFUNCTION("""COMPUTED_VALUE"""),"CSS3 Fundamentals &amp; Box Model")</f>
        <v>CSS3 Fundamentals &amp; Box Model</v>
      </c>
    </row>
    <row r="1035">
      <c r="A1035" s="7" t="str">
        <f>IFERROR(__xludf.DUMMYFUNCTION("""COMPUTED_VALUE"""),"R28")</f>
        <v>R28</v>
      </c>
      <c r="B1035" s="7" t="str">
        <f>IFERROR(__xludf.DUMMYFUNCTION("""COMPUTED_VALUE"""),"Blockchain Developer")</f>
        <v>Blockchain Developer</v>
      </c>
      <c r="C1035" s="7" t="str">
        <f>IFERROR(__xludf.DUMMYFUNCTION("""COMPUTED_VALUE"""),"S034")</f>
        <v>S034</v>
      </c>
      <c r="D1035" s="7" t="str">
        <f>IFERROR(__xludf.DUMMYFUNCTION("""COMPUTED_VALUE"""),"JavaScript Fundamentals (ES6+)")</f>
        <v>JavaScript Fundamentals (ES6+)</v>
      </c>
    </row>
    <row r="1036">
      <c r="A1036" s="7" t="str">
        <f>IFERROR(__xludf.DUMMYFUNCTION("""COMPUTED_VALUE"""),"R28")</f>
        <v>R28</v>
      </c>
      <c r="B1036" s="7" t="str">
        <f>IFERROR(__xludf.DUMMYFUNCTION("""COMPUTED_VALUE"""),"Blockchain Developer")</f>
        <v>Blockchain Developer</v>
      </c>
      <c r="C1036" s="7" t="str">
        <f>IFERROR(__xludf.DUMMYFUNCTION("""COMPUTED_VALUE"""),"S035")</f>
        <v>S035</v>
      </c>
      <c r="D1036" s="7" t="str">
        <f>IFERROR(__xludf.DUMMYFUNCTION("""COMPUTED_VALUE"""),"Asynchronous JavaScript (Promises, Async/Await)")</f>
        <v>Asynchronous JavaScript (Promises, Async/Await)</v>
      </c>
    </row>
    <row r="1037">
      <c r="A1037" s="7" t="str">
        <f>IFERROR(__xludf.DUMMYFUNCTION("""COMPUTED_VALUE"""),"R28")</f>
        <v>R28</v>
      </c>
      <c r="B1037" s="7" t="str">
        <f>IFERROR(__xludf.DUMMYFUNCTION("""COMPUTED_VALUE"""),"Blockchain Developer")</f>
        <v>Blockchain Developer</v>
      </c>
      <c r="C1037" s="7" t="str">
        <f>IFERROR(__xludf.DUMMYFUNCTION("""COMPUTED_VALUE"""),"S038")</f>
        <v>S038</v>
      </c>
      <c r="D1037" s="7" t="str">
        <f>IFERROR(__xludf.DUMMYFUNCTION("""COMPUTED_VALUE"""),"TypeScript &amp; Static Typing")</f>
        <v>TypeScript &amp; Static Typing</v>
      </c>
    </row>
    <row r="1038">
      <c r="A1038" s="7" t="str">
        <f>IFERROR(__xludf.DUMMYFUNCTION("""COMPUTED_VALUE"""),"R28")</f>
        <v>R28</v>
      </c>
      <c r="B1038" s="7" t="str">
        <f>IFERROR(__xludf.DUMMYFUNCTION("""COMPUTED_VALUE"""),"Blockchain Developer")</f>
        <v>Blockchain Developer</v>
      </c>
      <c r="C1038" s="7" t="str">
        <f>IFERROR(__xludf.DUMMYFUNCTION("""COMPUTED_VALUE"""),"S039")</f>
        <v>S039</v>
      </c>
      <c r="D1038" s="7" t="str">
        <f>IFERROR(__xludf.DUMMYFUNCTION("""COMPUTED_VALUE"""),"React.js &amp; Hooks Architecture")</f>
        <v>React.js &amp; Hooks Architecture</v>
      </c>
    </row>
    <row r="1039">
      <c r="A1039" s="7" t="str">
        <f>IFERROR(__xludf.DUMMYFUNCTION("""COMPUTED_VALUE"""),"R28")</f>
        <v>R28</v>
      </c>
      <c r="B1039" s="7" t="str">
        <f>IFERROR(__xludf.DUMMYFUNCTION("""COMPUTED_VALUE"""),"Blockchain Developer")</f>
        <v>Blockchain Developer</v>
      </c>
      <c r="C1039" s="7" t="str">
        <f>IFERROR(__xludf.DUMMYFUNCTION("""COMPUTED_VALUE"""),"S043")</f>
        <v>S043</v>
      </c>
      <c r="D1039" s="7" t="str">
        <f>IFERROR(__xludf.DUMMYFUNCTION("""COMPUTED_VALUE"""),"Next.js (SSR, SSG &amp; App Router)")</f>
        <v>Next.js (SSR, SSG &amp; App Router)</v>
      </c>
    </row>
    <row r="1040">
      <c r="A1040" s="7" t="str">
        <f>IFERROR(__xludf.DUMMYFUNCTION("""COMPUTED_VALUE"""),"R28")</f>
        <v>R28</v>
      </c>
      <c r="B1040" s="7" t="str">
        <f>IFERROR(__xludf.DUMMYFUNCTION("""COMPUTED_VALUE"""),"Blockchain Developer")</f>
        <v>Blockchain Developer</v>
      </c>
      <c r="C1040" s="7" t="str">
        <f>IFERROR(__xludf.DUMMYFUNCTION("""COMPUTED_VALUE"""),"S068")</f>
        <v>S068</v>
      </c>
      <c r="D1040" s="7" t="str">
        <f>IFERROR(__xludf.DUMMYFUNCTION("""COMPUTED_VALUE"""),"Python Programming Fundamentals")</f>
        <v>Python Programming Fundamentals</v>
      </c>
    </row>
    <row r="1041">
      <c r="A1041" s="7" t="str">
        <f>IFERROR(__xludf.DUMMYFUNCTION("""COMPUTED_VALUE"""),"R28")</f>
        <v>R28</v>
      </c>
      <c r="B1041" s="7" t="str">
        <f>IFERROR(__xludf.DUMMYFUNCTION("""COMPUTED_VALUE"""),"Blockchain Developer")</f>
        <v>Blockchain Developer</v>
      </c>
      <c r="C1041" s="7" t="str">
        <f>IFERROR(__xludf.DUMMYFUNCTION("""COMPUTED_VALUE"""),"S072")</f>
        <v>S072</v>
      </c>
      <c r="D1041" s="7" t="str">
        <f>IFERROR(__xludf.DUMMYFUNCTION("""COMPUTED_VALUE"""),"Node.js Runtime &amp; Event Loop")</f>
        <v>Node.js Runtime &amp; Event Loop</v>
      </c>
    </row>
    <row r="1042">
      <c r="A1042" s="7" t="str">
        <f>IFERROR(__xludf.DUMMYFUNCTION("""COMPUTED_VALUE"""),"R28")</f>
        <v>R28</v>
      </c>
      <c r="B1042" s="7" t="str">
        <f>IFERROR(__xludf.DUMMYFUNCTION("""COMPUTED_VALUE"""),"Blockchain Developer")</f>
        <v>Blockchain Developer</v>
      </c>
      <c r="C1042" s="7" t="str">
        <f>IFERROR(__xludf.DUMMYFUNCTION("""COMPUTED_VALUE"""),"S077")</f>
        <v>S077</v>
      </c>
      <c r="D1042" s="7" t="str">
        <f>IFERROR(__xludf.DUMMYFUNCTION("""COMPUTED_VALUE"""),"Go (Golang) Programming")</f>
        <v>Go (Golang) Programming</v>
      </c>
    </row>
    <row r="1043">
      <c r="A1043" s="7" t="str">
        <f>IFERROR(__xludf.DUMMYFUNCTION("""COMPUTED_VALUE"""),"R28")</f>
        <v>R28</v>
      </c>
      <c r="B1043" s="7" t="str">
        <f>IFERROR(__xludf.DUMMYFUNCTION("""COMPUTED_VALUE"""),"Blockchain Developer")</f>
        <v>Blockchain Developer</v>
      </c>
      <c r="C1043" s="7" t="str">
        <f>IFERROR(__xludf.DUMMYFUNCTION("""COMPUTED_VALUE"""),"S078")</f>
        <v>S078</v>
      </c>
      <c r="D1043" s="7" t="str">
        <f>IFERROR(__xludf.DUMMYFUNCTION("""COMPUTED_VALUE"""),"Rust Systems &amp; Web Programming")</f>
        <v>Rust Systems &amp; Web Programming</v>
      </c>
    </row>
    <row r="1044">
      <c r="A1044" s="7" t="str">
        <f>IFERROR(__xludf.DUMMYFUNCTION("""COMPUTED_VALUE"""),"R28")</f>
        <v>R28</v>
      </c>
      <c r="B1044" s="7" t="str">
        <f>IFERROR(__xludf.DUMMYFUNCTION("""COMPUTED_VALUE"""),"Blockchain Developer")</f>
        <v>Blockchain Developer</v>
      </c>
      <c r="C1044" s="7" t="str">
        <f>IFERROR(__xludf.DUMMYFUNCTION("""COMPUTED_VALUE"""),"S086")</f>
        <v>S086</v>
      </c>
      <c r="D1044" s="7" t="str">
        <f>IFERROR(__xludf.DUMMYFUNCTION("""COMPUTED_VALUE"""),"RESTful API Design &amp; OpenAPI/Swagger")</f>
        <v>RESTful API Design &amp; OpenAPI/Swagger</v>
      </c>
    </row>
    <row r="1045">
      <c r="A1045" s="7" t="str">
        <f>IFERROR(__xludf.DUMMYFUNCTION("""COMPUTED_VALUE"""),"R28")</f>
        <v>R28</v>
      </c>
      <c r="B1045" s="7" t="str">
        <f>IFERROR(__xludf.DUMMYFUNCTION("""COMPUTED_VALUE"""),"Blockchain Developer")</f>
        <v>Blockchain Developer</v>
      </c>
      <c r="C1045" s="7" t="str">
        <f>IFERROR(__xludf.DUMMYFUNCTION("""COMPUTED_VALUE"""),"S088")</f>
        <v>S088</v>
      </c>
      <c r="D1045" s="7" t="str">
        <f>IFERROR(__xludf.DUMMYFUNCTION("""COMPUTED_VALUE"""),"gRPC &amp; Protocol Buffers")</f>
        <v>gRPC &amp; Protocol Buffers</v>
      </c>
    </row>
    <row r="1046">
      <c r="A1046" s="7" t="str">
        <f>IFERROR(__xludf.DUMMYFUNCTION("""COMPUTED_VALUE"""),"R28")</f>
        <v>R28</v>
      </c>
      <c r="B1046" s="7" t="str">
        <f>IFERROR(__xludf.DUMMYFUNCTION("""COMPUTED_VALUE"""),"Blockchain Developer")</f>
        <v>Blockchain Developer</v>
      </c>
      <c r="C1046" s="7" t="str">
        <f>IFERROR(__xludf.DUMMYFUNCTION("""COMPUTED_VALUE"""),"S089")</f>
        <v>S089</v>
      </c>
      <c r="D1046" s="7" t="str">
        <f>IFERROR(__xludf.DUMMYFUNCTION("""COMPUTED_VALUE"""),"WebSockets &amp; Real-Time Communication (Socket.io)")</f>
        <v>WebSockets &amp; Real-Time Communication (Socket.io)</v>
      </c>
    </row>
    <row r="1047">
      <c r="A1047" s="7" t="str">
        <f>IFERROR(__xludf.DUMMYFUNCTION("""COMPUTED_VALUE"""),"R28")</f>
        <v>R28</v>
      </c>
      <c r="B1047" s="7" t="str">
        <f>IFERROR(__xludf.DUMMYFUNCTION("""COMPUTED_VALUE"""),"Blockchain Developer")</f>
        <v>Blockchain Developer</v>
      </c>
      <c r="C1047" s="7" t="str">
        <f>IFERROR(__xludf.DUMMYFUNCTION("""COMPUTED_VALUE"""),"S102")</f>
        <v>S102</v>
      </c>
      <c r="D1047" s="7" t="str">
        <f>IFERROR(__xludf.DUMMYFUNCTION("""COMPUTED_VALUE"""),"Backend Unit &amp; Integration Testing (JUnit, PyTest, Mocha)")</f>
        <v>Backend Unit &amp; Integration Testing (JUnit, PyTest, Mocha)</v>
      </c>
    </row>
    <row r="1048">
      <c r="A1048" s="7" t="str">
        <f>IFERROR(__xludf.DUMMYFUNCTION("""COMPUTED_VALUE"""),"R28")</f>
        <v>R28</v>
      </c>
      <c r="B1048" s="7" t="str">
        <f>IFERROR(__xludf.DUMMYFUNCTION("""COMPUTED_VALUE"""),"Blockchain Developer")</f>
        <v>Blockchain Developer</v>
      </c>
      <c r="C1048" s="7" t="str">
        <f>IFERROR(__xludf.DUMMYFUNCTION("""COMPUTED_VALUE"""),"S171")</f>
        <v>S171</v>
      </c>
      <c r="D1048" s="7" t="str">
        <f>IFERROR(__xludf.DUMMYFUNCTION("""COMPUTED_VALUE"""),"Containerization with Docker")</f>
        <v>Containerization with Docker</v>
      </c>
    </row>
    <row r="1049">
      <c r="A1049" s="7" t="str">
        <f>IFERROR(__xludf.DUMMYFUNCTION("""COMPUTED_VALUE"""),"R28")</f>
        <v>R28</v>
      </c>
      <c r="B1049" s="7" t="str">
        <f>IFERROR(__xludf.DUMMYFUNCTION("""COMPUTED_VALUE"""),"Blockchain Developer")</f>
        <v>Blockchain Developer</v>
      </c>
      <c r="C1049" s="7" t="str">
        <f>IFERROR(__xludf.DUMMYFUNCTION("""COMPUTED_VALUE"""),"S200")</f>
        <v>S200</v>
      </c>
      <c r="D1049" s="7" t="str">
        <f>IFERROR(__xludf.DUMMYFUNCTION("""COMPUTED_VALUE"""),"Web Application Security &amp; OWASP Top 10")</f>
        <v>Web Application Security &amp; OWASP Top 10</v>
      </c>
    </row>
    <row r="1050">
      <c r="A1050" s="7" t="str">
        <f>IFERROR(__xludf.DUMMYFUNCTION("""COMPUTED_VALUE"""),"R28")</f>
        <v>R28</v>
      </c>
      <c r="B1050" s="7" t="str">
        <f>IFERROR(__xludf.DUMMYFUNCTION("""COMPUTED_VALUE"""),"Blockchain Developer")</f>
        <v>Blockchain Developer</v>
      </c>
      <c r="C1050" s="7" t="str">
        <f>IFERROR(__xludf.DUMMYFUNCTION("""COMPUTED_VALUE"""),"S209")</f>
        <v>S209</v>
      </c>
      <c r="D1050" s="7" t="str">
        <f>IFERROR(__xludf.DUMMYFUNCTION("""COMPUTED_VALUE"""),"Applied Cryptography, Hashing &amp; PKI Certificates")</f>
        <v>Applied Cryptography, Hashing &amp; PKI Certificates</v>
      </c>
    </row>
    <row r="1051">
      <c r="A1051" s="7" t="str">
        <f>IFERROR(__xludf.DUMMYFUNCTION("""COMPUTED_VALUE"""),"R28")</f>
        <v>R28</v>
      </c>
      <c r="B1051" s="7" t="str">
        <f>IFERROR(__xludf.DUMMYFUNCTION("""COMPUTED_VALUE"""),"Blockchain Developer")</f>
        <v>Blockchain Developer</v>
      </c>
      <c r="C1051" s="7" t="str">
        <f>IFERROR(__xludf.DUMMYFUNCTION("""COMPUTED_VALUE"""),"S219")</f>
        <v>S219</v>
      </c>
      <c r="D1051" s="7" t="str">
        <f>IFERROR(__xludf.DUMMYFUNCTION("""COMPUTED_VALUE"""),"Secure Coding Practices &amp; Threat Mitigation")</f>
        <v>Secure Coding Practices &amp; Threat Mitigation</v>
      </c>
    </row>
    <row r="1052">
      <c r="A1052" s="7" t="str">
        <f>IFERROR(__xludf.DUMMYFUNCTION("""COMPUTED_VALUE"""),"R28")</f>
        <v>R28</v>
      </c>
      <c r="B1052" s="7" t="str">
        <f>IFERROR(__xludf.DUMMYFUNCTION("""COMPUTED_VALUE"""),"Blockchain Developer")</f>
        <v>Blockchain Developer</v>
      </c>
      <c r="C1052" s="7" t="str">
        <f>IFERROR(__xludf.DUMMYFUNCTION("""COMPUTED_VALUE"""),"S237")</f>
        <v>S237</v>
      </c>
      <c r="D1052" s="7" t="str">
        <f>IFERROR(__xludf.DUMMYFUNCTION("""COMPUTED_VALUE"""),"Blockchain Architecture, Consensus &amp; Distributed Ledgers")</f>
        <v>Blockchain Architecture, Consensus &amp; Distributed Ledgers</v>
      </c>
    </row>
    <row r="1053">
      <c r="A1053" s="7" t="str">
        <f>IFERROR(__xludf.DUMMYFUNCTION("""COMPUTED_VALUE"""),"R28")</f>
        <v>R28</v>
      </c>
      <c r="B1053" s="7" t="str">
        <f>IFERROR(__xludf.DUMMYFUNCTION("""COMPUTED_VALUE"""),"Blockchain Developer")</f>
        <v>Blockchain Developer</v>
      </c>
      <c r="C1053" s="7" t="str">
        <f>IFERROR(__xludf.DUMMYFUNCTION("""COMPUTED_VALUE"""),"S238")</f>
        <v>S238</v>
      </c>
      <c r="D1053" s="7" t="str">
        <f>IFERROR(__xludf.DUMMYFUNCTION("""COMPUTED_VALUE"""),"Smart Contract Development &amp; Auditing (Solidity, Hardhat, Foundry)")</f>
        <v>Smart Contract Development &amp; Auditing (Solidity, Hardhat, Foundry)</v>
      </c>
    </row>
    <row r="1054">
      <c r="A1054" s="7" t="str">
        <f>IFERROR(__xludf.DUMMYFUNCTION("""COMPUTED_VALUE"""),"R28")</f>
        <v>R28</v>
      </c>
      <c r="B1054" s="7" t="str">
        <f>IFERROR(__xludf.DUMMYFUNCTION("""COMPUTED_VALUE"""),"Blockchain Developer")</f>
        <v>Blockchain Developer</v>
      </c>
      <c r="C1054" s="7" t="str">
        <f>IFERROR(__xludf.DUMMYFUNCTION("""COMPUTED_VALUE"""),"S239")</f>
        <v>S239</v>
      </c>
      <c r="D1054" s="7" t="str">
        <f>IFERROR(__xludf.DUMMYFUNCTION("""COMPUTED_VALUE"""),"Decentralized Application Integration (Web3 Libraries &amp; Wallet Connect)")</f>
        <v>Decentralized Application Integration (Web3 Libraries &amp; Wallet Connect)</v>
      </c>
    </row>
    <row r="1055">
      <c r="A1055" s="7" t="str">
        <f>IFERROR(__xludf.DUMMYFUNCTION("""COMPUTED_VALUE"""),"R28")</f>
        <v>R28</v>
      </c>
      <c r="B1055" s="7" t="str">
        <f>IFERROR(__xludf.DUMMYFUNCTION("""COMPUTED_VALUE"""),"Blockchain Developer")</f>
        <v>Blockchain Developer</v>
      </c>
      <c r="C1055" s="7" t="str">
        <f>IFERROR(__xludf.DUMMYFUNCTION("""COMPUTED_VALUE"""),"S244")</f>
        <v>S244</v>
      </c>
      <c r="D1055" s="7" t="str">
        <f>IFERROR(__xludf.DUMMYFUNCTION("""COMPUTED_VALUE"""),"Distributed Systems Theory (CAP Theorem, Consensus, Raft/Paxos)")</f>
        <v>Distributed Systems Theory (CAP Theorem, Consensus, Raft/Paxos)</v>
      </c>
    </row>
    <row r="1056">
      <c r="A1056" s="7" t="str">
        <f>IFERROR(__xludf.DUMMYFUNCTION("""COMPUTED_VALUE"""),"R28")</f>
        <v>R28</v>
      </c>
      <c r="B1056" s="7" t="str">
        <f>IFERROR(__xludf.DUMMYFUNCTION("""COMPUTED_VALUE"""),"Blockchain Developer")</f>
        <v>Blockchain Developer</v>
      </c>
      <c r="C1056" s="7" t="str">
        <f>IFERROR(__xludf.DUMMYFUNCTION("""COMPUTED_VALUE"""),"S246")</f>
        <v>S246</v>
      </c>
      <c r="D1056" s="7" t="str">
        <f>IFERROR(__xludf.DUMMYFUNCTION("""COMPUTED_VALUE"""),"Agile Methodologies, Scrum Framework &amp; Kanban")</f>
        <v>Agile Methodologies, Scrum Framework &amp; Kanban</v>
      </c>
    </row>
    <row r="1057">
      <c r="A1057" s="7" t="str">
        <f>IFERROR(__xludf.DUMMYFUNCTION("""COMPUTED_VALUE"""),"R28")</f>
        <v>R28</v>
      </c>
      <c r="B1057" s="7" t="str">
        <f>IFERROR(__xludf.DUMMYFUNCTION("""COMPUTED_VALUE"""),"Blockchain Developer")</f>
        <v>Blockchain Developer</v>
      </c>
      <c r="C1057" s="7" t="str">
        <f>IFERROR(__xludf.DUMMYFUNCTION("""COMPUTED_VALUE"""),"S247")</f>
        <v>S247</v>
      </c>
      <c r="D1057" s="7" t="str">
        <f>IFERROR(__xludf.DUMMYFUNCTION("""COMPUTED_VALUE"""),"Project Tracking &amp; Documentation Tools (Jira, Confluence, Linear)")</f>
        <v>Project Tracking &amp; Documentation Tools (Jira, Confluence, Linear)</v>
      </c>
    </row>
    <row r="1058">
      <c r="A1058" s="7" t="str">
        <f>IFERROR(__xludf.DUMMYFUNCTION("""COMPUTED_VALUE"""),"R29")</f>
        <v>R29</v>
      </c>
      <c r="B1058" s="7" t="str">
        <f>IFERROR(__xludf.DUMMYFUNCTION("""COMPUTED_VALUE"""),"Game Developer")</f>
        <v>Game Developer</v>
      </c>
      <c r="C1058" s="7" t="str">
        <f>IFERROR(__xludf.DUMMYFUNCTION("""COMPUTED_VALUE"""),"S001")</f>
        <v>S001</v>
      </c>
      <c r="D1058" s="7" t="str">
        <f>IFERROR(__xludf.DUMMYFUNCTION("""COMPUTED_VALUE"""),"Computer Architecture &amp; Organization")</f>
        <v>Computer Architecture &amp; Organization</v>
      </c>
    </row>
    <row r="1059">
      <c r="A1059" s="7" t="str">
        <f>IFERROR(__xludf.DUMMYFUNCTION("""COMPUTED_VALUE"""),"R29")</f>
        <v>R29</v>
      </c>
      <c r="B1059" s="7" t="str">
        <f>IFERROR(__xludf.DUMMYFUNCTION("""COMPUTED_VALUE"""),"Game Developer")</f>
        <v>Game Developer</v>
      </c>
      <c r="C1059" s="7" t="str">
        <f>IFERROR(__xludf.DUMMYFUNCTION("""COMPUTED_VALUE"""),"S002")</f>
        <v>S002</v>
      </c>
      <c r="D1059" s="7" t="str">
        <f>IFERROR(__xludf.DUMMYFUNCTION("""COMPUTED_VALUE"""),"Operating Systems Concepts")</f>
        <v>Operating Systems Concepts</v>
      </c>
    </row>
    <row r="1060">
      <c r="A1060" s="7" t="str">
        <f>IFERROR(__xludf.DUMMYFUNCTION("""COMPUTED_VALUE"""),"R29")</f>
        <v>R29</v>
      </c>
      <c r="B1060" s="7" t="str">
        <f>IFERROR(__xludf.DUMMYFUNCTION("""COMPUTED_VALUE"""),"Game Developer")</f>
        <v>Game Developer</v>
      </c>
      <c r="C1060" s="7" t="str">
        <f>IFERROR(__xludf.DUMMYFUNCTION("""COMPUTED_VALUE"""),"S003")</f>
        <v>S003</v>
      </c>
      <c r="D1060" s="7" t="str">
        <f>IFERROR(__xludf.DUMMYFUNCTION("""COMPUTED_VALUE"""),"Process &amp; Thread Management")</f>
        <v>Process &amp; Thread Management</v>
      </c>
    </row>
    <row r="1061">
      <c r="A1061" s="7" t="str">
        <f>IFERROR(__xludf.DUMMYFUNCTION("""COMPUTED_VALUE"""),"R29")</f>
        <v>R29</v>
      </c>
      <c r="B1061" s="7" t="str">
        <f>IFERROR(__xludf.DUMMYFUNCTION("""COMPUTED_VALUE"""),"Game Developer")</f>
        <v>Game Developer</v>
      </c>
      <c r="C1061" s="7" t="str">
        <f>IFERROR(__xludf.DUMMYFUNCTION("""COMPUTED_VALUE"""),"S004")</f>
        <v>S004</v>
      </c>
      <c r="D1061" s="7" t="str">
        <f>IFERROR(__xludf.DUMMYFUNCTION("""COMPUTED_VALUE"""),"Memory Management &amp; Paging")</f>
        <v>Memory Management &amp; Paging</v>
      </c>
    </row>
    <row r="1062">
      <c r="A1062" s="7" t="str">
        <f>IFERROR(__xludf.DUMMYFUNCTION("""COMPUTED_VALUE"""),"R29")</f>
        <v>R29</v>
      </c>
      <c r="B1062" s="7" t="str">
        <f>IFERROR(__xludf.DUMMYFUNCTION("""COMPUTED_VALUE"""),"Game Developer")</f>
        <v>Game Developer</v>
      </c>
      <c r="C1062" s="7" t="str">
        <f>IFERROR(__xludf.DUMMYFUNCTION("""COMPUTED_VALUE"""),"S006")</f>
        <v>S006</v>
      </c>
      <c r="D1062" s="7" t="str">
        <f>IFERROR(__xludf.DUMMYFUNCTION("""COMPUTED_VALUE"""),"Basic Data Structures (Arrays, Lists, Stacks, Queues)")</f>
        <v>Basic Data Structures (Arrays, Lists, Stacks, Queues)</v>
      </c>
    </row>
    <row r="1063">
      <c r="A1063" s="7" t="str">
        <f>IFERROR(__xludf.DUMMYFUNCTION("""COMPUTED_VALUE"""),"R29")</f>
        <v>R29</v>
      </c>
      <c r="B1063" s="7" t="str">
        <f>IFERROR(__xludf.DUMMYFUNCTION("""COMPUTED_VALUE"""),"Game Developer")</f>
        <v>Game Developer</v>
      </c>
      <c r="C1063" s="7" t="str">
        <f>IFERROR(__xludf.DUMMYFUNCTION("""COMPUTED_VALUE"""),"S007")</f>
        <v>S007</v>
      </c>
      <c r="D1063" s="7" t="str">
        <f>IFERROR(__xludf.DUMMYFUNCTION("""COMPUTED_VALUE"""),"Trees &amp; Binary Search Trees")</f>
        <v>Trees &amp; Binary Search Trees</v>
      </c>
    </row>
    <row r="1064">
      <c r="A1064" s="7" t="str">
        <f>IFERROR(__xludf.DUMMYFUNCTION("""COMPUTED_VALUE"""),"R29")</f>
        <v>R29</v>
      </c>
      <c r="B1064" s="7" t="str">
        <f>IFERROR(__xludf.DUMMYFUNCTION("""COMPUTED_VALUE"""),"Game Developer")</f>
        <v>Game Developer</v>
      </c>
      <c r="C1064" s="7" t="str">
        <f>IFERROR(__xludf.DUMMYFUNCTION("""COMPUTED_VALUE"""),"S008")</f>
        <v>S008</v>
      </c>
      <c r="D1064" s="7" t="str">
        <f>IFERROR(__xludf.DUMMYFUNCTION("""COMPUTED_VALUE"""),"Heaps, Priority Queues &amp; Hashing")</f>
        <v>Heaps, Priority Queues &amp; Hashing</v>
      </c>
    </row>
    <row r="1065">
      <c r="A1065" s="7" t="str">
        <f>IFERROR(__xludf.DUMMYFUNCTION("""COMPUTED_VALUE"""),"R29")</f>
        <v>R29</v>
      </c>
      <c r="B1065" s="7" t="str">
        <f>IFERROR(__xludf.DUMMYFUNCTION("""COMPUTED_VALUE"""),"Game Developer")</f>
        <v>Game Developer</v>
      </c>
      <c r="C1065" s="7" t="str">
        <f>IFERROR(__xludf.DUMMYFUNCTION("""COMPUTED_VALUE"""),"S009")</f>
        <v>S009</v>
      </c>
      <c r="D1065" s="7" t="str">
        <f>IFERROR(__xludf.DUMMYFUNCTION("""COMPUTED_VALUE"""),"Graphs &amp; Graph Traversal (BFS/DFS)")</f>
        <v>Graphs &amp; Graph Traversal (BFS/DFS)</v>
      </c>
    </row>
    <row r="1066">
      <c r="A1066" s="7" t="str">
        <f>IFERROR(__xludf.DUMMYFUNCTION("""COMPUTED_VALUE"""),"R29")</f>
        <v>R29</v>
      </c>
      <c r="B1066" s="7" t="str">
        <f>IFERROR(__xludf.DUMMYFUNCTION("""COMPUTED_VALUE"""),"Game Developer")</f>
        <v>Game Developer</v>
      </c>
      <c r="C1066" s="7" t="str">
        <f>IFERROR(__xludf.DUMMYFUNCTION("""COMPUTED_VALUE"""),"S010")</f>
        <v>S010</v>
      </c>
      <c r="D1066" s="7" t="str">
        <f>IFERROR(__xludf.DUMMYFUNCTION("""COMPUTED_VALUE"""),"Sorting &amp; Searching Algorithms")</f>
        <v>Sorting &amp; Searching Algorithms</v>
      </c>
    </row>
    <row r="1067">
      <c r="A1067" s="7" t="str">
        <f>IFERROR(__xludf.DUMMYFUNCTION("""COMPUTED_VALUE"""),"R29")</f>
        <v>R29</v>
      </c>
      <c r="B1067" s="7" t="str">
        <f>IFERROR(__xludf.DUMMYFUNCTION("""COMPUTED_VALUE"""),"Game Developer")</f>
        <v>Game Developer</v>
      </c>
      <c r="C1067" s="7" t="str">
        <f>IFERROR(__xludf.DUMMYFUNCTION("""COMPUTED_VALUE"""),"S011")</f>
        <v>S011</v>
      </c>
      <c r="D1067" s="7" t="str">
        <f>IFERROR(__xludf.DUMMYFUNCTION("""COMPUTED_VALUE"""),"Dynamic Programming &amp; Greedy Algorithms")</f>
        <v>Dynamic Programming &amp; Greedy Algorithms</v>
      </c>
    </row>
    <row r="1068">
      <c r="A1068" s="7" t="str">
        <f>IFERROR(__xludf.DUMMYFUNCTION("""COMPUTED_VALUE"""),"R29")</f>
        <v>R29</v>
      </c>
      <c r="B1068" s="7" t="str">
        <f>IFERROR(__xludf.DUMMYFUNCTION("""COMPUTED_VALUE"""),"Game Developer")</f>
        <v>Game Developer</v>
      </c>
      <c r="C1068" s="7" t="str">
        <f>IFERROR(__xludf.DUMMYFUNCTION("""COMPUTED_VALUE"""),"S012")</f>
        <v>S012</v>
      </c>
      <c r="D1068" s="7" t="str">
        <f>IFERROR(__xludf.DUMMYFUNCTION("""COMPUTED_VALUE"""),"Time &amp; Space Complexity (Big-O Analysis)")</f>
        <v>Time &amp; Space Complexity (Big-O Analysis)</v>
      </c>
    </row>
    <row r="1069">
      <c r="A1069" s="7" t="str">
        <f>IFERROR(__xludf.DUMMYFUNCTION("""COMPUTED_VALUE"""),"R29")</f>
        <v>R29</v>
      </c>
      <c r="B1069" s="7" t="str">
        <f>IFERROR(__xludf.DUMMYFUNCTION("""COMPUTED_VALUE"""),"Game Developer")</f>
        <v>Game Developer</v>
      </c>
      <c r="C1069" s="7" t="str">
        <f>IFERROR(__xludf.DUMMYFUNCTION("""COMPUTED_VALUE"""),"S013")</f>
        <v>S013</v>
      </c>
      <c r="D1069" s="7" t="str">
        <f>IFERROR(__xludf.DUMMYFUNCTION("""COMPUTED_VALUE"""),"Object-Oriented Programming (OOP)")</f>
        <v>Object-Oriented Programming (OOP)</v>
      </c>
    </row>
    <row r="1070">
      <c r="A1070" s="7" t="str">
        <f>IFERROR(__xludf.DUMMYFUNCTION("""COMPUTED_VALUE"""),"R29")</f>
        <v>R29</v>
      </c>
      <c r="B1070" s="7" t="str">
        <f>IFERROR(__xludf.DUMMYFUNCTION("""COMPUTED_VALUE"""),"Game Developer")</f>
        <v>Game Developer</v>
      </c>
      <c r="C1070" s="7" t="str">
        <f>IFERROR(__xludf.DUMMYFUNCTION("""COMPUTED_VALUE"""),"S015")</f>
        <v>S015</v>
      </c>
      <c r="D1070" s="7" t="str">
        <f>IFERROR(__xludf.DUMMYFUNCTION("""COMPUTED_VALUE"""),"Software Design Patterns (GoF)")</f>
        <v>Software Design Patterns (GoF)</v>
      </c>
    </row>
    <row r="1071">
      <c r="A1071" s="7" t="str">
        <f>IFERROR(__xludf.DUMMYFUNCTION("""COMPUTED_VALUE"""),"R29")</f>
        <v>R29</v>
      </c>
      <c r="B1071" s="7" t="str">
        <f>IFERROR(__xludf.DUMMYFUNCTION("""COMPUTED_VALUE"""),"Game Developer")</f>
        <v>Game Developer</v>
      </c>
      <c r="C1071" s="7" t="str">
        <f>IFERROR(__xludf.DUMMYFUNCTION("""COMPUTED_VALUE"""),"S016")</f>
        <v>S016</v>
      </c>
      <c r="D1071" s="7" t="str">
        <f>IFERROR(__xludf.DUMMYFUNCTION("""COMPUTED_VALUE"""),"SOLID Principles &amp; Clean Code")</f>
        <v>SOLID Principles &amp; Clean Code</v>
      </c>
    </row>
    <row r="1072">
      <c r="A1072" s="7" t="str">
        <f>IFERROR(__xludf.DUMMYFUNCTION("""COMPUTED_VALUE"""),"R29")</f>
        <v>R29</v>
      </c>
      <c r="B1072" s="7" t="str">
        <f>IFERROR(__xludf.DUMMYFUNCTION("""COMPUTED_VALUE"""),"Game Developer")</f>
        <v>Game Developer</v>
      </c>
      <c r="C1072" s="7" t="str">
        <f>IFERROR(__xludf.DUMMYFUNCTION("""COMPUTED_VALUE"""),"S017")</f>
        <v>S017</v>
      </c>
      <c r="D1072" s="7" t="str">
        <f>IFERROR(__xludf.DUMMYFUNCTION("""COMPUTED_VALUE"""),"Git Version Control Fundamentals")</f>
        <v>Git Version Control Fundamentals</v>
      </c>
    </row>
    <row r="1073">
      <c r="A1073" s="7" t="str">
        <f>IFERROR(__xludf.DUMMYFUNCTION("""COMPUTED_VALUE"""),"R29")</f>
        <v>R29</v>
      </c>
      <c r="B1073" s="7" t="str">
        <f>IFERROR(__xludf.DUMMYFUNCTION("""COMPUTED_VALUE"""),"Game Developer")</f>
        <v>Game Developer</v>
      </c>
      <c r="C1073" s="7" t="str">
        <f>IFERROR(__xludf.DUMMYFUNCTION("""COMPUTED_VALUE"""),"S018")</f>
        <v>S018</v>
      </c>
      <c r="D1073" s="7" t="str">
        <f>IFERROR(__xludf.DUMMYFUNCTION("""COMPUTED_VALUE"""),"GitHub / GitLab Workflows &amp; Pull Requests")</f>
        <v>GitHub / GitLab Workflows &amp; Pull Requests</v>
      </c>
    </row>
    <row r="1074">
      <c r="A1074" s="7" t="str">
        <f>IFERROR(__xludf.DUMMYFUNCTION("""COMPUTED_VALUE"""),"R29")</f>
        <v>R29</v>
      </c>
      <c r="B1074" s="7" t="str">
        <f>IFERROR(__xludf.DUMMYFUNCTION("""COMPUTED_VALUE"""),"Game Developer")</f>
        <v>Game Developer</v>
      </c>
      <c r="C1074" s="7" t="str">
        <f>IFERROR(__xludf.DUMMYFUNCTION("""COMPUTED_VALUE"""),"S026")</f>
        <v>S026</v>
      </c>
      <c r="D1074" s="7" t="str">
        <f>IFERROR(__xludf.DUMMYFUNCTION("""COMPUTED_VALUE"""),"Data Serialization (JSON, XML, YAML, Protobuf)")</f>
        <v>Data Serialization (JSON, XML, YAML, Protobuf)</v>
      </c>
    </row>
    <row r="1075">
      <c r="A1075" s="7" t="str">
        <f>IFERROR(__xludf.DUMMYFUNCTION("""COMPUTED_VALUE"""),"R29")</f>
        <v>R29</v>
      </c>
      <c r="B1075" s="7" t="str">
        <f>IFERROR(__xludf.DUMMYFUNCTION("""COMPUTED_VALUE"""),"Game Developer")</f>
        <v>Game Developer</v>
      </c>
      <c r="C1075" s="7" t="str">
        <f>IFERROR(__xludf.DUMMYFUNCTION("""COMPUTED_VALUE"""),"S028")</f>
        <v>S028</v>
      </c>
      <c r="D1075" s="7" t="str">
        <f>IFERROR(__xludf.DUMMYFUNCTION("""COMPUTED_VALUE"""),"Technical Writing &amp; Markdown Documentation")</f>
        <v>Technical Writing &amp; Markdown Documentation</v>
      </c>
    </row>
    <row r="1076">
      <c r="A1076" s="7" t="str">
        <f>IFERROR(__xludf.DUMMYFUNCTION("""COMPUTED_VALUE"""),"R29")</f>
        <v>R29</v>
      </c>
      <c r="B1076" s="7" t="str">
        <f>IFERROR(__xludf.DUMMYFUNCTION("""COMPUTED_VALUE"""),"Game Developer")</f>
        <v>Game Developer</v>
      </c>
      <c r="C1076" s="7" t="str">
        <f>IFERROR(__xludf.DUMMYFUNCTION("""COMPUTED_VALUE"""),"S029")</f>
        <v>S029</v>
      </c>
      <c r="D1076" s="7" t="str">
        <f>IFERROR(__xludf.DUMMYFUNCTION("""COMPUTED_VALUE"""),"Debugging, Profiling &amp; Root Cause Analysis")</f>
        <v>Debugging, Profiling &amp; Root Cause Analysis</v>
      </c>
    </row>
    <row r="1077">
      <c r="A1077" s="7" t="str">
        <f>IFERROR(__xludf.DUMMYFUNCTION("""COMPUTED_VALUE"""),"R29")</f>
        <v>R29</v>
      </c>
      <c r="B1077" s="7" t="str">
        <f>IFERROR(__xludf.DUMMYFUNCTION("""COMPUTED_VALUE"""),"Game Developer")</f>
        <v>Game Developer</v>
      </c>
      <c r="C1077" s="7" t="str">
        <f>IFERROR(__xludf.DUMMYFUNCTION("""COMPUTED_VALUE"""),"S030")</f>
        <v>S030</v>
      </c>
      <c r="D1077" s="7" t="str">
        <f>IFERROR(__xludf.DUMMYFUNCTION("""COMPUTED_VALUE"""),"Discrete Mathematics &amp; Boolean Logic")</f>
        <v>Discrete Mathematics &amp; Boolean Logic</v>
      </c>
    </row>
    <row r="1078">
      <c r="A1078" s="7" t="str">
        <f>IFERROR(__xludf.DUMMYFUNCTION("""COMPUTED_VALUE"""),"R29")</f>
        <v>R29</v>
      </c>
      <c r="B1078" s="7" t="str">
        <f>IFERROR(__xludf.DUMMYFUNCTION("""COMPUTED_VALUE"""),"Game Developer")</f>
        <v>Game Developer</v>
      </c>
      <c r="C1078" s="7" t="str">
        <f>IFERROR(__xludf.DUMMYFUNCTION("""COMPUTED_VALUE"""),"S058")</f>
        <v>S058</v>
      </c>
      <c r="D1078" s="7" t="str">
        <f>IFERROR(__xludf.DUMMYFUNCTION("""COMPUTED_VALUE"""),"WebGL &amp; 3D Browser Graphics (Three.js)")</f>
        <v>WebGL &amp; 3D Browser Graphics (Three.js)</v>
      </c>
    </row>
    <row r="1079">
      <c r="A1079" s="7" t="str">
        <f>IFERROR(__xludf.DUMMYFUNCTION("""COMPUTED_VALUE"""),"R29")</f>
        <v>R29</v>
      </c>
      <c r="B1079" s="7" t="str">
        <f>IFERROR(__xludf.DUMMYFUNCTION("""COMPUTED_VALUE"""),"Game Developer")</f>
        <v>Game Developer</v>
      </c>
      <c r="C1079" s="7" t="str">
        <f>IFERROR(__xludf.DUMMYFUNCTION("""COMPUTED_VALUE"""),"S075")</f>
        <v>S075</v>
      </c>
      <c r="D1079" s="7" t="str">
        <f>IFERROR(__xludf.DUMMYFUNCTION("""COMPUTED_VALUE"""),"C# &amp; .NET Runtime")</f>
        <v>C# &amp; .NET Runtime</v>
      </c>
    </row>
    <row r="1080">
      <c r="A1080" s="7" t="str">
        <f>IFERROR(__xludf.DUMMYFUNCTION("""COMPUTED_VALUE"""),"R29")</f>
        <v>R29</v>
      </c>
      <c r="B1080" s="7" t="str">
        <f>IFERROR(__xludf.DUMMYFUNCTION("""COMPUTED_VALUE"""),"Game Developer")</f>
        <v>Game Developer</v>
      </c>
      <c r="C1080" s="7" t="str">
        <f>IFERROR(__xludf.DUMMYFUNCTION("""COMPUTED_VALUE"""),"S082")</f>
        <v>S082</v>
      </c>
      <c r="D1080" s="7" t="str">
        <f>IFERROR(__xludf.DUMMYFUNCTION("""COMPUTED_VALUE"""),"C Programming &amp; Pointers")</f>
        <v>C Programming &amp; Pointers</v>
      </c>
    </row>
    <row r="1081">
      <c r="A1081" s="7" t="str">
        <f>IFERROR(__xludf.DUMMYFUNCTION("""COMPUTED_VALUE"""),"R29")</f>
        <v>R29</v>
      </c>
      <c r="B1081" s="7" t="str">
        <f>IFERROR(__xludf.DUMMYFUNCTION("""COMPUTED_VALUE"""),"Game Developer")</f>
        <v>Game Developer</v>
      </c>
      <c r="C1081" s="7" t="str">
        <f>IFERROR(__xludf.DUMMYFUNCTION("""COMPUTED_VALUE"""),"S083")</f>
        <v>S083</v>
      </c>
      <c r="D1081" s="7" t="str">
        <f>IFERROR(__xludf.DUMMYFUNCTION("""COMPUTED_VALUE"""),"C++ &amp; Standard Template Library (STL)")</f>
        <v>C++ &amp; Standard Template Library (STL)</v>
      </c>
    </row>
    <row r="1082">
      <c r="A1082" s="7" t="str">
        <f>IFERROR(__xludf.DUMMYFUNCTION("""COMPUTED_VALUE"""),"R29")</f>
        <v>R29</v>
      </c>
      <c r="B1082" s="7" t="str">
        <f>IFERROR(__xludf.DUMMYFUNCTION("""COMPUTED_VALUE"""),"Game Developer")</f>
        <v>Game Developer</v>
      </c>
      <c r="C1082" s="7" t="str">
        <f>IFERROR(__xludf.DUMMYFUNCTION("""COMPUTED_VALUE"""),"S089")</f>
        <v>S089</v>
      </c>
      <c r="D1082" s="7" t="str">
        <f>IFERROR(__xludf.DUMMYFUNCTION("""COMPUTED_VALUE"""),"WebSockets &amp; Real-Time Communication (Socket.io)")</f>
        <v>WebSockets &amp; Real-Time Communication (Socket.io)</v>
      </c>
    </row>
    <row r="1083">
      <c r="A1083" s="7" t="str">
        <f>IFERROR(__xludf.DUMMYFUNCTION("""COMPUTED_VALUE"""),"R29")</f>
        <v>R29</v>
      </c>
      <c r="B1083" s="7" t="str">
        <f>IFERROR(__xludf.DUMMYFUNCTION("""COMPUTED_VALUE"""),"Game Developer")</f>
        <v>Game Developer</v>
      </c>
      <c r="C1083" s="7" t="str">
        <f>IFERROR(__xludf.DUMMYFUNCTION("""COMPUTED_VALUE"""),"S100")</f>
        <v>S100</v>
      </c>
      <c r="D1083" s="7" t="str">
        <f>IFERROR(__xludf.DUMMYFUNCTION("""COMPUTED_VALUE"""),"Multithreading, Concurrency &amp; Parallel Processing")</f>
        <v>Multithreading, Concurrency &amp; Parallel Processing</v>
      </c>
    </row>
    <row r="1084">
      <c r="A1084" s="7" t="str">
        <f>IFERROR(__xludf.DUMMYFUNCTION("""COMPUTED_VALUE"""),"R29")</f>
        <v>R29</v>
      </c>
      <c r="B1084" s="7" t="str">
        <f>IFERROR(__xludf.DUMMYFUNCTION("""COMPUTED_VALUE"""),"Game Developer")</f>
        <v>Game Developer</v>
      </c>
      <c r="C1084" s="7" t="str">
        <f>IFERROR(__xludf.DUMMYFUNCTION("""COMPUTED_VALUE"""),"S138")</f>
        <v>S138</v>
      </c>
      <c r="D1084" s="7" t="str">
        <f>IFERROR(__xludf.DUMMYFUNCTION("""COMPUTED_VALUE"""),"Linear Algebra, Calculus &amp; Optimization for ML")</f>
        <v>Linear Algebra, Calculus &amp; Optimization for ML</v>
      </c>
    </row>
    <row r="1085">
      <c r="A1085" s="7" t="str">
        <f>IFERROR(__xludf.DUMMYFUNCTION("""COMPUTED_VALUE"""),"R29")</f>
        <v>R29</v>
      </c>
      <c r="B1085" s="7" t="str">
        <f>IFERROR(__xludf.DUMMYFUNCTION("""COMPUTED_VALUE"""),"Game Developer")</f>
        <v>Game Developer</v>
      </c>
      <c r="C1085" s="7" t="str">
        <f>IFERROR(__xludf.DUMMYFUNCTION("""COMPUTED_VALUE"""),"S227")</f>
        <v>S227</v>
      </c>
      <c r="D1085" s="7" t="str">
        <f>IFERROR(__xludf.DUMMYFUNCTION("""COMPUTED_VALUE"""),"Mobile App Store Deployment, Signing &amp; Profiling")</f>
        <v>Mobile App Store Deployment, Signing &amp; Profiling</v>
      </c>
    </row>
    <row r="1086">
      <c r="A1086" s="7" t="str">
        <f>IFERROR(__xludf.DUMMYFUNCTION("""COMPUTED_VALUE"""),"R29")</f>
        <v>R29</v>
      </c>
      <c r="B1086" s="7" t="str">
        <f>IFERROR(__xludf.DUMMYFUNCTION("""COMPUTED_VALUE"""),"Game Developer")</f>
        <v>Game Developer</v>
      </c>
      <c r="C1086" s="7" t="str">
        <f>IFERROR(__xludf.DUMMYFUNCTION("""COMPUTED_VALUE"""),"S228")</f>
        <v>S228</v>
      </c>
      <c r="D1086" s="7" t="str">
        <f>IFERROR(__xludf.DUMMYFUNCTION("""COMPUTED_VALUE"""),"Game Development with Unity Engine &amp; C#")</f>
        <v>Game Development with Unity Engine &amp; C#</v>
      </c>
    </row>
    <row r="1087">
      <c r="A1087" s="7" t="str">
        <f>IFERROR(__xludf.DUMMYFUNCTION("""COMPUTED_VALUE"""),"R29")</f>
        <v>R29</v>
      </c>
      <c r="B1087" s="7" t="str">
        <f>IFERROR(__xludf.DUMMYFUNCTION("""COMPUTED_VALUE"""),"Game Developer")</f>
        <v>Game Developer</v>
      </c>
      <c r="C1087" s="7" t="str">
        <f>IFERROR(__xludf.DUMMYFUNCTION("""COMPUTED_VALUE"""),"S229")</f>
        <v>S229</v>
      </c>
      <c r="D1087" s="7" t="str">
        <f>IFERROR(__xludf.DUMMYFUNCTION("""COMPUTED_VALUE"""),"Game Development with Unreal Engine &amp; C++")</f>
        <v>Game Development with Unreal Engine &amp; C++</v>
      </c>
    </row>
    <row r="1088">
      <c r="A1088" s="7" t="str">
        <f>IFERROR(__xludf.DUMMYFUNCTION("""COMPUTED_VALUE"""),"R29")</f>
        <v>R29</v>
      </c>
      <c r="B1088" s="7" t="str">
        <f>IFERROR(__xludf.DUMMYFUNCTION("""COMPUTED_VALUE"""),"Game Developer")</f>
        <v>Game Developer</v>
      </c>
      <c r="C1088" s="7" t="str">
        <f>IFERROR(__xludf.DUMMYFUNCTION("""COMPUTED_VALUE"""),"S230")</f>
        <v>S230</v>
      </c>
      <c r="D1088" s="7" t="str">
        <f>IFERROR(__xludf.DUMMYFUNCTION("""COMPUTED_VALUE"""),"3D Mathematics, Physics Engines &amp; Shader Programming (HLSL/GLSL)")</f>
        <v>3D Mathematics, Physics Engines &amp; Shader Programming (HLSL/GLSL)</v>
      </c>
    </row>
    <row r="1089">
      <c r="A1089" s="7" t="str">
        <f>IFERROR(__xludf.DUMMYFUNCTION("""COMPUTED_VALUE"""),"R29")</f>
        <v>R29</v>
      </c>
      <c r="B1089" s="7" t="str">
        <f>IFERROR(__xludf.DUMMYFUNCTION("""COMPUTED_VALUE"""),"Game Developer")</f>
        <v>Game Developer</v>
      </c>
      <c r="C1089" s="7" t="str">
        <f>IFERROR(__xludf.DUMMYFUNCTION("""COMPUTED_VALUE"""),"S231")</f>
        <v>S231</v>
      </c>
      <c r="D1089" s="7" t="str">
        <f>IFERROR(__xludf.DUMMYFUNCTION("""COMPUTED_VALUE"""),"Extended Reality Development (AR/VR, OpenXR, ARKit, ARCore)")</f>
        <v>Extended Reality Development (AR/VR, OpenXR, ARKit, ARCore)</v>
      </c>
    </row>
    <row r="1090">
      <c r="A1090" s="7" t="str">
        <f>IFERROR(__xludf.DUMMYFUNCTION("""COMPUTED_VALUE"""),"R29")</f>
        <v>R29</v>
      </c>
      <c r="B1090" s="7" t="str">
        <f>IFERROR(__xludf.DUMMYFUNCTION("""COMPUTED_VALUE"""),"Game Developer")</f>
        <v>Game Developer</v>
      </c>
      <c r="C1090" s="7" t="str">
        <f>IFERROR(__xludf.DUMMYFUNCTION("""COMPUTED_VALUE"""),"S246")</f>
        <v>S246</v>
      </c>
      <c r="D1090" s="7" t="str">
        <f>IFERROR(__xludf.DUMMYFUNCTION("""COMPUTED_VALUE"""),"Agile Methodologies, Scrum Framework &amp; Kanban")</f>
        <v>Agile Methodologies, Scrum Framework &amp; Kanban</v>
      </c>
    </row>
    <row r="1091">
      <c r="A1091" s="7" t="str">
        <f>IFERROR(__xludf.DUMMYFUNCTION("""COMPUTED_VALUE"""),"R29")</f>
        <v>R29</v>
      </c>
      <c r="B1091" s="7" t="str">
        <f>IFERROR(__xludf.DUMMYFUNCTION("""COMPUTED_VALUE"""),"Game Developer")</f>
        <v>Game Developer</v>
      </c>
      <c r="C1091" s="7" t="str">
        <f>IFERROR(__xludf.DUMMYFUNCTION("""COMPUTED_VALUE"""),"S247")</f>
        <v>S247</v>
      </c>
      <c r="D1091" s="7" t="str">
        <f>IFERROR(__xludf.DUMMYFUNCTION("""COMPUTED_VALUE"""),"Project Tracking &amp; Documentation Tools (Jira, Confluence, Linear)")</f>
        <v>Project Tracking &amp; Documentation Tools (Jira, Confluence, Linear)</v>
      </c>
    </row>
    <row r="1092">
      <c r="A1092" s="7" t="str">
        <f>IFERROR(__xludf.DUMMYFUNCTION("""COMPUTED_VALUE"""),"R30")</f>
        <v>R30</v>
      </c>
      <c r="B1092" s="7" t="str">
        <f>IFERROR(__xludf.DUMMYFUNCTION("""COMPUTED_VALUE"""),"Embedded Systems Engineer")</f>
        <v>Embedded Systems Engineer</v>
      </c>
      <c r="C1092" s="7" t="str">
        <f>IFERROR(__xludf.DUMMYFUNCTION("""COMPUTED_VALUE"""),"S001")</f>
        <v>S001</v>
      </c>
      <c r="D1092" s="7" t="str">
        <f>IFERROR(__xludf.DUMMYFUNCTION("""COMPUTED_VALUE"""),"Computer Architecture &amp; Organization")</f>
        <v>Computer Architecture &amp; Organization</v>
      </c>
    </row>
    <row r="1093">
      <c r="A1093" s="7" t="str">
        <f>IFERROR(__xludf.DUMMYFUNCTION("""COMPUTED_VALUE"""),"R30")</f>
        <v>R30</v>
      </c>
      <c r="B1093" s="7" t="str">
        <f>IFERROR(__xludf.DUMMYFUNCTION("""COMPUTED_VALUE"""),"Embedded Systems Engineer")</f>
        <v>Embedded Systems Engineer</v>
      </c>
      <c r="C1093" s="7" t="str">
        <f>IFERROR(__xludf.DUMMYFUNCTION("""COMPUTED_VALUE"""),"S002")</f>
        <v>S002</v>
      </c>
      <c r="D1093" s="7" t="str">
        <f>IFERROR(__xludf.DUMMYFUNCTION("""COMPUTED_VALUE"""),"Operating Systems Concepts")</f>
        <v>Operating Systems Concepts</v>
      </c>
    </row>
    <row r="1094">
      <c r="A1094" s="7" t="str">
        <f>IFERROR(__xludf.DUMMYFUNCTION("""COMPUTED_VALUE"""),"R30")</f>
        <v>R30</v>
      </c>
      <c r="B1094" s="7" t="str">
        <f>IFERROR(__xludf.DUMMYFUNCTION("""COMPUTED_VALUE"""),"Embedded Systems Engineer")</f>
        <v>Embedded Systems Engineer</v>
      </c>
      <c r="C1094" s="7" t="str">
        <f>IFERROR(__xludf.DUMMYFUNCTION("""COMPUTED_VALUE"""),"S003")</f>
        <v>S003</v>
      </c>
      <c r="D1094" s="7" t="str">
        <f>IFERROR(__xludf.DUMMYFUNCTION("""COMPUTED_VALUE"""),"Process &amp; Thread Management")</f>
        <v>Process &amp; Thread Management</v>
      </c>
    </row>
    <row r="1095">
      <c r="A1095" s="7" t="str">
        <f>IFERROR(__xludf.DUMMYFUNCTION("""COMPUTED_VALUE"""),"R30")</f>
        <v>R30</v>
      </c>
      <c r="B1095" s="7" t="str">
        <f>IFERROR(__xludf.DUMMYFUNCTION("""COMPUTED_VALUE"""),"Embedded Systems Engineer")</f>
        <v>Embedded Systems Engineer</v>
      </c>
      <c r="C1095" s="7" t="str">
        <f>IFERROR(__xludf.DUMMYFUNCTION("""COMPUTED_VALUE"""),"S004")</f>
        <v>S004</v>
      </c>
      <c r="D1095" s="7" t="str">
        <f>IFERROR(__xludf.DUMMYFUNCTION("""COMPUTED_VALUE"""),"Memory Management &amp; Paging")</f>
        <v>Memory Management &amp; Paging</v>
      </c>
    </row>
    <row r="1096">
      <c r="A1096" s="7" t="str">
        <f>IFERROR(__xludf.DUMMYFUNCTION("""COMPUTED_VALUE"""),"R30")</f>
        <v>R30</v>
      </c>
      <c r="B1096" s="7" t="str">
        <f>IFERROR(__xludf.DUMMYFUNCTION("""COMPUTED_VALUE"""),"Embedded Systems Engineer")</f>
        <v>Embedded Systems Engineer</v>
      </c>
      <c r="C1096" s="7" t="str">
        <f>IFERROR(__xludf.DUMMYFUNCTION("""COMPUTED_VALUE"""),"S005")</f>
        <v>S005</v>
      </c>
      <c r="D1096" s="7" t="str">
        <f>IFERROR(__xludf.DUMMYFUNCTION("""COMPUTED_VALUE"""),"File Systems &amp; Storage I/O")</f>
        <v>File Systems &amp; Storage I/O</v>
      </c>
    </row>
    <row r="1097">
      <c r="A1097" s="7" t="str">
        <f>IFERROR(__xludf.DUMMYFUNCTION("""COMPUTED_VALUE"""),"R30")</f>
        <v>R30</v>
      </c>
      <c r="B1097" s="7" t="str">
        <f>IFERROR(__xludf.DUMMYFUNCTION("""COMPUTED_VALUE"""),"Embedded Systems Engineer")</f>
        <v>Embedded Systems Engineer</v>
      </c>
      <c r="C1097" s="7" t="str">
        <f>IFERROR(__xludf.DUMMYFUNCTION("""COMPUTED_VALUE"""),"S006")</f>
        <v>S006</v>
      </c>
      <c r="D1097" s="7" t="str">
        <f>IFERROR(__xludf.DUMMYFUNCTION("""COMPUTED_VALUE"""),"Basic Data Structures (Arrays, Lists, Stacks, Queues)")</f>
        <v>Basic Data Structures (Arrays, Lists, Stacks, Queues)</v>
      </c>
    </row>
    <row r="1098">
      <c r="A1098" s="7" t="str">
        <f>IFERROR(__xludf.DUMMYFUNCTION("""COMPUTED_VALUE"""),"R30")</f>
        <v>R30</v>
      </c>
      <c r="B1098" s="7" t="str">
        <f>IFERROR(__xludf.DUMMYFUNCTION("""COMPUTED_VALUE"""),"Embedded Systems Engineer")</f>
        <v>Embedded Systems Engineer</v>
      </c>
      <c r="C1098" s="7" t="str">
        <f>IFERROR(__xludf.DUMMYFUNCTION("""COMPUTED_VALUE"""),"S008")</f>
        <v>S008</v>
      </c>
      <c r="D1098" s="7" t="str">
        <f>IFERROR(__xludf.DUMMYFUNCTION("""COMPUTED_VALUE"""),"Heaps, Priority Queues &amp; Hashing")</f>
        <v>Heaps, Priority Queues &amp; Hashing</v>
      </c>
    </row>
    <row r="1099">
      <c r="A1099" s="7" t="str">
        <f>IFERROR(__xludf.DUMMYFUNCTION("""COMPUTED_VALUE"""),"R30")</f>
        <v>R30</v>
      </c>
      <c r="B1099" s="7" t="str">
        <f>IFERROR(__xludf.DUMMYFUNCTION("""COMPUTED_VALUE"""),"Embedded Systems Engineer")</f>
        <v>Embedded Systems Engineer</v>
      </c>
      <c r="C1099" s="7" t="str">
        <f>IFERROR(__xludf.DUMMYFUNCTION("""COMPUTED_VALUE"""),"S010")</f>
        <v>S010</v>
      </c>
      <c r="D1099" s="7" t="str">
        <f>IFERROR(__xludf.DUMMYFUNCTION("""COMPUTED_VALUE"""),"Sorting &amp; Searching Algorithms")</f>
        <v>Sorting &amp; Searching Algorithms</v>
      </c>
    </row>
    <row r="1100">
      <c r="A1100" s="7" t="str">
        <f>IFERROR(__xludf.DUMMYFUNCTION("""COMPUTED_VALUE"""),"R30")</f>
        <v>R30</v>
      </c>
      <c r="B1100" s="7" t="str">
        <f>IFERROR(__xludf.DUMMYFUNCTION("""COMPUTED_VALUE"""),"Embedded Systems Engineer")</f>
        <v>Embedded Systems Engineer</v>
      </c>
      <c r="C1100" s="7" t="str">
        <f>IFERROR(__xludf.DUMMYFUNCTION("""COMPUTED_VALUE"""),"S012")</f>
        <v>S012</v>
      </c>
      <c r="D1100" s="7" t="str">
        <f>IFERROR(__xludf.DUMMYFUNCTION("""COMPUTED_VALUE"""),"Time &amp; Space Complexity (Big-O Analysis)")</f>
        <v>Time &amp; Space Complexity (Big-O Analysis)</v>
      </c>
    </row>
    <row r="1101">
      <c r="A1101" s="7" t="str">
        <f>IFERROR(__xludf.DUMMYFUNCTION("""COMPUTED_VALUE"""),"R30")</f>
        <v>R30</v>
      </c>
      <c r="B1101" s="7" t="str">
        <f>IFERROR(__xludf.DUMMYFUNCTION("""COMPUTED_VALUE"""),"Embedded Systems Engineer")</f>
        <v>Embedded Systems Engineer</v>
      </c>
      <c r="C1101" s="7" t="str">
        <f>IFERROR(__xludf.DUMMYFUNCTION("""COMPUTED_VALUE"""),"S013")</f>
        <v>S013</v>
      </c>
      <c r="D1101" s="7" t="str">
        <f>IFERROR(__xludf.DUMMYFUNCTION("""COMPUTED_VALUE"""),"Object-Oriented Programming (OOP)")</f>
        <v>Object-Oriented Programming (OOP)</v>
      </c>
    </row>
    <row r="1102">
      <c r="A1102" s="7" t="str">
        <f>IFERROR(__xludf.DUMMYFUNCTION("""COMPUTED_VALUE"""),"R30")</f>
        <v>R30</v>
      </c>
      <c r="B1102" s="7" t="str">
        <f>IFERROR(__xludf.DUMMYFUNCTION("""COMPUTED_VALUE"""),"Embedded Systems Engineer")</f>
        <v>Embedded Systems Engineer</v>
      </c>
      <c r="C1102" s="7" t="str">
        <f>IFERROR(__xludf.DUMMYFUNCTION("""COMPUTED_VALUE"""),"S017")</f>
        <v>S017</v>
      </c>
      <c r="D1102" s="7" t="str">
        <f>IFERROR(__xludf.DUMMYFUNCTION("""COMPUTED_VALUE"""),"Git Version Control Fundamentals")</f>
        <v>Git Version Control Fundamentals</v>
      </c>
    </row>
    <row r="1103">
      <c r="A1103" s="7" t="str">
        <f>IFERROR(__xludf.DUMMYFUNCTION("""COMPUTED_VALUE"""),"R30")</f>
        <v>R30</v>
      </c>
      <c r="B1103" s="7" t="str">
        <f>IFERROR(__xludf.DUMMYFUNCTION("""COMPUTED_VALUE"""),"Embedded Systems Engineer")</f>
        <v>Embedded Systems Engineer</v>
      </c>
      <c r="C1103" s="7" t="str">
        <f>IFERROR(__xludf.DUMMYFUNCTION("""COMPUTED_VALUE"""),"S018")</f>
        <v>S018</v>
      </c>
      <c r="D1103" s="7" t="str">
        <f>IFERROR(__xludf.DUMMYFUNCTION("""COMPUTED_VALUE"""),"GitHub / GitLab Workflows &amp; Pull Requests")</f>
        <v>GitHub / GitLab Workflows &amp; Pull Requests</v>
      </c>
    </row>
    <row r="1104">
      <c r="A1104" s="7" t="str">
        <f>IFERROR(__xludf.DUMMYFUNCTION("""COMPUTED_VALUE"""),"R30")</f>
        <v>R30</v>
      </c>
      <c r="B1104" s="7" t="str">
        <f>IFERROR(__xludf.DUMMYFUNCTION("""COMPUTED_VALUE"""),"Embedded Systems Engineer")</f>
        <v>Embedded Systems Engineer</v>
      </c>
      <c r="C1104" s="7" t="str">
        <f>IFERROR(__xludf.DUMMYFUNCTION("""COMPUTED_VALUE"""),"S019")</f>
        <v>S019</v>
      </c>
      <c r="D1104" s="7" t="str">
        <f>IFERROR(__xludf.DUMMYFUNCTION("""COMPUTED_VALUE"""),"Linux Command Line &amp; File Permissions")</f>
        <v>Linux Command Line &amp; File Permissions</v>
      </c>
    </row>
    <row r="1105">
      <c r="A1105" s="7" t="str">
        <f>IFERROR(__xludf.DUMMYFUNCTION("""COMPUTED_VALUE"""),"R30")</f>
        <v>R30</v>
      </c>
      <c r="B1105" s="7" t="str">
        <f>IFERROR(__xludf.DUMMYFUNCTION("""COMPUTED_VALUE"""),"Embedded Systems Engineer")</f>
        <v>Embedded Systems Engineer</v>
      </c>
      <c r="C1105" s="7" t="str">
        <f>IFERROR(__xludf.DUMMYFUNCTION("""COMPUTED_VALUE"""),"S020")</f>
        <v>S020</v>
      </c>
      <c r="D1105" s="7" t="str">
        <f>IFERROR(__xludf.DUMMYFUNCTION("""COMPUTED_VALUE"""),"Bash &amp; Shell Scripting")</f>
        <v>Bash &amp; Shell Scripting</v>
      </c>
    </row>
    <row r="1106">
      <c r="A1106" s="7" t="str">
        <f>IFERROR(__xludf.DUMMYFUNCTION("""COMPUTED_VALUE"""),"R30")</f>
        <v>R30</v>
      </c>
      <c r="B1106" s="7" t="str">
        <f>IFERROR(__xludf.DUMMYFUNCTION("""COMPUTED_VALUE"""),"Embedded Systems Engineer")</f>
        <v>Embedded Systems Engineer</v>
      </c>
      <c r="C1106" s="7" t="str">
        <f>IFERROR(__xludf.DUMMYFUNCTION("""COMPUTED_VALUE"""),"S022")</f>
        <v>S022</v>
      </c>
      <c r="D1106" s="7" t="str">
        <f>IFERROR(__xludf.DUMMYFUNCTION("""COMPUTED_VALUE"""),"Computer Networking &amp; OSI Model")</f>
        <v>Computer Networking &amp; OSI Model</v>
      </c>
    </row>
    <row r="1107">
      <c r="A1107" s="7" t="str">
        <f>IFERROR(__xludf.DUMMYFUNCTION("""COMPUTED_VALUE"""),"R30")</f>
        <v>R30</v>
      </c>
      <c r="B1107" s="7" t="str">
        <f>IFERROR(__xludf.DUMMYFUNCTION("""COMPUTED_VALUE"""),"Embedded Systems Engineer")</f>
        <v>Embedded Systems Engineer</v>
      </c>
      <c r="C1107" s="7" t="str">
        <f>IFERROR(__xludf.DUMMYFUNCTION("""COMPUTED_VALUE"""),"S026")</f>
        <v>S026</v>
      </c>
      <c r="D1107" s="7" t="str">
        <f>IFERROR(__xludf.DUMMYFUNCTION("""COMPUTED_VALUE"""),"Data Serialization (JSON, XML, YAML, Protobuf)")</f>
        <v>Data Serialization (JSON, XML, YAML, Protobuf)</v>
      </c>
    </row>
    <row r="1108">
      <c r="A1108" s="7" t="str">
        <f>IFERROR(__xludf.DUMMYFUNCTION("""COMPUTED_VALUE"""),"R30")</f>
        <v>R30</v>
      </c>
      <c r="B1108" s="7" t="str">
        <f>IFERROR(__xludf.DUMMYFUNCTION("""COMPUTED_VALUE"""),"Embedded Systems Engineer")</f>
        <v>Embedded Systems Engineer</v>
      </c>
      <c r="C1108" s="7" t="str">
        <f>IFERROR(__xludf.DUMMYFUNCTION("""COMPUTED_VALUE"""),"S028")</f>
        <v>S028</v>
      </c>
      <c r="D1108" s="7" t="str">
        <f>IFERROR(__xludf.DUMMYFUNCTION("""COMPUTED_VALUE"""),"Technical Writing &amp; Markdown Documentation")</f>
        <v>Technical Writing &amp; Markdown Documentation</v>
      </c>
    </row>
    <row r="1109">
      <c r="A1109" s="7" t="str">
        <f>IFERROR(__xludf.DUMMYFUNCTION("""COMPUTED_VALUE"""),"R30")</f>
        <v>R30</v>
      </c>
      <c r="B1109" s="7" t="str">
        <f>IFERROR(__xludf.DUMMYFUNCTION("""COMPUTED_VALUE"""),"Embedded Systems Engineer")</f>
        <v>Embedded Systems Engineer</v>
      </c>
      <c r="C1109" s="7" t="str">
        <f>IFERROR(__xludf.DUMMYFUNCTION("""COMPUTED_VALUE"""),"S029")</f>
        <v>S029</v>
      </c>
      <c r="D1109" s="7" t="str">
        <f>IFERROR(__xludf.DUMMYFUNCTION("""COMPUTED_VALUE"""),"Debugging, Profiling &amp; Root Cause Analysis")</f>
        <v>Debugging, Profiling &amp; Root Cause Analysis</v>
      </c>
    </row>
    <row r="1110">
      <c r="A1110" s="7" t="str">
        <f>IFERROR(__xludf.DUMMYFUNCTION("""COMPUTED_VALUE"""),"R30")</f>
        <v>R30</v>
      </c>
      <c r="B1110" s="7" t="str">
        <f>IFERROR(__xludf.DUMMYFUNCTION("""COMPUTED_VALUE"""),"Embedded Systems Engineer")</f>
        <v>Embedded Systems Engineer</v>
      </c>
      <c r="C1110" s="7" t="str">
        <f>IFERROR(__xludf.DUMMYFUNCTION("""COMPUTED_VALUE"""),"S030")</f>
        <v>S030</v>
      </c>
      <c r="D1110" s="7" t="str">
        <f>IFERROR(__xludf.DUMMYFUNCTION("""COMPUTED_VALUE"""),"Discrete Mathematics &amp; Boolean Logic")</f>
        <v>Discrete Mathematics &amp; Boolean Logic</v>
      </c>
    </row>
    <row r="1111">
      <c r="A1111" s="7" t="str">
        <f>IFERROR(__xludf.DUMMYFUNCTION("""COMPUTED_VALUE"""),"R30")</f>
        <v>R30</v>
      </c>
      <c r="B1111" s="7" t="str">
        <f>IFERROR(__xludf.DUMMYFUNCTION("""COMPUTED_VALUE"""),"Embedded Systems Engineer")</f>
        <v>Embedded Systems Engineer</v>
      </c>
      <c r="C1111" s="7" t="str">
        <f>IFERROR(__xludf.DUMMYFUNCTION("""COMPUTED_VALUE"""),"S068")</f>
        <v>S068</v>
      </c>
      <c r="D1111" s="7" t="str">
        <f>IFERROR(__xludf.DUMMYFUNCTION("""COMPUTED_VALUE"""),"Python Programming Fundamentals")</f>
        <v>Python Programming Fundamentals</v>
      </c>
    </row>
    <row r="1112">
      <c r="A1112" s="7" t="str">
        <f>IFERROR(__xludf.DUMMYFUNCTION("""COMPUTED_VALUE"""),"R30")</f>
        <v>R30</v>
      </c>
      <c r="B1112" s="7" t="str">
        <f>IFERROR(__xludf.DUMMYFUNCTION("""COMPUTED_VALUE"""),"Embedded Systems Engineer")</f>
        <v>Embedded Systems Engineer</v>
      </c>
      <c r="C1112" s="7" t="str">
        <f>IFERROR(__xludf.DUMMYFUNCTION("""COMPUTED_VALUE"""),"S078")</f>
        <v>S078</v>
      </c>
      <c r="D1112" s="7" t="str">
        <f>IFERROR(__xludf.DUMMYFUNCTION("""COMPUTED_VALUE"""),"Rust Systems &amp; Web Programming")</f>
        <v>Rust Systems &amp; Web Programming</v>
      </c>
    </row>
    <row r="1113">
      <c r="A1113" s="7" t="str">
        <f>IFERROR(__xludf.DUMMYFUNCTION("""COMPUTED_VALUE"""),"R30")</f>
        <v>R30</v>
      </c>
      <c r="B1113" s="7" t="str">
        <f>IFERROR(__xludf.DUMMYFUNCTION("""COMPUTED_VALUE"""),"Embedded Systems Engineer")</f>
        <v>Embedded Systems Engineer</v>
      </c>
      <c r="C1113" s="7" t="str">
        <f>IFERROR(__xludf.DUMMYFUNCTION("""COMPUTED_VALUE"""),"S082")</f>
        <v>S082</v>
      </c>
      <c r="D1113" s="7" t="str">
        <f>IFERROR(__xludf.DUMMYFUNCTION("""COMPUTED_VALUE"""),"C Programming &amp; Pointers")</f>
        <v>C Programming &amp; Pointers</v>
      </c>
    </row>
    <row r="1114">
      <c r="A1114" s="7" t="str">
        <f>IFERROR(__xludf.DUMMYFUNCTION("""COMPUTED_VALUE"""),"R30")</f>
        <v>R30</v>
      </c>
      <c r="B1114" s="7" t="str">
        <f>IFERROR(__xludf.DUMMYFUNCTION("""COMPUTED_VALUE"""),"Embedded Systems Engineer")</f>
        <v>Embedded Systems Engineer</v>
      </c>
      <c r="C1114" s="7" t="str">
        <f>IFERROR(__xludf.DUMMYFUNCTION("""COMPUTED_VALUE"""),"S083")</f>
        <v>S083</v>
      </c>
      <c r="D1114" s="7" t="str">
        <f>IFERROR(__xludf.DUMMYFUNCTION("""COMPUTED_VALUE"""),"C++ &amp; Standard Template Library (STL)")</f>
        <v>C++ &amp; Standard Template Library (STL)</v>
      </c>
    </row>
    <row r="1115">
      <c r="A1115" s="7" t="str">
        <f>IFERROR(__xludf.DUMMYFUNCTION("""COMPUTED_VALUE"""),"R30")</f>
        <v>R30</v>
      </c>
      <c r="B1115" s="7" t="str">
        <f>IFERROR(__xludf.DUMMYFUNCTION("""COMPUTED_VALUE"""),"Embedded Systems Engineer")</f>
        <v>Embedded Systems Engineer</v>
      </c>
      <c r="C1115" s="7" t="str">
        <f>IFERROR(__xludf.DUMMYFUNCTION("""COMPUTED_VALUE"""),"S100")</f>
        <v>S100</v>
      </c>
      <c r="D1115" s="7" t="str">
        <f>IFERROR(__xludf.DUMMYFUNCTION("""COMPUTED_VALUE"""),"Multithreading, Concurrency &amp; Parallel Processing")</f>
        <v>Multithreading, Concurrency &amp; Parallel Processing</v>
      </c>
    </row>
    <row r="1116">
      <c r="A1116" s="7" t="str">
        <f>IFERROR(__xludf.DUMMYFUNCTION("""COMPUTED_VALUE"""),"R30")</f>
        <v>R30</v>
      </c>
      <c r="B1116" s="7" t="str">
        <f>IFERROR(__xludf.DUMMYFUNCTION("""COMPUTED_VALUE"""),"Embedded Systems Engineer")</f>
        <v>Embedded Systems Engineer</v>
      </c>
      <c r="C1116" s="7" t="str">
        <f>IFERROR(__xludf.DUMMYFUNCTION("""COMPUTED_VALUE"""),"S191")</f>
        <v>S191</v>
      </c>
      <c r="D1116" s="7" t="str">
        <f>IFERROR(__xludf.DUMMYFUNCTION("""COMPUTED_VALUE"""),"Enterprise Linux System Administration (RHEL, Ubuntu, systemd)")</f>
        <v>Enterprise Linux System Administration (RHEL, Ubuntu, systemd)</v>
      </c>
    </row>
    <row r="1117">
      <c r="A1117" s="7" t="str">
        <f>IFERROR(__xludf.DUMMYFUNCTION("""COMPUTED_VALUE"""),"R30")</f>
        <v>R30</v>
      </c>
      <c r="B1117" s="7" t="str">
        <f>IFERROR(__xludf.DUMMYFUNCTION("""COMPUTED_VALUE"""),"Embedded Systems Engineer")</f>
        <v>Embedded Systems Engineer</v>
      </c>
      <c r="C1117" s="7" t="str">
        <f>IFERROR(__xludf.DUMMYFUNCTION("""COMPUTED_VALUE"""),"S194")</f>
        <v>S194</v>
      </c>
      <c r="D1117" s="7" t="str">
        <f>IFERROR(__xludf.DUMMYFUNCTION("""COMPUTED_VALUE"""),"TCP/IP Networking, Subnetting, VLANs &amp; VPNs")</f>
        <v>TCP/IP Networking, Subnetting, VLANs &amp; VPNs</v>
      </c>
    </row>
    <row r="1118">
      <c r="A1118" s="7" t="str">
        <f>IFERROR(__xludf.DUMMYFUNCTION("""COMPUTED_VALUE"""),"R30")</f>
        <v>R30</v>
      </c>
      <c r="B1118" s="7" t="str">
        <f>IFERROR(__xludf.DUMMYFUNCTION("""COMPUTED_VALUE"""),"Embedded Systems Engineer")</f>
        <v>Embedded Systems Engineer</v>
      </c>
      <c r="C1118" s="7" t="str">
        <f>IFERROR(__xludf.DUMMYFUNCTION("""COMPUTED_VALUE"""),"S209")</f>
        <v>S209</v>
      </c>
      <c r="D1118" s="7" t="str">
        <f>IFERROR(__xludf.DUMMYFUNCTION("""COMPUTED_VALUE"""),"Applied Cryptography, Hashing &amp; PKI Certificates")</f>
        <v>Applied Cryptography, Hashing &amp; PKI Certificates</v>
      </c>
    </row>
    <row r="1119">
      <c r="A1119" s="7" t="str">
        <f>IFERROR(__xludf.DUMMYFUNCTION("""COMPUTED_VALUE"""),"R30")</f>
        <v>R30</v>
      </c>
      <c r="B1119" s="7" t="str">
        <f>IFERROR(__xludf.DUMMYFUNCTION("""COMPUTED_VALUE"""),"Embedded Systems Engineer")</f>
        <v>Embedded Systems Engineer</v>
      </c>
      <c r="C1119" s="7" t="str">
        <f>IFERROR(__xludf.DUMMYFUNCTION("""COMPUTED_VALUE"""),"S220")</f>
        <v>S220</v>
      </c>
      <c r="D1119" s="7" t="str">
        <f>IFERROR(__xludf.DUMMYFUNCTION("""COMPUTED_VALUE"""),"Wireless, IoT &amp; Hardware Security Testing")</f>
        <v>Wireless, IoT &amp; Hardware Security Testing</v>
      </c>
    </row>
    <row r="1120">
      <c r="A1120" s="7" t="str">
        <f>IFERROR(__xludf.DUMMYFUNCTION("""COMPUTED_VALUE"""),"R30")</f>
        <v>R30</v>
      </c>
      <c r="B1120" s="7" t="str">
        <f>IFERROR(__xludf.DUMMYFUNCTION("""COMPUTED_VALUE"""),"Embedded Systems Engineer")</f>
        <v>Embedded Systems Engineer</v>
      </c>
      <c r="C1120" s="7" t="str">
        <f>IFERROR(__xludf.DUMMYFUNCTION("""COMPUTED_VALUE"""),"S232")</f>
        <v>S232</v>
      </c>
      <c r="D1120" s="7" t="str">
        <f>IFERROR(__xludf.DUMMYFUNCTION("""COMPUTED_VALUE"""),"Embedded Systems Programming (Embedded C/C++ &amp; Bare-Metal)")</f>
        <v>Embedded Systems Programming (Embedded C/C++ &amp; Bare-Metal)</v>
      </c>
    </row>
    <row r="1121">
      <c r="A1121" s="7" t="str">
        <f>IFERROR(__xludf.DUMMYFUNCTION("""COMPUTED_VALUE"""),"R30")</f>
        <v>R30</v>
      </c>
      <c r="B1121" s="7" t="str">
        <f>IFERROR(__xludf.DUMMYFUNCTION("""COMPUTED_VALUE"""),"Embedded Systems Engineer")</f>
        <v>Embedded Systems Engineer</v>
      </c>
      <c r="C1121" s="7" t="str">
        <f>IFERROR(__xludf.DUMMYFUNCTION("""COMPUTED_VALUE"""),"S233")</f>
        <v>S233</v>
      </c>
      <c r="D1121" s="7" t="str">
        <f>IFERROR(__xludf.DUMMYFUNCTION("""COMPUTED_VALUE"""),"Microcontrollers &amp; Single-Board Computers (ARM Cortex, STM32, ESP32, Raspberry Pi)")</f>
        <v>Microcontrollers &amp; Single-Board Computers (ARM Cortex, STM32, ESP32, Raspberry Pi)</v>
      </c>
    </row>
    <row r="1122">
      <c r="A1122" s="7" t="str">
        <f>IFERROR(__xludf.DUMMYFUNCTION("""COMPUTED_VALUE"""),"R30")</f>
        <v>R30</v>
      </c>
      <c r="B1122" s="7" t="str">
        <f>IFERROR(__xludf.DUMMYFUNCTION("""COMPUTED_VALUE"""),"Embedded Systems Engineer")</f>
        <v>Embedded Systems Engineer</v>
      </c>
      <c r="C1122" s="7" t="str">
        <f>IFERROR(__xludf.DUMMYFUNCTION("""COMPUTED_VALUE"""),"S234")</f>
        <v>S234</v>
      </c>
      <c r="D1122" s="7" t="str">
        <f>IFERROR(__xludf.DUMMYFUNCTION("""COMPUTED_VALUE"""),"Real-Time Operating Systems (FreeRTOS, Zephyr)")</f>
        <v>Real-Time Operating Systems (FreeRTOS, Zephyr)</v>
      </c>
    </row>
    <row r="1123">
      <c r="A1123" s="7" t="str">
        <f>IFERROR(__xludf.DUMMYFUNCTION("""COMPUTED_VALUE"""),"R30")</f>
        <v>R30</v>
      </c>
      <c r="B1123" s="7" t="str">
        <f>IFERROR(__xludf.DUMMYFUNCTION("""COMPUTED_VALUE"""),"Embedded Systems Engineer")</f>
        <v>Embedded Systems Engineer</v>
      </c>
      <c r="C1123" s="7" t="str">
        <f>IFERROR(__xludf.DUMMYFUNCTION("""COMPUTED_VALUE"""),"S235")</f>
        <v>S235</v>
      </c>
      <c r="D1123" s="7" t="str">
        <f>IFERROR(__xludf.DUMMYFUNCTION("""COMPUTED_VALUE"""),"Hardware Communication Protocols (I2C, SPI, UART, CAN Bus)")</f>
        <v>Hardware Communication Protocols (I2C, SPI, UART, CAN Bus)</v>
      </c>
    </row>
    <row r="1124">
      <c r="A1124" s="7" t="str">
        <f>IFERROR(__xludf.DUMMYFUNCTION("""COMPUTED_VALUE"""),"R30")</f>
        <v>R30</v>
      </c>
      <c r="B1124" s="7" t="str">
        <f>IFERROR(__xludf.DUMMYFUNCTION("""COMPUTED_VALUE"""),"Embedded Systems Engineer")</f>
        <v>Embedded Systems Engineer</v>
      </c>
      <c r="C1124" s="7" t="str">
        <f>IFERROR(__xludf.DUMMYFUNCTION("""COMPUTED_VALUE"""),"S236")</f>
        <v>S236</v>
      </c>
      <c r="D1124" s="7" t="str">
        <f>IFERROR(__xludf.DUMMYFUNCTION("""COMPUTED_VALUE"""),"IoT Messaging &amp; Edge Connectivity (MQTT, CoAP, LoRaWAN, BLE)")</f>
        <v>IoT Messaging &amp; Edge Connectivity (MQTT, CoAP, LoRaWAN, BLE)</v>
      </c>
    </row>
    <row r="1125">
      <c r="A1125" s="7" t="str">
        <f>IFERROR(__xludf.DUMMYFUNCTION("""COMPUTED_VALUE"""),"R30")</f>
        <v>R30</v>
      </c>
      <c r="B1125" s="7" t="str">
        <f>IFERROR(__xludf.DUMMYFUNCTION("""COMPUTED_VALUE"""),"Embedded Systems Engineer")</f>
        <v>Embedded Systems Engineer</v>
      </c>
      <c r="C1125" s="7" t="str">
        <f>IFERROR(__xludf.DUMMYFUNCTION("""COMPUTED_VALUE"""),"S246")</f>
        <v>S246</v>
      </c>
      <c r="D1125" s="7" t="str">
        <f>IFERROR(__xludf.DUMMYFUNCTION("""COMPUTED_VALUE"""),"Agile Methodologies, Scrum Framework &amp; Kanban")</f>
        <v>Agile Methodologies, Scrum Framework &amp; Kanban</v>
      </c>
    </row>
    <row r="1126">
      <c r="A1126" s="7" t="str">
        <f>IFERROR(__xludf.DUMMYFUNCTION("""COMPUTED_VALUE"""),"R30")</f>
        <v>R30</v>
      </c>
      <c r="B1126" s="7" t="str">
        <f>IFERROR(__xludf.DUMMYFUNCTION("""COMPUTED_VALUE"""),"Embedded Systems Engineer")</f>
        <v>Embedded Systems Engineer</v>
      </c>
      <c r="C1126" s="7" t="str">
        <f>IFERROR(__xludf.DUMMYFUNCTION("""COMPUTED_VALUE"""),"S247")</f>
        <v>S247</v>
      </c>
      <c r="D1126" s="7" t="str">
        <f>IFERROR(__xludf.DUMMYFUNCTION("""COMPUTED_VALUE"""),"Project Tracking &amp; Documentation Tools (Jira, Confluence, Linear)")</f>
        <v>Project Tracking &amp; Documentation Tools (Jira, Confluence, Linear)</v>
      </c>
    </row>
    <row r="1127">
      <c r="A1127" s="7" t="str">
        <f>IFERROR(__xludf.DUMMYFUNCTION("""COMPUTED_VALUE"""),"R31")</f>
        <v>R31</v>
      </c>
      <c r="B1127" s="7" t="str">
        <f>IFERROR(__xludf.DUMMYFUNCTION("""COMPUTED_VALUE"""),"ERP Consultant")</f>
        <v>ERP Consultant</v>
      </c>
      <c r="C1127" s="7" t="str">
        <f>IFERROR(__xludf.DUMMYFUNCTION("""COMPUTED_VALUE"""),"S013")</f>
        <v>S013</v>
      </c>
      <c r="D1127" s="7" t="str">
        <f>IFERROR(__xludf.DUMMYFUNCTION("""COMPUTED_VALUE"""),"Object-Oriented Programming (OOP)")</f>
        <v>Object-Oriented Programming (OOP)</v>
      </c>
    </row>
    <row r="1128">
      <c r="A1128" s="7" t="str">
        <f>IFERROR(__xludf.DUMMYFUNCTION("""COMPUTED_VALUE"""),"R31")</f>
        <v>R31</v>
      </c>
      <c r="B1128" s="7" t="str">
        <f>IFERROR(__xludf.DUMMYFUNCTION("""COMPUTED_VALUE"""),"ERP Consultant")</f>
        <v>ERP Consultant</v>
      </c>
      <c r="C1128" s="7" t="str">
        <f>IFERROR(__xludf.DUMMYFUNCTION("""COMPUTED_VALUE"""),"S017")</f>
        <v>S017</v>
      </c>
      <c r="D1128" s="7" t="str">
        <f>IFERROR(__xludf.DUMMYFUNCTION("""COMPUTED_VALUE"""),"Git Version Control Fundamentals")</f>
        <v>Git Version Control Fundamentals</v>
      </c>
    </row>
    <row r="1129">
      <c r="A1129" s="7" t="str">
        <f>IFERROR(__xludf.DUMMYFUNCTION("""COMPUTED_VALUE"""),"R31")</f>
        <v>R31</v>
      </c>
      <c r="B1129" s="7" t="str">
        <f>IFERROR(__xludf.DUMMYFUNCTION("""COMPUTED_VALUE"""),"ERP Consultant")</f>
        <v>ERP Consultant</v>
      </c>
      <c r="C1129" s="7" t="str">
        <f>IFERROR(__xludf.DUMMYFUNCTION("""COMPUTED_VALUE"""),"S023")</f>
        <v>S023</v>
      </c>
      <c r="D1129" s="7" t="str">
        <f>IFERROR(__xludf.DUMMYFUNCTION("""COMPUTED_VALUE"""),"HTTP/HTTPS Protocols &amp; Status Codes")</f>
        <v>HTTP/HTTPS Protocols &amp; Status Codes</v>
      </c>
    </row>
    <row r="1130">
      <c r="A1130" s="7" t="str">
        <f>IFERROR(__xludf.DUMMYFUNCTION("""COMPUTED_VALUE"""),"R31")</f>
        <v>R31</v>
      </c>
      <c r="B1130" s="7" t="str">
        <f>IFERROR(__xludf.DUMMYFUNCTION("""COMPUTED_VALUE"""),"ERP Consultant")</f>
        <v>ERP Consultant</v>
      </c>
      <c r="C1130" s="7" t="str">
        <f>IFERROR(__xludf.DUMMYFUNCTION("""COMPUTED_VALUE"""),"S026")</f>
        <v>S026</v>
      </c>
      <c r="D1130" s="7" t="str">
        <f>IFERROR(__xludf.DUMMYFUNCTION("""COMPUTED_VALUE"""),"Data Serialization (JSON, XML, YAML, Protobuf)")</f>
        <v>Data Serialization (JSON, XML, YAML, Protobuf)</v>
      </c>
    </row>
    <row r="1131">
      <c r="A1131" s="7" t="str">
        <f>IFERROR(__xludf.DUMMYFUNCTION("""COMPUTED_VALUE"""),"R31")</f>
        <v>R31</v>
      </c>
      <c r="B1131" s="7" t="str">
        <f>IFERROR(__xludf.DUMMYFUNCTION("""COMPUTED_VALUE"""),"ERP Consultant")</f>
        <v>ERP Consultant</v>
      </c>
      <c r="C1131" s="7" t="str">
        <f>IFERROR(__xludf.DUMMYFUNCTION("""COMPUTED_VALUE"""),"S028")</f>
        <v>S028</v>
      </c>
      <c r="D1131" s="7" t="str">
        <f>IFERROR(__xludf.DUMMYFUNCTION("""COMPUTED_VALUE"""),"Technical Writing &amp; Markdown Documentation")</f>
        <v>Technical Writing &amp; Markdown Documentation</v>
      </c>
    </row>
    <row r="1132">
      <c r="A1132" s="7" t="str">
        <f>IFERROR(__xludf.DUMMYFUNCTION("""COMPUTED_VALUE"""),"R31")</f>
        <v>R31</v>
      </c>
      <c r="B1132" s="7" t="str">
        <f>IFERROR(__xludf.DUMMYFUNCTION("""COMPUTED_VALUE"""),"ERP Consultant")</f>
        <v>ERP Consultant</v>
      </c>
      <c r="C1132" s="7" t="str">
        <f>IFERROR(__xludf.DUMMYFUNCTION("""COMPUTED_VALUE"""),"S066")</f>
        <v>S066</v>
      </c>
      <c r="D1132" s="7" t="str">
        <f>IFERROR(__xludf.DUMMYFUNCTION("""COMPUTED_VALUE"""),"Java Programming &amp; JVM Internals")</f>
        <v>Java Programming &amp; JVM Internals</v>
      </c>
    </row>
    <row r="1133">
      <c r="A1133" s="7" t="str">
        <f>IFERROR(__xludf.DUMMYFUNCTION("""COMPUTED_VALUE"""),"R31")</f>
        <v>R31</v>
      </c>
      <c r="B1133" s="7" t="str">
        <f>IFERROR(__xludf.DUMMYFUNCTION("""COMPUTED_VALUE"""),"ERP Consultant")</f>
        <v>ERP Consultant</v>
      </c>
      <c r="C1133" s="7" t="str">
        <f>IFERROR(__xludf.DUMMYFUNCTION("""COMPUTED_VALUE"""),"S086")</f>
        <v>S086</v>
      </c>
      <c r="D1133" s="7" t="str">
        <f>IFERROR(__xludf.DUMMYFUNCTION("""COMPUTED_VALUE"""),"RESTful API Design &amp; OpenAPI/Swagger")</f>
        <v>RESTful API Design &amp; OpenAPI/Swagger</v>
      </c>
    </row>
    <row r="1134">
      <c r="A1134" s="7" t="str">
        <f>IFERROR(__xludf.DUMMYFUNCTION("""COMPUTED_VALUE"""),"R31")</f>
        <v>R31</v>
      </c>
      <c r="B1134" s="7" t="str">
        <f>IFERROR(__xludf.DUMMYFUNCTION("""COMPUTED_VALUE"""),"ERP Consultant")</f>
        <v>ERP Consultant</v>
      </c>
      <c r="C1134" s="7" t="str">
        <f>IFERROR(__xludf.DUMMYFUNCTION("""COMPUTED_VALUE"""),"S106")</f>
        <v>S106</v>
      </c>
      <c r="D1134" s="7" t="str">
        <f>IFERROR(__xludf.DUMMYFUNCTION("""COMPUTED_VALUE"""),"Relational Database Design &amp; Normalization (1NF-3NF)")</f>
        <v>Relational Database Design &amp; Normalization (1NF-3NF)</v>
      </c>
    </row>
    <row r="1135">
      <c r="A1135" s="7" t="str">
        <f>IFERROR(__xludf.DUMMYFUNCTION("""COMPUTED_VALUE"""),"R31")</f>
        <v>R31</v>
      </c>
      <c r="B1135" s="7" t="str">
        <f>IFERROR(__xludf.DUMMYFUNCTION("""COMPUTED_VALUE"""),"ERP Consultant")</f>
        <v>ERP Consultant</v>
      </c>
      <c r="C1135" s="7" t="str">
        <f>IFERROR(__xludf.DUMMYFUNCTION("""COMPUTED_VALUE"""),"S107")</f>
        <v>S107</v>
      </c>
      <c r="D1135" s="7" t="str">
        <f>IFERROR(__xludf.DUMMYFUNCTION("""COMPUTED_VALUE"""),"SQL Querying (Joins, Aggregations, Subqueries)")</f>
        <v>SQL Querying (Joins, Aggregations, Subqueries)</v>
      </c>
    </row>
    <row r="1136">
      <c r="A1136" s="7" t="str">
        <f>IFERROR(__xludf.DUMMYFUNCTION("""COMPUTED_VALUE"""),"R31")</f>
        <v>R31</v>
      </c>
      <c r="B1136" s="7" t="str">
        <f>IFERROR(__xludf.DUMMYFUNCTION("""COMPUTED_VALUE"""),"ERP Consultant")</f>
        <v>ERP Consultant</v>
      </c>
      <c r="C1136" s="7" t="str">
        <f>IFERROR(__xludf.DUMMYFUNCTION("""COMPUTED_VALUE"""),"S108")</f>
        <v>S108</v>
      </c>
      <c r="D1136" s="7" t="str">
        <f>IFERROR(__xludf.DUMMYFUNCTION("""COMPUTED_VALUE"""),"Advanced SQL (Window Functions, CTEs, Stored Procedures)")</f>
        <v>Advanced SQL (Window Functions, CTEs, Stored Procedures)</v>
      </c>
    </row>
    <row r="1137">
      <c r="A1137" s="7" t="str">
        <f>IFERROR(__xludf.DUMMYFUNCTION("""COMPUTED_VALUE"""),"R31")</f>
        <v>R31</v>
      </c>
      <c r="B1137" s="7" t="str">
        <f>IFERROR(__xludf.DUMMYFUNCTION("""COMPUTED_VALUE"""),"ERP Consultant")</f>
        <v>ERP Consultant</v>
      </c>
      <c r="C1137" s="7" t="str">
        <f>IFERROR(__xludf.DUMMYFUNCTION("""COMPUTED_VALUE"""),"S111")</f>
        <v>S111</v>
      </c>
      <c r="D1137" s="7" t="str">
        <f>IFERROR(__xludf.DUMMYFUNCTION("""COMPUTED_VALUE"""),"Microsoft SQL Server (T-SQL)")</f>
        <v>Microsoft SQL Server (T-SQL)</v>
      </c>
    </row>
    <row r="1138">
      <c r="A1138" s="7" t="str">
        <f>IFERROR(__xludf.DUMMYFUNCTION("""COMPUTED_VALUE"""),"R31")</f>
        <v>R31</v>
      </c>
      <c r="B1138" s="7" t="str">
        <f>IFERROR(__xludf.DUMMYFUNCTION("""COMPUTED_VALUE"""),"ERP Consultant")</f>
        <v>ERP Consultant</v>
      </c>
      <c r="C1138" s="7" t="str">
        <f>IFERROR(__xludf.DUMMYFUNCTION("""COMPUTED_VALUE"""),"S112")</f>
        <v>S112</v>
      </c>
      <c r="D1138" s="7" t="str">
        <f>IFERROR(__xludf.DUMMYFUNCTION("""COMPUTED_VALUE"""),"Oracle Database &amp; PL/SQL")</f>
        <v>Oracle Database &amp; PL/SQL</v>
      </c>
    </row>
    <row r="1139">
      <c r="A1139" s="7" t="str">
        <f>IFERROR(__xludf.DUMMYFUNCTION("""COMPUTED_VALUE"""),"R31")</f>
        <v>R31</v>
      </c>
      <c r="B1139" s="7" t="str">
        <f>IFERROR(__xludf.DUMMYFUNCTION("""COMPUTED_VALUE"""),"ERP Consultant")</f>
        <v>ERP Consultant</v>
      </c>
      <c r="C1139" s="7" t="str">
        <f>IFERROR(__xludf.DUMMYFUNCTION("""COMPUTED_VALUE"""),"S115")</f>
        <v>S115</v>
      </c>
      <c r="D1139" s="7" t="str">
        <f>IFERROR(__xludf.DUMMYFUNCTION("""COMPUTED_VALUE"""),"ACID Transactions, Locking &amp; Isolation Levels")</f>
        <v>ACID Transactions, Locking &amp; Isolation Levels</v>
      </c>
    </row>
    <row r="1140">
      <c r="A1140" s="7" t="str">
        <f>IFERROR(__xludf.DUMMYFUNCTION("""COMPUTED_VALUE"""),"R31")</f>
        <v>R31</v>
      </c>
      <c r="B1140" s="7" t="str">
        <f>IFERROR(__xludf.DUMMYFUNCTION("""COMPUTED_VALUE"""),"ERP Consultant")</f>
        <v>ERP Consultant</v>
      </c>
      <c r="C1140" s="7" t="str">
        <f>IFERROR(__xludf.DUMMYFUNCTION("""COMPUTED_VALUE"""),"S126")</f>
        <v>S126</v>
      </c>
      <c r="D1140" s="7" t="str">
        <f>IFERROR(__xludf.DUMMYFUNCTION("""COMPUTED_VALUE"""),"ETL / ELT Data Pipeline Design")</f>
        <v>ETL / ELT Data Pipeline Design</v>
      </c>
    </row>
    <row r="1141">
      <c r="A1141" s="7" t="str">
        <f>IFERROR(__xludf.DUMMYFUNCTION("""COMPUTED_VALUE"""),"R31")</f>
        <v>R31</v>
      </c>
      <c r="B1141" s="7" t="str">
        <f>IFERROR(__xludf.DUMMYFUNCTION("""COMPUTED_VALUE"""),"ERP Consultant")</f>
        <v>ERP Consultant</v>
      </c>
      <c r="C1141" s="7" t="str">
        <f>IFERROR(__xludf.DUMMYFUNCTION("""COMPUTED_VALUE"""),"S131")</f>
        <v>S131</v>
      </c>
      <c r="D1141" s="7" t="str">
        <f>IFERROR(__xludf.DUMMYFUNCTION("""COMPUTED_VALUE"""),"Cloud Data Warehousing (Snowflake, Google BigQuery, AWS Redshift)")</f>
        <v>Cloud Data Warehousing (Snowflake, Google BigQuery, AWS Redshift)</v>
      </c>
    </row>
    <row r="1142">
      <c r="A1142" s="7" t="str">
        <f>IFERROR(__xludf.DUMMYFUNCTION("""COMPUTED_VALUE"""),"R31")</f>
        <v>R31</v>
      </c>
      <c r="B1142" s="7" t="str">
        <f>IFERROR(__xludf.DUMMYFUNCTION("""COMPUTED_VALUE"""),"ERP Consultant")</f>
        <v>ERP Consultant</v>
      </c>
      <c r="C1142" s="7" t="str">
        <f>IFERROR(__xludf.DUMMYFUNCTION("""COMPUTED_VALUE"""),"S134")</f>
        <v>S134</v>
      </c>
      <c r="D1142" s="7" t="str">
        <f>IFERROR(__xludf.DUMMYFUNCTION("""COMPUTED_VALUE"""),"Data Modeling (Star Schema, Snowflake Schema, Data Vault)")</f>
        <v>Data Modeling (Star Schema, Snowflake Schema, Data Vault)</v>
      </c>
    </row>
    <row r="1143">
      <c r="A1143" s="7" t="str">
        <f>IFERROR(__xludf.DUMMYFUNCTION("""COMPUTED_VALUE"""),"R31")</f>
        <v>R31</v>
      </c>
      <c r="B1143" s="7" t="str">
        <f>IFERROR(__xludf.DUMMYFUNCTION("""COMPUTED_VALUE"""),"ERP Consultant")</f>
        <v>ERP Consultant</v>
      </c>
      <c r="C1143" s="7" t="str">
        <f>IFERROR(__xludf.DUMMYFUNCTION("""COMPUTED_VALUE"""),"S135")</f>
        <v>S135</v>
      </c>
      <c r="D1143" s="7" t="str">
        <f>IFERROR(__xludf.DUMMYFUNCTION("""COMPUTED_VALUE"""),"Data Quality, Lineage &amp; Governance (Great Expectations, Collibra)")</f>
        <v>Data Quality, Lineage &amp; Governance (Great Expectations, Collibra)</v>
      </c>
    </row>
    <row r="1144">
      <c r="A1144" s="7" t="str">
        <f>IFERROR(__xludf.DUMMYFUNCTION("""COMPUTED_VALUE"""),"R31")</f>
        <v>R31</v>
      </c>
      <c r="B1144" s="7" t="str">
        <f>IFERROR(__xludf.DUMMYFUNCTION("""COMPUTED_VALUE"""),"ERP Consultant")</f>
        <v>ERP Consultant</v>
      </c>
      <c r="C1144" s="7" t="str">
        <f>IFERROR(__xludf.DUMMYFUNCTION("""COMPUTED_VALUE"""),"S144")</f>
        <v>S144</v>
      </c>
      <c r="D1144" s="7" t="str">
        <f>IFERROR(__xludf.DUMMYFUNCTION("""COMPUTED_VALUE"""),"Business Intelligence &amp; Dashboards (Tableau)")</f>
        <v>Business Intelligence &amp; Dashboards (Tableau)</v>
      </c>
    </row>
    <row r="1145">
      <c r="A1145" s="7" t="str">
        <f>IFERROR(__xludf.DUMMYFUNCTION("""COMPUTED_VALUE"""),"R31")</f>
        <v>R31</v>
      </c>
      <c r="B1145" s="7" t="str">
        <f>IFERROR(__xludf.DUMMYFUNCTION("""COMPUTED_VALUE"""),"ERP Consultant")</f>
        <v>ERP Consultant</v>
      </c>
      <c r="C1145" s="7" t="str">
        <f>IFERROR(__xludf.DUMMYFUNCTION("""COMPUTED_VALUE"""),"S145")</f>
        <v>S145</v>
      </c>
      <c r="D1145" s="7" t="str">
        <f>IFERROR(__xludf.DUMMYFUNCTION("""COMPUTED_VALUE"""),"Business Intelligence &amp; DAX Modeling (Power BI)")</f>
        <v>Business Intelligence &amp; DAX Modeling (Power BI)</v>
      </c>
    </row>
    <row r="1146">
      <c r="A1146" s="7" t="str">
        <f>IFERROR(__xludf.DUMMYFUNCTION("""COMPUTED_VALUE"""),"R31")</f>
        <v>R31</v>
      </c>
      <c r="B1146" s="7" t="str">
        <f>IFERROR(__xludf.DUMMYFUNCTION("""COMPUTED_VALUE"""),"ERP Consultant")</f>
        <v>ERP Consultant</v>
      </c>
      <c r="C1146" s="7" t="str">
        <f>IFERROR(__xludf.DUMMYFUNCTION("""COMPUTED_VALUE"""),"S146")</f>
        <v>S146</v>
      </c>
      <c r="D1146" s="7" t="str">
        <f>IFERROR(__xludf.DUMMYFUNCTION("""COMPUTED_VALUE"""),"Advanced Excel, Pivot Tables &amp; Financial Modeling")</f>
        <v>Advanced Excel, Pivot Tables &amp; Financial Modeling</v>
      </c>
    </row>
    <row r="1147">
      <c r="A1147" s="7" t="str">
        <f>IFERROR(__xludf.DUMMYFUNCTION("""COMPUTED_VALUE"""),"R31")</f>
        <v>R31</v>
      </c>
      <c r="B1147" s="7" t="str">
        <f>IFERROR(__xludf.DUMMYFUNCTION("""COMPUTED_VALUE"""),"ERP Consultant")</f>
        <v>ERP Consultant</v>
      </c>
      <c r="C1147" s="7" t="str">
        <f>IFERROR(__xludf.DUMMYFUNCTION("""COMPUTED_VALUE"""),"S210")</f>
        <v>S210</v>
      </c>
      <c r="D1147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148">
      <c r="A1148" s="7" t="str">
        <f>IFERROR(__xludf.DUMMYFUNCTION("""COMPUTED_VALUE"""),"R31")</f>
        <v>R31</v>
      </c>
      <c r="B1148" s="7" t="str">
        <f>IFERROR(__xludf.DUMMYFUNCTION("""COMPUTED_VALUE"""),"ERP Consultant")</f>
        <v>ERP Consultant</v>
      </c>
      <c r="C1148" s="7" t="str">
        <f>IFERROR(__xludf.DUMMYFUNCTION("""COMPUTED_VALUE"""),"S217")</f>
        <v>S217</v>
      </c>
      <c r="D1148" s="7" t="str">
        <f>IFERROR(__xludf.DUMMYFUNCTION("""COMPUTED_VALUE"""),"Governance, Risk &amp; Compliance (ISO 27001, SOC 2, NIST, GDPR)")</f>
        <v>Governance, Risk &amp; Compliance (ISO 27001, SOC 2, NIST, GDPR)</v>
      </c>
    </row>
    <row r="1149">
      <c r="A1149" s="7" t="str">
        <f>IFERROR(__xludf.DUMMYFUNCTION("""COMPUTED_VALUE"""),"R31")</f>
        <v>R31</v>
      </c>
      <c r="B1149" s="7" t="str">
        <f>IFERROR(__xludf.DUMMYFUNCTION("""COMPUTED_VALUE"""),"ERP Consultant")</f>
        <v>ERP Consultant</v>
      </c>
      <c r="C1149" s="7" t="str">
        <f>IFERROR(__xludf.DUMMYFUNCTION("""COMPUTED_VALUE"""),"S240")</f>
        <v>S240</v>
      </c>
      <c r="D1149" s="7" t="str">
        <f>IFERROR(__xludf.DUMMYFUNCTION("""COMPUTED_VALUE"""),"Enterprise Resource Planning Systems (SAP ERP, S/4HANA, ABAP)")</f>
        <v>Enterprise Resource Planning Systems (SAP ERP, S/4HANA, ABAP)</v>
      </c>
    </row>
    <row r="1150">
      <c r="A1150" s="7" t="str">
        <f>IFERROR(__xludf.DUMMYFUNCTION("""COMPUTED_VALUE"""),"R31")</f>
        <v>R31</v>
      </c>
      <c r="B1150" s="7" t="str">
        <f>IFERROR(__xludf.DUMMYFUNCTION("""COMPUTED_VALUE"""),"ERP Consultant")</f>
        <v>ERP Consultant</v>
      </c>
      <c r="C1150" s="7" t="str">
        <f>IFERROR(__xludf.DUMMYFUNCTION("""COMPUTED_VALUE"""),"S241")</f>
        <v>S241</v>
      </c>
      <c r="D1150" s="7" t="str">
        <f>IFERROR(__xludf.DUMMYFUNCTION("""COMPUTED_VALUE"""),"Customer Relationship Management Platforms (Salesforce CRM, Apex, LWC)")</f>
        <v>Customer Relationship Management Platforms (Salesforce CRM, Apex, LWC)</v>
      </c>
    </row>
    <row r="1151">
      <c r="A1151" s="7" t="str">
        <f>IFERROR(__xludf.DUMMYFUNCTION("""COMPUTED_VALUE"""),"R31")</f>
        <v>R31</v>
      </c>
      <c r="B1151" s="7" t="str">
        <f>IFERROR(__xludf.DUMMYFUNCTION("""COMPUTED_VALUE"""),"ERP Consultant")</f>
        <v>ERP Consultant</v>
      </c>
      <c r="C1151" s="7" t="str">
        <f>IFERROR(__xludf.DUMMYFUNCTION("""COMPUTED_VALUE"""),"S242")</f>
        <v>S242</v>
      </c>
      <c r="D1151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1152">
      <c r="A1152" s="7" t="str">
        <f>IFERROR(__xludf.DUMMYFUNCTION("""COMPUTED_VALUE"""),"R31")</f>
        <v>R31</v>
      </c>
      <c r="B1152" s="7" t="str">
        <f>IFERROR(__xludf.DUMMYFUNCTION("""COMPUTED_VALUE"""),"ERP Consultant")</f>
        <v>ERP Consultant</v>
      </c>
      <c r="C1152" s="7" t="str">
        <f>IFERROR(__xludf.DUMMYFUNCTION("""COMPUTED_VALUE"""),"S245")</f>
        <v>S245</v>
      </c>
      <c r="D1152" s="7" t="str">
        <f>IFERROR(__xludf.DUMMYFUNCTION("""COMPUTED_VALUE"""),"Enterprise Architecture Frameworks (TOGAF, Domain-Driven Design)")</f>
        <v>Enterprise Architecture Frameworks (TOGAF, Domain-Driven Design)</v>
      </c>
    </row>
    <row r="1153">
      <c r="A1153" s="7" t="str">
        <f>IFERROR(__xludf.DUMMYFUNCTION("""COMPUTED_VALUE"""),"R31")</f>
        <v>R31</v>
      </c>
      <c r="B1153" s="7" t="str">
        <f>IFERROR(__xludf.DUMMYFUNCTION("""COMPUTED_VALUE"""),"ERP Consultant")</f>
        <v>ERP Consultant</v>
      </c>
      <c r="C1153" s="7" t="str">
        <f>IFERROR(__xludf.DUMMYFUNCTION("""COMPUTED_VALUE"""),"S246")</f>
        <v>S246</v>
      </c>
      <c r="D1153" s="7" t="str">
        <f>IFERROR(__xludf.DUMMYFUNCTION("""COMPUTED_VALUE"""),"Agile Methodologies, Scrum Framework &amp; Kanban")</f>
        <v>Agile Methodologies, Scrum Framework &amp; Kanban</v>
      </c>
    </row>
    <row r="1154">
      <c r="A1154" s="7" t="str">
        <f>IFERROR(__xludf.DUMMYFUNCTION("""COMPUTED_VALUE"""),"R31")</f>
        <v>R31</v>
      </c>
      <c r="B1154" s="7" t="str">
        <f>IFERROR(__xludf.DUMMYFUNCTION("""COMPUTED_VALUE"""),"ERP Consultant")</f>
        <v>ERP Consultant</v>
      </c>
      <c r="C1154" s="7" t="str">
        <f>IFERROR(__xludf.DUMMYFUNCTION("""COMPUTED_VALUE"""),"S247")</f>
        <v>S247</v>
      </c>
      <c r="D1154" s="7" t="str">
        <f>IFERROR(__xludf.DUMMYFUNCTION("""COMPUTED_VALUE"""),"Project Tracking &amp; Documentation Tools (Jira, Confluence, Linear)")</f>
        <v>Project Tracking &amp; Documentation Tools (Jira, Confluence, Linear)</v>
      </c>
    </row>
    <row r="1155">
      <c r="A1155" s="7" t="str">
        <f>IFERROR(__xludf.DUMMYFUNCTION("""COMPUTED_VALUE"""),"R31")</f>
        <v>R31</v>
      </c>
      <c r="B1155" s="7" t="str">
        <f>IFERROR(__xludf.DUMMYFUNCTION("""COMPUTED_VALUE"""),"ERP Consultant")</f>
        <v>ERP Consultant</v>
      </c>
      <c r="C1155" s="7" t="str">
        <f>IFERROR(__xludf.DUMMYFUNCTION("""COMPUTED_VALUE"""),"S248")</f>
        <v>S248</v>
      </c>
      <c r="D1155" s="7" t="str">
        <f>IFERROR(__xludf.DUMMYFUNCTION("""COMPUTED_VALUE"""),"Product Management, Roadmapping &amp; User Story Mapping")</f>
        <v>Product Management, Roadmapping &amp; User Story Mapping</v>
      </c>
    </row>
    <row r="1156">
      <c r="A1156" s="7" t="str">
        <f>IFERROR(__xludf.DUMMYFUNCTION("""COMPUTED_VALUE"""),"R31")</f>
        <v>R31</v>
      </c>
      <c r="B1156" s="7" t="str">
        <f>IFERROR(__xludf.DUMMYFUNCTION("""COMPUTED_VALUE"""),"ERP Consultant")</f>
        <v>ERP Consultant</v>
      </c>
      <c r="C1156" s="7" t="str">
        <f>IFERROR(__xludf.DUMMYFUNCTION("""COMPUTED_VALUE"""),"S249")</f>
        <v>S249</v>
      </c>
      <c r="D1156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157">
      <c r="A1157" s="7" t="str">
        <f>IFERROR(__xludf.DUMMYFUNCTION("""COMPUTED_VALUE"""),"R32")</f>
        <v>R32</v>
      </c>
      <c r="B1157" s="7" t="str">
        <f>IFERROR(__xludf.DUMMYFUNCTION("""COMPUTED_VALUE"""),"CRM Developer")</f>
        <v>CRM Developer</v>
      </c>
      <c r="C1157" s="7" t="str">
        <f>IFERROR(__xludf.DUMMYFUNCTION("""COMPUTED_VALUE"""),"S006")</f>
        <v>S006</v>
      </c>
      <c r="D1157" s="7" t="str">
        <f>IFERROR(__xludf.DUMMYFUNCTION("""COMPUTED_VALUE"""),"Basic Data Structures (Arrays, Lists, Stacks, Queues)")</f>
        <v>Basic Data Structures (Arrays, Lists, Stacks, Queues)</v>
      </c>
    </row>
    <row r="1158">
      <c r="A1158" s="7" t="str">
        <f>IFERROR(__xludf.DUMMYFUNCTION("""COMPUTED_VALUE"""),"R32")</f>
        <v>R32</v>
      </c>
      <c r="B1158" s="7" t="str">
        <f>IFERROR(__xludf.DUMMYFUNCTION("""COMPUTED_VALUE"""),"CRM Developer")</f>
        <v>CRM Developer</v>
      </c>
      <c r="C1158" s="7" t="str">
        <f>IFERROR(__xludf.DUMMYFUNCTION("""COMPUTED_VALUE"""),"S013")</f>
        <v>S013</v>
      </c>
      <c r="D1158" s="7" t="str">
        <f>IFERROR(__xludf.DUMMYFUNCTION("""COMPUTED_VALUE"""),"Object-Oriented Programming (OOP)")</f>
        <v>Object-Oriented Programming (OOP)</v>
      </c>
    </row>
    <row r="1159">
      <c r="A1159" s="7" t="str">
        <f>IFERROR(__xludf.DUMMYFUNCTION("""COMPUTED_VALUE"""),"R32")</f>
        <v>R32</v>
      </c>
      <c r="B1159" s="7" t="str">
        <f>IFERROR(__xludf.DUMMYFUNCTION("""COMPUTED_VALUE"""),"CRM Developer")</f>
        <v>CRM Developer</v>
      </c>
      <c r="C1159" s="7" t="str">
        <f>IFERROR(__xludf.DUMMYFUNCTION("""COMPUTED_VALUE"""),"S016")</f>
        <v>S016</v>
      </c>
      <c r="D1159" s="7" t="str">
        <f>IFERROR(__xludf.DUMMYFUNCTION("""COMPUTED_VALUE"""),"SOLID Principles &amp; Clean Code")</f>
        <v>SOLID Principles &amp; Clean Code</v>
      </c>
    </row>
    <row r="1160">
      <c r="A1160" s="7" t="str">
        <f>IFERROR(__xludf.DUMMYFUNCTION("""COMPUTED_VALUE"""),"R32")</f>
        <v>R32</v>
      </c>
      <c r="B1160" s="7" t="str">
        <f>IFERROR(__xludf.DUMMYFUNCTION("""COMPUTED_VALUE"""),"CRM Developer")</f>
        <v>CRM Developer</v>
      </c>
      <c r="C1160" s="7" t="str">
        <f>IFERROR(__xludf.DUMMYFUNCTION("""COMPUTED_VALUE"""),"S017")</f>
        <v>S017</v>
      </c>
      <c r="D1160" s="7" t="str">
        <f>IFERROR(__xludf.DUMMYFUNCTION("""COMPUTED_VALUE"""),"Git Version Control Fundamentals")</f>
        <v>Git Version Control Fundamentals</v>
      </c>
    </row>
    <row r="1161">
      <c r="A1161" s="7" t="str">
        <f>IFERROR(__xludf.DUMMYFUNCTION("""COMPUTED_VALUE"""),"R32")</f>
        <v>R32</v>
      </c>
      <c r="B1161" s="7" t="str">
        <f>IFERROR(__xludf.DUMMYFUNCTION("""COMPUTED_VALUE"""),"CRM Developer")</f>
        <v>CRM Developer</v>
      </c>
      <c r="C1161" s="7" t="str">
        <f>IFERROR(__xludf.DUMMYFUNCTION("""COMPUTED_VALUE"""),"S018")</f>
        <v>S018</v>
      </c>
      <c r="D1161" s="7" t="str">
        <f>IFERROR(__xludf.DUMMYFUNCTION("""COMPUTED_VALUE"""),"GitHub / GitLab Workflows &amp; Pull Requests")</f>
        <v>GitHub / GitLab Workflows &amp; Pull Requests</v>
      </c>
    </row>
    <row r="1162">
      <c r="A1162" s="7" t="str">
        <f>IFERROR(__xludf.DUMMYFUNCTION("""COMPUTED_VALUE"""),"R32")</f>
        <v>R32</v>
      </c>
      <c r="B1162" s="7" t="str">
        <f>IFERROR(__xludf.DUMMYFUNCTION("""COMPUTED_VALUE"""),"CRM Developer")</f>
        <v>CRM Developer</v>
      </c>
      <c r="C1162" s="7" t="str">
        <f>IFERROR(__xludf.DUMMYFUNCTION("""COMPUTED_VALUE"""),"S023")</f>
        <v>S023</v>
      </c>
      <c r="D1162" s="7" t="str">
        <f>IFERROR(__xludf.DUMMYFUNCTION("""COMPUTED_VALUE"""),"HTTP/HTTPS Protocols &amp; Status Codes")</f>
        <v>HTTP/HTTPS Protocols &amp; Status Codes</v>
      </c>
    </row>
    <row r="1163">
      <c r="A1163" s="7" t="str">
        <f>IFERROR(__xludf.DUMMYFUNCTION("""COMPUTED_VALUE"""),"R32")</f>
        <v>R32</v>
      </c>
      <c r="B1163" s="7" t="str">
        <f>IFERROR(__xludf.DUMMYFUNCTION("""COMPUTED_VALUE"""),"CRM Developer")</f>
        <v>CRM Developer</v>
      </c>
      <c r="C1163" s="7" t="str">
        <f>IFERROR(__xludf.DUMMYFUNCTION("""COMPUTED_VALUE"""),"S026")</f>
        <v>S026</v>
      </c>
      <c r="D1163" s="7" t="str">
        <f>IFERROR(__xludf.DUMMYFUNCTION("""COMPUTED_VALUE"""),"Data Serialization (JSON, XML, YAML, Protobuf)")</f>
        <v>Data Serialization (JSON, XML, YAML, Protobuf)</v>
      </c>
    </row>
    <row r="1164">
      <c r="A1164" s="7" t="str">
        <f>IFERROR(__xludf.DUMMYFUNCTION("""COMPUTED_VALUE"""),"R32")</f>
        <v>R32</v>
      </c>
      <c r="B1164" s="7" t="str">
        <f>IFERROR(__xludf.DUMMYFUNCTION("""COMPUTED_VALUE"""),"CRM Developer")</f>
        <v>CRM Developer</v>
      </c>
      <c r="C1164" s="7" t="str">
        <f>IFERROR(__xludf.DUMMYFUNCTION("""COMPUTED_VALUE"""),"S028")</f>
        <v>S028</v>
      </c>
      <c r="D1164" s="7" t="str">
        <f>IFERROR(__xludf.DUMMYFUNCTION("""COMPUTED_VALUE"""),"Technical Writing &amp; Markdown Documentation")</f>
        <v>Technical Writing &amp; Markdown Documentation</v>
      </c>
    </row>
    <row r="1165">
      <c r="A1165" s="7" t="str">
        <f>IFERROR(__xludf.DUMMYFUNCTION("""COMPUTED_VALUE"""),"R32")</f>
        <v>R32</v>
      </c>
      <c r="B1165" s="7" t="str">
        <f>IFERROR(__xludf.DUMMYFUNCTION("""COMPUTED_VALUE"""),"CRM Developer")</f>
        <v>CRM Developer</v>
      </c>
      <c r="C1165" s="7" t="str">
        <f>IFERROR(__xludf.DUMMYFUNCTION("""COMPUTED_VALUE"""),"S029")</f>
        <v>S029</v>
      </c>
      <c r="D1165" s="7" t="str">
        <f>IFERROR(__xludf.DUMMYFUNCTION("""COMPUTED_VALUE"""),"Debugging, Profiling &amp; Root Cause Analysis")</f>
        <v>Debugging, Profiling &amp; Root Cause Analysis</v>
      </c>
    </row>
    <row r="1166">
      <c r="A1166" s="7" t="str">
        <f>IFERROR(__xludf.DUMMYFUNCTION("""COMPUTED_VALUE"""),"R32")</f>
        <v>R32</v>
      </c>
      <c r="B1166" s="7" t="str">
        <f>IFERROR(__xludf.DUMMYFUNCTION("""COMPUTED_VALUE"""),"CRM Developer")</f>
        <v>CRM Developer</v>
      </c>
      <c r="C1166" s="7" t="str">
        <f>IFERROR(__xludf.DUMMYFUNCTION("""COMPUTED_VALUE"""),"S031")</f>
        <v>S031</v>
      </c>
      <c r="D1166" s="7" t="str">
        <f>IFERROR(__xludf.DUMMYFUNCTION("""COMPUTED_VALUE"""),"Semantic HTML5")</f>
        <v>Semantic HTML5</v>
      </c>
    </row>
    <row r="1167">
      <c r="A1167" s="7" t="str">
        <f>IFERROR(__xludf.DUMMYFUNCTION("""COMPUTED_VALUE"""),"R32")</f>
        <v>R32</v>
      </c>
      <c r="B1167" s="7" t="str">
        <f>IFERROR(__xludf.DUMMYFUNCTION("""COMPUTED_VALUE"""),"CRM Developer")</f>
        <v>CRM Developer</v>
      </c>
      <c r="C1167" s="7" t="str">
        <f>IFERROR(__xludf.DUMMYFUNCTION("""COMPUTED_VALUE"""),"S032")</f>
        <v>S032</v>
      </c>
      <c r="D1167" s="7" t="str">
        <f>IFERROR(__xludf.DUMMYFUNCTION("""COMPUTED_VALUE"""),"CSS3 Fundamentals &amp; Box Model")</f>
        <v>CSS3 Fundamentals &amp; Box Model</v>
      </c>
    </row>
    <row r="1168">
      <c r="A1168" s="7" t="str">
        <f>IFERROR(__xludf.DUMMYFUNCTION("""COMPUTED_VALUE"""),"R32")</f>
        <v>R32</v>
      </c>
      <c r="B1168" s="7" t="str">
        <f>IFERROR(__xludf.DUMMYFUNCTION("""COMPUTED_VALUE"""),"CRM Developer")</f>
        <v>CRM Developer</v>
      </c>
      <c r="C1168" s="7" t="str">
        <f>IFERROR(__xludf.DUMMYFUNCTION("""COMPUTED_VALUE"""),"S033")</f>
        <v>S033</v>
      </c>
      <c r="D1168" s="7" t="str">
        <f>IFERROR(__xludf.DUMMYFUNCTION("""COMPUTED_VALUE"""),"Responsive Web Design (Flexbox &amp; CSS Grid)")</f>
        <v>Responsive Web Design (Flexbox &amp; CSS Grid)</v>
      </c>
    </row>
    <row r="1169">
      <c r="A1169" s="7" t="str">
        <f>IFERROR(__xludf.DUMMYFUNCTION("""COMPUTED_VALUE"""),"R32")</f>
        <v>R32</v>
      </c>
      <c r="B1169" s="7" t="str">
        <f>IFERROR(__xludf.DUMMYFUNCTION("""COMPUTED_VALUE"""),"CRM Developer")</f>
        <v>CRM Developer</v>
      </c>
      <c r="C1169" s="7" t="str">
        <f>IFERROR(__xludf.DUMMYFUNCTION("""COMPUTED_VALUE"""),"S034")</f>
        <v>S034</v>
      </c>
      <c r="D1169" s="7" t="str">
        <f>IFERROR(__xludf.DUMMYFUNCTION("""COMPUTED_VALUE"""),"JavaScript Fundamentals (ES6+)")</f>
        <v>JavaScript Fundamentals (ES6+)</v>
      </c>
    </row>
    <row r="1170">
      <c r="A1170" s="7" t="str">
        <f>IFERROR(__xludf.DUMMYFUNCTION("""COMPUTED_VALUE"""),"R32")</f>
        <v>R32</v>
      </c>
      <c r="B1170" s="7" t="str">
        <f>IFERROR(__xludf.DUMMYFUNCTION("""COMPUTED_VALUE"""),"CRM Developer")</f>
        <v>CRM Developer</v>
      </c>
      <c r="C1170" s="7" t="str">
        <f>IFERROR(__xludf.DUMMYFUNCTION("""COMPUTED_VALUE"""),"S035")</f>
        <v>S035</v>
      </c>
      <c r="D1170" s="7" t="str">
        <f>IFERROR(__xludf.DUMMYFUNCTION("""COMPUTED_VALUE"""),"Asynchronous JavaScript (Promises, Async/Await)")</f>
        <v>Asynchronous JavaScript (Promises, Async/Await)</v>
      </c>
    </row>
    <row r="1171">
      <c r="A1171" s="7" t="str">
        <f>IFERROR(__xludf.DUMMYFUNCTION("""COMPUTED_VALUE"""),"R32")</f>
        <v>R32</v>
      </c>
      <c r="B1171" s="7" t="str">
        <f>IFERROR(__xludf.DUMMYFUNCTION("""COMPUTED_VALUE"""),"CRM Developer")</f>
        <v>CRM Developer</v>
      </c>
      <c r="C1171" s="7" t="str">
        <f>IFERROR(__xludf.DUMMYFUNCTION("""COMPUTED_VALUE"""),"S036")</f>
        <v>S036</v>
      </c>
      <c r="D1171" s="7" t="str">
        <f>IFERROR(__xludf.DUMMYFUNCTION("""COMPUTED_VALUE"""),"DOM Manipulation &amp; Browser Events")</f>
        <v>DOM Manipulation &amp; Browser Events</v>
      </c>
    </row>
    <row r="1172">
      <c r="A1172" s="7" t="str">
        <f>IFERROR(__xludf.DUMMYFUNCTION("""COMPUTED_VALUE"""),"R32")</f>
        <v>R32</v>
      </c>
      <c r="B1172" s="7" t="str">
        <f>IFERROR(__xludf.DUMMYFUNCTION("""COMPUTED_VALUE"""),"CRM Developer")</f>
        <v>CRM Developer</v>
      </c>
      <c r="C1172" s="7" t="str">
        <f>IFERROR(__xludf.DUMMYFUNCTION("""COMPUTED_VALUE"""),"S038")</f>
        <v>S038</v>
      </c>
      <c r="D1172" s="7" t="str">
        <f>IFERROR(__xludf.DUMMYFUNCTION("""COMPUTED_VALUE"""),"TypeScript &amp; Static Typing")</f>
        <v>TypeScript &amp; Static Typing</v>
      </c>
    </row>
    <row r="1173">
      <c r="A1173" s="7" t="str">
        <f>IFERROR(__xludf.DUMMYFUNCTION("""COMPUTED_VALUE"""),"R32")</f>
        <v>R32</v>
      </c>
      <c r="B1173" s="7" t="str">
        <f>IFERROR(__xludf.DUMMYFUNCTION("""COMPUTED_VALUE"""),"CRM Developer")</f>
        <v>CRM Developer</v>
      </c>
      <c r="C1173" s="7" t="str">
        <f>IFERROR(__xludf.DUMMYFUNCTION("""COMPUTED_VALUE"""),"S039")</f>
        <v>S039</v>
      </c>
      <c r="D1173" s="7" t="str">
        <f>IFERROR(__xludf.DUMMYFUNCTION("""COMPUTED_VALUE"""),"React.js &amp; Hooks Architecture")</f>
        <v>React.js &amp; Hooks Architecture</v>
      </c>
    </row>
    <row r="1174">
      <c r="A1174" s="7" t="str">
        <f>IFERROR(__xludf.DUMMYFUNCTION("""COMPUTED_VALUE"""),"R32")</f>
        <v>R32</v>
      </c>
      <c r="B1174" s="7" t="str">
        <f>IFERROR(__xludf.DUMMYFUNCTION("""COMPUTED_VALUE"""),"CRM Developer")</f>
        <v>CRM Developer</v>
      </c>
      <c r="C1174" s="7" t="str">
        <f>IFERROR(__xludf.DUMMYFUNCTION("""COMPUTED_VALUE"""),"S066")</f>
        <v>S066</v>
      </c>
      <c r="D1174" s="7" t="str">
        <f>IFERROR(__xludf.DUMMYFUNCTION("""COMPUTED_VALUE"""),"Java Programming &amp; JVM Internals")</f>
        <v>Java Programming &amp; JVM Internals</v>
      </c>
    </row>
    <row r="1175">
      <c r="A1175" s="7" t="str">
        <f>IFERROR(__xludf.DUMMYFUNCTION("""COMPUTED_VALUE"""),"R32")</f>
        <v>R32</v>
      </c>
      <c r="B1175" s="7" t="str">
        <f>IFERROR(__xludf.DUMMYFUNCTION("""COMPUTED_VALUE"""),"CRM Developer")</f>
        <v>CRM Developer</v>
      </c>
      <c r="C1175" s="7" t="str">
        <f>IFERROR(__xludf.DUMMYFUNCTION("""COMPUTED_VALUE"""),"S075")</f>
        <v>S075</v>
      </c>
      <c r="D1175" s="7" t="str">
        <f>IFERROR(__xludf.DUMMYFUNCTION("""COMPUTED_VALUE"""),"C# &amp; .NET Runtime")</f>
        <v>C# &amp; .NET Runtime</v>
      </c>
    </row>
    <row r="1176">
      <c r="A1176" s="7" t="str">
        <f>IFERROR(__xludf.DUMMYFUNCTION("""COMPUTED_VALUE"""),"R32")</f>
        <v>R32</v>
      </c>
      <c r="B1176" s="7" t="str">
        <f>IFERROR(__xludf.DUMMYFUNCTION("""COMPUTED_VALUE"""),"CRM Developer")</f>
        <v>CRM Developer</v>
      </c>
      <c r="C1176" s="7" t="str">
        <f>IFERROR(__xludf.DUMMYFUNCTION("""COMPUTED_VALUE"""),"S086")</f>
        <v>S086</v>
      </c>
      <c r="D1176" s="7" t="str">
        <f>IFERROR(__xludf.DUMMYFUNCTION("""COMPUTED_VALUE"""),"RESTful API Design &amp; OpenAPI/Swagger")</f>
        <v>RESTful API Design &amp; OpenAPI/Swagger</v>
      </c>
    </row>
    <row r="1177">
      <c r="A1177" s="7" t="str">
        <f>IFERROR(__xludf.DUMMYFUNCTION("""COMPUTED_VALUE"""),"R32")</f>
        <v>R32</v>
      </c>
      <c r="B1177" s="7" t="str">
        <f>IFERROR(__xludf.DUMMYFUNCTION("""COMPUTED_VALUE"""),"CRM Developer")</f>
        <v>CRM Developer</v>
      </c>
      <c r="C1177" s="7" t="str">
        <f>IFERROR(__xludf.DUMMYFUNCTION("""COMPUTED_VALUE"""),"S090")</f>
        <v>S090</v>
      </c>
      <c r="D1177" s="7" t="str">
        <f>IFERROR(__xludf.DUMMYFUNCTION("""COMPUTED_VALUE"""),"Webhook Architecture &amp; Event Callbacks")</f>
        <v>Webhook Architecture &amp; Event Callbacks</v>
      </c>
    </row>
    <row r="1178">
      <c r="A1178" s="7" t="str">
        <f>IFERROR(__xludf.DUMMYFUNCTION("""COMPUTED_VALUE"""),"R32")</f>
        <v>R32</v>
      </c>
      <c r="B1178" s="7" t="str">
        <f>IFERROR(__xludf.DUMMYFUNCTION("""COMPUTED_VALUE"""),"CRM Developer")</f>
        <v>CRM Developer</v>
      </c>
      <c r="C1178" s="7" t="str">
        <f>IFERROR(__xludf.DUMMYFUNCTION("""COMPUTED_VALUE"""),"S091")</f>
        <v>S091</v>
      </c>
      <c r="D1178" s="7" t="str">
        <f>IFERROR(__xludf.DUMMYFUNCTION("""COMPUTED_VALUE"""),"Authentication &amp; Session Management (JWT, Cookies)")</f>
        <v>Authentication &amp; Session Management (JWT, Cookies)</v>
      </c>
    </row>
    <row r="1179">
      <c r="A1179" s="7" t="str">
        <f>IFERROR(__xludf.DUMMYFUNCTION("""COMPUTED_VALUE"""),"R32")</f>
        <v>R32</v>
      </c>
      <c r="B1179" s="7" t="str">
        <f>IFERROR(__xludf.DUMMYFUNCTION("""COMPUTED_VALUE"""),"CRM Developer")</f>
        <v>CRM Developer</v>
      </c>
      <c r="C1179" s="7" t="str">
        <f>IFERROR(__xludf.DUMMYFUNCTION("""COMPUTED_VALUE"""),"S092")</f>
        <v>S092</v>
      </c>
      <c r="D1179" s="7" t="str">
        <f>IFERROR(__xludf.DUMMYFUNCTION("""COMPUTED_VALUE"""),"OAuth 2.0, OpenID Connect (OIDC) &amp; SSO")</f>
        <v>OAuth 2.0, OpenID Connect (OIDC) &amp; SSO</v>
      </c>
    </row>
    <row r="1180">
      <c r="A1180" s="7" t="str">
        <f>IFERROR(__xludf.DUMMYFUNCTION("""COMPUTED_VALUE"""),"R32")</f>
        <v>R32</v>
      </c>
      <c r="B1180" s="7" t="str">
        <f>IFERROR(__xludf.DUMMYFUNCTION("""COMPUTED_VALUE"""),"CRM Developer")</f>
        <v>CRM Developer</v>
      </c>
      <c r="C1180" s="7" t="str">
        <f>IFERROR(__xludf.DUMMYFUNCTION("""COMPUTED_VALUE"""),"S093")</f>
        <v>S093</v>
      </c>
      <c r="D1180" s="7" t="str">
        <f>IFERROR(__xludf.DUMMYFUNCTION("""COMPUTED_VALUE"""),"Role-Based &amp; Attribute-Based Access Control (RBAC/ABAC)")</f>
        <v>Role-Based &amp; Attribute-Based Access Control (RBAC/ABAC)</v>
      </c>
    </row>
    <row r="1181">
      <c r="A1181" s="7" t="str">
        <f>IFERROR(__xludf.DUMMYFUNCTION("""COMPUTED_VALUE"""),"R32")</f>
        <v>R32</v>
      </c>
      <c r="B1181" s="7" t="str">
        <f>IFERROR(__xludf.DUMMYFUNCTION("""COMPUTED_VALUE"""),"CRM Developer")</f>
        <v>CRM Developer</v>
      </c>
      <c r="C1181" s="7" t="str">
        <f>IFERROR(__xludf.DUMMYFUNCTION("""COMPUTED_VALUE"""),"S102")</f>
        <v>S102</v>
      </c>
      <c r="D1181" s="7" t="str">
        <f>IFERROR(__xludf.DUMMYFUNCTION("""COMPUTED_VALUE"""),"Backend Unit &amp; Integration Testing (JUnit, PyTest, Mocha)")</f>
        <v>Backend Unit &amp; Integration Testing (JUnit, PyTest, Mocha)</v>
      </c>
    </row>
    <row r="1182">
      <c r="A1182" s="7" t="str">
        <f>IFERROR(__xludf.DUMMYFUNCTION("""COMPUTED_VALUE"""),"R32")</f>
        <v>R32</v>
      </c>
      <c r="B1182" s="7" t="str">
        <f>IFERROR(__xludf.DUMMYFUNCTION("""COMPUTED_VALUE"""),"CRM Developer")</f>
        <v>CRM Developer</v>
      </c>
      <c r="C1182" s="7" t="str">
        <f>IFERROR(__xludf.DUMMYFUNCTION("""COMPUTED_VALUE"""),"S103")</f>
        <v>S103</v>
      </c>
      <c r="D1182" s="7" t="str">
        <f>IFERROR(__xludf.DUMMYFUNCTION("""COMPUTED_VALUE"""),"API Testing &amp; Contract Testing (Postman, Pact, Insomnia)")</f>
        <v>API Testing &amp; Contract Testing (Postman, Pact, Insomnia)</v>
      </c>
    </row>
    <row r="1183">
      <c r="A1183" s="7" t="str">
        <f>IFERROR(__xludf.DUMMYFUNCTION("""COMPUTED_VALUE"""),"R32")</f>
        <v>R32</v>
      </c>
      <c r="B1183" s="7" t="str">
        <f>IFERROR(__xludf.DUMMYFUNCTION("""COMPUTED_VALUE"""),"CRM Developer")</f>
        <v>CRM Developer</v>
      </c>
      <c r="C1183" s="7" t="str">
        <f>IFERROR(__xludf.DUMMYFUNCTION("""COMPUTED_VALUE"""),"S106")</f>
        <v>S106</v>
      </c>
      <c r="D1183" s="7" t="str">
        <f>IFERROR(__xludf.DUMMYFUNCTION("""COMPUTED_VALUE"""),"Relational Database Design &amp; Normalization (1NF-3NF)")</f>
        <v>Relational Database Design &amp; Normalization (1NF-3NF)</v>
      </c>
    </row>
    <row r="1184">
      <c r="A1184" s="7" t="str">
        <f>IFERROR(__xludf.DUMMYFUNCTION("""COMPUTED_VALUE"""),"R32")</f>
        <v>R32</v>
      </c>
      <c r="B1184" s="7" t="str">
        <f>IFERROR(__xludf.DUMMYFUNCTION("""COMPUTED_VALUE"""),"CRM Developer")</f>
        <v>CRM Developer</v>
      </c>
      <c r="C1184" s="7" t="str">
        <f>IFERROR(__xludf.DUMMYFUNCTION("""COMPUTED_VALUE"""),"S107")</f>
        <v>S107</v>
      </c>
      <c r="D1184" s="7" t="str">
        <f>IFERROR(__xludf.DUMMYFUNCTION("""COMPUTED_VALUE"""),"SQL Querying (Joins, Aggregations, Subqueries)")</f>
        <v>SQL Querying (Joins, Aggregations, Subqueries)</v>
      </c>
    </row>
    <row r="1185">
      <c r="A1185" s="7" t="str">
        <f>IFERROR(__xludf.DUMMYFUNCTION("""COMPUTED_VALUE"""),"R32")</f>
        <v>R32</v>
      </c>
      <c r="B1185" s="7" t="str">
        <f>IFERROR(__xludf.DUMMYFUNCTION("""COMPUTED_VALUE"""),"CRM Developer")</f>
        <v>CRM Developer</v>
      </c>
      <c r="C1185" s="7" t="str">
        <f>IFERROR(__xludf.DUMMYFUNCTION("""COMPUTED_VALUE"""),"S108")</f>
        <v>S108</v>
      </c>
      <c r="D1185" s="7" t="str">
        <f>IFERROR(__xludf.DUMMYFUNCTION("""COMPUTED_VALUE"""),"Advanced SQL (Window Functions, CTEs, Stored Procedures)")</f>
        <v>Advanced SQL (Window Functions, CTEs, Stored Procedures)</v>
      </c>
    </row>
    <row r="1186">
      <c r="A1186" s="7" t="str">
        <f>IFERROR(__xludf.DUMMYFUNCTION("""COMPUTED_VALUE"""),"R32")</f>
        <v>R32</v>
      </c>
      <c r="B1186" s="7" t="str">
        <f>IFERROR(__xludf.DUMMYFUNCTION("""COMPUTED_VALUE"""),"CRM Developer")</f>
        <v>CRM Developer</v>
      </c>
      <c r="C1186" s="7" t="str">
        <f>IFERROR(__xludf.DUMMYFUNCTION("""COMPUTED_VALUE"""),"S126")</f>
        <v>S126</v>
      </c>
      <c r="D1186" s="7" t="str">
        <f>IFERROR(__xludf.DUMMYFUNCTION("""COMPUTED_VALUE"""),"ETL / ELT Data Pipeline Design")</f>
        <v>ETL / ELT Data Pipeline Design</v>
      </c>
    </row>
    <row r="1187">
      <c r="A1187" s="7" t="str">
        <f>IFERROR(__xludf.DUMMYFUNCTION("""COMPUTED_VALUE"""),"R32")</f>
        <v>R32</v>
      </c>
      <c r="B1187" s="7" t="str">
        <f>IFERROR(__xludf.DUMMYFUNCTION("""COMPUTED_VALUE"""),"CRM Developer")</f>
        <v>CRM Developer</v>
      </c>
      <c r="C1187" s="7" t="str">
        <f>IFERROR(__xludf.DUMMYFUNCTION("""COMPUTED_VALUE"""),"S180")</f>
        <v>S180</v>
      </c>
      <c r="D1187" s="7" t="str">
        <f>IFERROR(__xludf.DUMMYFUNCTION("""COMPUTED_VALUE"""),"CI/CD Pipelines with GitHub Actions")</f>
        <v>CI/CD Pipelines with GitHub Actions</v>
      </c>
    </row>
    <row r="1188">
      <c r="A1188" s="7" t="str">
        <f>IFERROR(__xludf.DUMMYFUNCTION("""COMPUTED_VALUE"""),"R32")</f>
        <v>R32</v>
      </c>
      <c r="B1188" s="7" t="str">
        <f>IFERROR(__xludf.DUMMYFUNCTION("""COMPUTED_VALUE"""),"CRM Developer")</f>
        <v>CRM Developer</v>
      </c>
      <c r="C1188" s="7" t="str">
        <f>IFERROR(__xludf.DUMMYFUNCTION("""COMPUTED_VALUE"""),"S210")</f>
        <v>S210</v>
      </c>
      <c r="D1188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189">
      <c r="A1189" s="7" t="str">
        <f>IFERROR(__xludf.DUMMYFUNCTION("""COMPUTED_VALUE"""),"R32")</f>
        <v>R32</v>
      </c>
      <c r="B1189" s="7" t="str">
        <f>IFERROR(__xludf.DUMMYFUNCTION("""COMPUTED_VALUE"""),"CRM Developer")</f>
        <v>CRM Developer</v>
      </c>
      <c r="C1189" s="7" t="str">
        <f>IFERROR(__xludf.DUMMYFUNCTION("""COMPUTED_VALUE"""),"S240")</f>
        <v>S240</v>
      </c>
      <c r="D1189" s="7" t="str">
        <f>IFERROR(__xludf.DUMMYFUNCTION("""COMPUTED_VALUE"""),"Enterprise Resource Planning Systems (SAP ERP, S/4HANA, ABAP)")</f>
        <v>Enterprise Resource Planning Systems (SAP ERP, S/4HANA, ABAP)</v>
      </c>
    </row>
    <row r="1190">
      <c r="A1190" s="7" t="str">
        <f>IFERROR(__xludf.DUMMYFUNCTION("""COMPUTED_VALUE"""),"R32")</f>
        <v>R32</v>
      </c>
      <c r="B1190" s="7" t="str">
        <f>IFERROR(__xludf.DUMMYFUNCTION("""COMPUTED_VALUE"""),"CRM Developer")</f>
        <v>CRM Developer</v>
      </c>
      <c r="C1190" s="7" t="str">
        <f>IFERROR(__xludf.DUMMYFUNCTION("""COMPUTED_VALUE"""),"S241")</f>
        <v>S241</v>
      </c>
      <c r="D1190" s="7" t="str">
        <f>IFERROR(__xludf.DUMMYFUNCTION("""COMPUTED_VALUE"""),"Customer Relationship Management Platforms (Salesforce CRM, Apex, LWC)")</f>
        <v>Customer Relationship Management Platforms (Salesforce CRM, Apex, LWC)</v>
      </c>
    </row>
    <row r="1191">
      <c r="A1191" s="7" t="str">
        <f>IFERROR(__xludf.DUMMYFUNCTION("""COMPUTED_VALUE"""),"R32")</f>
        <v>R32</v>
      </c>
      <c r="B1191" s="7" t="str">
        <f>IFERROR(__xludf.DUMMYFUNCTION("""COMPUTED_VALUE"""),"CRM Developer")</f>
        <v>CRM Developer</v>
      </c>
      <c r="C1191" s="7" t="str">
        <f>IFERROR(__xludf.DUMMYFUNCTION("""COMPUTED_VALUE"""),"S246")</f>
        <v>S246</v>
      </c>
      <c r="D1191" s="7" t="str">
        <f>IFERROR(__xludf.DUMMYFUNCTION("""COMPUTED_VALUE"""),"Agile Methodologies, Scrum Framework &amp; Kanban")</f>
        <v>Agile Methodologies, Scrum Framework &amp; Kanban</v>
      </c>
    </row>
    <row r="1192">
      <c r="A1192" s="7" t="str">
        <f>IFERROR(__xludf.DUMMYFUNCTION("""COMPUTED_VALUE"""),"R32")</f>
        <v>R32</v>
      </c>
      <c r="B1192" s="7" t="str">
        <f>IFERROR(__xludf.DUMMYFUNCTION("""COMPUTED_VALUE"""),"CRM Developer")</f>
        <v>CRM Developer</v>
      </c>
      <c r="C1192" s="7" t="str">
        <f>IFERROR(__xludf.DUMMYFUNCTION("""COMPUTED_VALUE"""),"S247")</f>
        <v>S247</v>
      </c>
      <c r="D1192" s="7" t="str">
        <f>IFERROR(__xludf.DUMMYFUNCTION("""COMPUTED_VALUE"""),"Project Tracking &amp; Documentation Tools (Jira, Confluence, Linear)")</f>
        <v>Project Tracking &amp; Documentation Tools (Jira, Confluence, Linear)</v>
      </c>
    </row>
    <row r="1193">
      <c r="A1193" s="7" t="str">
        <f>IFERROR(__xludf.DUMMYFUNCTION("""COMPUTED_VALUE"""),"R32")</f>
        <v>R32</v>
      </c>
      <c r="B1193" s="7" t="str">
        <f>IFERROR(__xludf.DUMMYFUNCTION("""COMPUTED_VALUE"""),"CRM Developer")</f>
        <v>CRM Developer</v>
      </c>
      <c r="C1193" s="7" t="str">
        <f>IFERROR(__xludf.DUMMYFUNCTION("""COMPUTED_VALUE"""),"S249")</f>
        <v>S249</v>
      </c>
      <c r="D1193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194">
      <c r="A1194" s="7" t="str">
        <f>IFERROR(__xludf.DUMMYFUNCTION("""COMPUTED_VALUE"""),"R33")</f>
        <v>R33</v>
      </c>
      <c r="B1194" s="7" t="str">
        <f>IFERROR(__xludf.DUMMYFUNCTION("""COMPUTED_VALUE"""),"Tech Lead")</f>
        <v>Tech Lead</v>
      </c>
      <c r="C1194" s="7" t="str">
        <f>IFERROR(__xludf.DUMMYFUNCTION("""COMPUTED_VALUE"""),"S002")</f>
        <v>S002</v>
      </c>
      <c r="D1194" s="7" t="str">
        <f>IFERROR(__xludf.DUMMYFUNCTION("""COMPUTED_VALUE"""),"Operating Systems Concepts")</f>
        <v>Operating Systems Concepts</v>
      </c>
    </row>
    <row r="1195">
      <c r="A1195" s="7" t="str">
        <f>IFERROR(__xludf.DUMMYFUNCTION("""COMPUTED_VALUE"""),"R33")</f>
        <v>R33</v>
      </c>
      <c r="B1195" s="7" t="str">
        <f>IFERROR(__xludf.DUMMYFUNCTION("""COMPUTED_VALUE"""),"Tech Lead")</f>
        <v>Tech Lead</v>
      </c>
      <c r="C1195" s="7" t="str">
        <f>IFERROR(__xludf.DUMMYFUNCTION("""COMPUTED_VALUE"""),"S003")</f>
        <v>S003</v>
      </c>
      <c r="D1195" s="7" t="str">
        <f>IFERROR(__xludf.DUMMYFUNCTION("""COMPUTED_VALUE"""),"Process &amp; Thread Management")</f>
        <v>Process &amp; Thread Management</v>
      </c>
    </row>
    <row r="1196">
      <c r="A1196" s="7" t="str">
        <f>IFERROR(__xludf.DUMMYFUNCTION("""COMPUTED_VALUE"""),"R33")</f>
        <v>R33</v>
      </c>
      <c r="B1196" s="7" t="str">
        <f>IFERROR(__xludf.DUMMYFUNCTION("""COMPUTED_VALUE"""),"Tech Lead")</f>
        <v>Tech Lead</v>
      </c>
      <c r="C1196" s="7" t="str">
        <f>IFERROR(__xludf.DUMMYFUNCTION("""COMPUTED_VALUE"""),"S006")</f>
        <v>S006</v>
      </c>
      <c r="D1196" s="7" t="str">
        <f>IFERROR(__xludf.DUMMYFUNCTION("""COMPUTED_VALUE"""),"Basic Data Structures (Arrays, Lists, Stacks, Queues)")</f>
        <v>Basic Data Structures (Arrays, Lists, Stacks, Queues)</v>
      </c>
    </row>
    <row r="1197">
      <c r="A1197" s="7" t="str">
        <f>IFERROR(__xludf.DUMMYFUNCTION("""COMPUTED_VALUE"""),"R33")</f>
        <v>R33</v>
      </c>
      <c r="B1197" s="7" t="str">
        <f>IFERROR(__xludf.DUMMYFUNCTION("""COMPUTED_VALUE"""),"Tech Lead")</f>
        <v>Tech Lead</v>
      </c>
      <c r="C1197" s="7" t="str">
        <f>IFERROR(__xludf.DUMMYFUNCTION("""COMPUTED_VALUE"""),"S007")</f>
        <v>S007</v>
      </c>
      <c r="D1197" s="7" t="str">
        <f>IFERROR(__xludf.DUMMYFUNCTION("""COMPUTED_VALUE"""),"Trees &amp; Binary Search Trees")</f>
        <v>Trees &amp; Binary Search Trees</v>
      </c>
    </row>
    <row r="1198">
      <c r="A1198" s="7" t="str">
        <f>IFERROR(__xludf.DUMMYFUNCTION("""COMPUTED_VALUE"""),"R33")</f>
        <v>R33</v>
      </c>
      <c r="B1198" s="7" t="str">
        <f>IFERROR(__xludf.DUMMYFUNCTION("""COMPUTED_VALUE"""),"Tech Lead")</f>
        <v>Tech Lead</v>
      </c>
      <c r="C1198" s="7" t="str">
        <f>IFERROR(__xludf.DUMMYFUNCTION("""COMPUTED_VALUE"""),"S008")</f>
        <v>S008</v>
      </c>
      <c r="D1198" s="7" t="str">
        <f>IFERROR(__xludf.DUMMYFUNCTION("""COMPUTED_VALUE"""),"Heaps, Priority Queues &amp; Hashing")</f>
        <v>Heaps, Priority Queues &amp; Hashing</v>
      </c>
    </row>
    <row r="1199">
      <c r="A1199" s="7" t="str">
        <f>IFERROR(__xludf.DUMMYFUNCTION("""COMPUTED_VALUE"""),"R33")</f>
        <v>R33</v>
      </c>
      <c r="B1199" s="7" t="str">
        <f>IFERROR(__xludf.DUMMYFUNCTION("""COMPUTED_VALUE"""),"Tech Lead")</f>
        <v>Tech Lead</v>
      </c>
      <c r="C1199" s="7" t="str">
        <f>IFERROR(__xludf.DUMMYFUNCTION("""COMPUTED_VALUE"""),"S009")</f>
        <v>S009</v>
      </c>
      <c r="D1199" s="7" t="str">
        <f>IFERROR(__xludf.DUMMYFUNCTION("""COMPUTED_VALUE"""),"Graphs &amp; Graph Traversal (BFS/DFS)")</f>
        <v>Graphs &amp; Graph Traversal (BFS/DFS)</v>
      </c>
    </row>
    <row r="1200">
      <c r="A1200" s="7" t="str">
        <f>IFERROR(__xludf.DUMMYFUNCTION("""COMPUTED_VALUE"""),"R33")</f>
        <v>R33</v>
      </c>
      <c r="B1200" s="7" t="str">
        <f>IFERROR(__xludf.DUMMYFUNCTION("""COMPUTED_VALUE"""),"Tech Lead")</f>
        <v>Tech Lead</v>
      </c>
      <c r="C1200" s="7" t="str">
        <f>IFERROR(__xludf.DUMMYFUNCTION("""COMPUTED_VALUE"""),"S010")</f>
        <v>S010</v>
      </c>
      <c r="D1200" s="7" t="str">
        <f>IFERROR(__xludf.DUMMYFUNCTION("""COMPUTED_VALUE"""),"Sorting &amp; Searching Algorithms")</f>
        <v>Sorting &amp; Searching Algorithms</v>
      </c>
    </row>
    <row r="1201">
      <c r="A1201" s="7" t="str">
        <f>IFERROR(__xludf.DUMMYFUNCTION("""COMPUTED_VALUE"""),"R33")</f>
        <v>R33</v>
      </c>
      <c r="B1201" s="7" t="str">
        <f>IFERROR(__xludf.DUMMYFUNCTION("""COMPUTED_VALUE"""),"Tech Lead")</f>
        <v>Tech Lead</v>
      </c>
      <c r="C1201" s="7" t="str">
        <f>IFERROR(__xludf.DUMMYFUNCTION("""COMPUTED_VALUE"""),"S012")</f>
        <v>S012</v>
      </c>
      <c r="D1201" s="7" t="str">
        <f>IFERROR(__xludf.DUMMYFUNCTION("""COMPUTED_VALUE"""),"Time &amp; Space Complexity (Big-O Analysis)")</f>
        <v>Time &amp; Space Complexity (Big-O Analysis)</v>
      </c>
    </row>
    <row r="1202">
      <c r="A1202" s="7" t="str">
        <f>IFERROR(__xludf.DUMMYFUNCTION("""COMPUTED_VALUE"""),"R33")</f>
        <v>R33</v>
      </c>
      <c r="B1202" s="7" t="str">
        <f>IFERROR(__xludf.DUMMYFUNCTION("""COMPUTED_VALUE"""),"Tech Lead")</f>
        <v>Tech Lead</v>
      </c>
      <c r="C1202" s="7" t="str">
        <f>IFERROR(__xludf.DUMMYFUNCTION("""COMPUTED_VALUE"""),"S013")</f>
        <v>S013</v>
      </c>
      <c r="D1202" s="7" t="str">
        <f>IFERROR(__xludf.DUMMYFUNCTION("""COMPUTED_VALUE"""),"Object-Oriented Programming (OOP)")</f>
        <v>Object-Oriented Programming (OOP)</v>
      </c>
    </row>
    <row r="1203">
      <c r="A1203" s="7" t="str">
        <f>IFERROR(__xludf.DUMMYFUNCTION("""COMPUTED_VALUE"""),"R33")</f>
        <v>R33</v>
      </c>
      <c r="B1203" s="7" t="str">
        <f>IFERROR(__xludf.DUMMYFUNCTION("""COMPUTED_VALUE"""),"Tech Lead")</f>
        <v>Tech Lead</v>
      </c>
      <c r="C1203" s="7" t="str">
        <f>IFERROR(__xludf.DUMMYFUNCTION("""COMPUTED_VALUE"""),"S014")</f>
        <v>S014</v>
      </c>
      <c r="D1203" s="7" t="str">
        <f>IFERROR(__xludf.DUMMYFUNCTION("""COMPUTED_VALUE"""),"Functional Programming Concepts")</f>
        <v>Functional Programming Concepts</v>
      </c>
    </row>
    <row r="1204">
      <c r="A1204" s="7" t="str">
        <f>IFERROR(__xludf.DUMMYFUNCTION("""COMPUTED_VALUE"""),"R33")</f>
        <v>R33</v>
      </c>
      <c r="B1204" s="7" t="str">
        <f>IFERROR(__xludf.DUMMYFUNCTION("""COMPUTED_VALUE"""),"Tech Lead")</f>
        <v>Tech Lead</v>
      </c>
      <c r="C1204" s="7" t="str">
        <f>IFERROR(__xludf.DUMMYFUNCTION("""COMPUTED_VALUE"""),"S015")</f>
        <v>S015</v>
      </c>
      <c r="D1204" s="7" t="str">
        <f>IFERROR(__xludf.DUMMYFUNCTION("""COMPUTED_VALUE"""),"Software Design Patterns (GoF)")</f>
        <v>Software Design Patterns (GoF)</v>
      </c>
    </row>
    <row r="1205">
      <c r="A1205" s="7" t="str">
        <f>IFERROR(__xludf.DUMMYFUNCTION("""COMPUTED_VALUE"""),"R33")</f>
        <v>R33</v>
      </c>
      <c r="B1205" s="7" t="str">
        <f>IFERROR(__xludf.DUMMYFUNCTION("""COMPUTED_VALUE"""),"Tech Lead")</f>
        <v>Tech Lead</v>
      </c>
      <c r="C1205" s="7" t="str">
        <f>IFERROR(__xludf.DUMMYFUNCTION("""COMPUTED_VALUE"""),"S016")</f>
        <v>S016</v>
      </c>
      <c r="D1205" s="7" t="str">
        <f>IFERROR(__xludf.DUMMYFUNCTION("""COMPUTED_VALUE"""),"SOLID Principles &amp; Clean Code")</f>
        <v>SOLID Principles &amp; Clean Code</v>
      </c>
    </row>
    <row r="1206">
      <c r="A1206" s="7" t="str">
        <f>IFERROR(__xludf.DUMMYFUNCTION("""COMPUTED_VALUE"""),"R33")</f>
        <v>R33</v>
      </c>
      <c r="B1206" s="7" t="str">
        <f>IFERROR(__xludf.DUMMYFUNCTION("""COMPUTED_VALUE"""),"Tech Lead")</f>
        <v>Tech Lead</v>
      </c>
      <c r="C1206" s="7" t="str">
        <f>IFERROR(__xludf.DUMMYFUNCTION("""COMPUTED_VALUE"""),"S017")</f>
        <v>S017</v>
      </c>
      <c r="D1206" s="7" t="str">
        <f>IFERROR(__xludf.DUMMYFUNCTION("""COMPUTED_VALUE"""),"Git Version Control Fundamentals")</f>
        <v>Git Version Control Fundamentals</v>
      </c>
    </row>
    <row r="1207">
      <c r="A1207" s="7" t="str">
        <f>IFERROR(__xludf.DUMMYFUNCTION("""COMPUTED_VALUE"""),"R33")</f>
        <v>R33</v>
      </c>
      <c r="B1207" s="7" t="str">
        <f>IFERROR(__xludf.DUMMYFUNCTION("""COMPUTED_VALUE"""),"Tech Lead")</f>
        <v>Tech Lead</v>
      </c>
      <c r="C1207" s="7" t="str">
        <f>IFERROR(__xludf.DUMMYFUNCTION("""COMPUTED_VALUE"""),"S018")</f>
        <v>S018</v>
      </c>
      <c r="D1207" s="7" t="str">
        <f>IFERROR(__xludf.DUMMYFUNCTION("""COMPUTED_VALUE"""),"GitHub / GitLab Workflows &amp; Pull Requests")</f>
        <v>GitHub / GitLab Workflows &amp; Pull Requests</v>
      </c>
    </row>
    <row r="1208">
      <c r="A1208" s="7" t="str">
        <f>IFERROR(__xludf.DUMMYFUNCTION("""COMPUTED_VALUE"""),"R33")</f>
        <v>R33</v>
      </c>
      <c r="B1208" s="7" t="str">
        <f>IFERROR(__xludf.DUMMYFUNCTION("""COMPUTED_VALUE"""),"Tech Lead")</f>
        <v>Tech Lead</v>
      </c>
      <c r="C1208" s="7" t="str">
        <f>IFERROR(__xludf.DUMMYFUNCTION("""COMPUTED_VALUE"""),"S019")</f>
        <v>S019</v>
      </c>
      <c r="D1208" s="7" t="str">
        <f>IFERROR(__xludf.DUMMYFUNCTION("""COMPUTED_VALUE"""),"Linux Command Line &amp; File Permissions")</f>
        <v>Linux Command Line &amp; File Permissions</v>
      </c>
    </row>
    <row r="1209">
      <c r="A1209" s="7" t="str">
        <f>IFERROR(__xludf.DUMMYFUNCTION("""COMPUTED_VALUE"""),"R33")</f>
        <v>R33</v>
      </c>
      <c r="B1209" s="7" t="str">
        <f>IFERROR(__xludf.DUMMYFUNCTION("""COMPUTED_VALUE"""),"Tech Lead")</f>
        <v>Tech Lead</v>
      </c>
      <c r="C1209" s="7" t="str">
        <f>IFERROR(__xludf.DUMMYFUNCTION("""COMPUTED_VALUE"""),"S022")</f>
        <v>S022</v>
      </c>
      <c r="D1209" s="7" t="str">
        <f>IFERROR(__xludf.DUMMYFUNCTION("""COMPUTED_VALUE"""),"Computer Networking &amp; OSI Model")</f>
        <v>Computer Networking &amp; OSI Model</v>
      </c>
    </row>
    <row r="1210">
      <c r="A1210" s="7" t="str">
        <f>IFERROR(__xludf.DUMMYFUNCTION("""COMPUTED_VALUE"""),"R33")</f>
        <v>R33</v>
      </c>
      <c r="B1210" s="7" t="str">
        <f>IFERROR(__xludf.DUMMYFUNCTION("""COMPUTED_VALUE"""),"Tech Lead")</f>
        <v>Tech Lead</v>
      </c>
      <c r="C1210" s="7" t="str">
        <f>IFERROR(__xludf.DUMMYFUNCTION("""COMPUTED_VALUE"""),"S023")</f>
        <v>S023</v>
      </c>
      <c r="D1210" s="7" t="str">
        <f>IFERROR(__xludf.DUMMYFUNCTION("""COMPUTED_VALUE"""),"HTTP/HTTPS Protocols &amp; Status Codes")</f>
        <v>HTTP/HTTPS Protocols &amp; Status Codes</v>
      </c>
    </row>
    <row r="1211">
      <c r="A1211" s="7" t="str">
        <f>IFERROR(__xludf.DUMMYFUNCTION("""COMPUTED_VALUE"""),"R33")</f>
        <v>R33</v>
      </c>
      <c r="B1211" s="7" t="str">
        <f>IFERROR(__xludf.DUMMYFUNCTION("""COMPUTED_VALUE"""),"Tech Lead")</f>
        <v>Tech Lead</v>
      </c>
      <c r="C1211" s="7" t="str">
        <f>IFERROR(__xludf.DUMMYFUNCTION("""COMPUTED_VALUE"""),"S024")</f>
        <v>S024</v>
      </c>
      <c r="D1211" s="7" t="str">
        <f>IFERROR(__xludf.DUMMYFUNCTION("""COMPUTED_VALUE"""),"DNS, Domain Routing &amp; SSL/TLS")</f>
        <v>DNS, Domain Routing &amp; SSL/TLS</v>
      </c>
    </row>
    <row r="1212">
      <c r="A1212" s="7" t="str">
        <f>IFERROR(__xludf.DUMMYFUNCTION("""COMPUTED_VALUE"""),"R33")</f>
        <v>R33</v>
      </c>
      <c r="B1212" s="7" t="str">
        <f>IFERROR(__xludf.DUMMYFUNCTION("""COMPUTED_VALUE"""),"Tech Lead")</f>
        <v>Tech Lead</v>
      </c>
      <c r="C1212" s="7" t="str">
        <f>IFERROR(__xludf.DUMMYFUNCTION("""COMPUTED_VALUE"""),"S026")</f>
        <v>S026</v>
      </c>
      <c r="D1212" s="7" t="str">
        <f>IFERROR(__xludf.DUMMYFUNCTION("""COMPUTED_VALUE"""),"Data Serialization (JSON, XML, YAML, Protobuf)")</f>
        <v>Data Serialization (JSON, XML, YAML, Protobuf)</v>
      </c>
    </row>
    <row r="1213">
      <c r="A1213" s="7" t="str">
        <f>IFERROR(__xludf.DUMMYFUNCTION("""COMPUTED_VALUE"""),"R33")</f>
        <v>R33</v>
      </c>
      <c r="B1213" s="7" t="str">
        <f>IFERROR(__xludf.DUMMYFUNCTION("""COMPUTED_VALUE"""),"Tech Lead")</f>
        <v>Tech Lead</v>
      </c>
      <c r="C1213" s="7" t="str">
        <f>IFERROR(__xludf.DUMMYFUNCTION("""COMPUTED_VALUE"""),"S028")</f>
        <v>S028</v>
      </c>
      <c r="D1213" s="7" t="str">
        <f>IFERROR(__xludf.DUMMYFUNCTION("""COMPUTED_VALUE"""),"Technical Writing &amp; Markdown Documentation")</f>
        <v>Technical Writing &amp; Markdown Documentation</v>
      </c>
    </row>
    <row r="1214">
      <c r="A1214" s="7" t="str">
        <f>IFERROR(__xludf.DUMMYFUNCTION("""COMPUTED_VALUE"""),"R33")</f>
        <v>R33</v>
      </c>
      <c r="B1214" s="7" t="str">
        <f>IFERROR(__xludf.DUMMYFUNCTION("""COMPUTED_VALUE"""),"Tech Lead")</f>
        <v>Tech Lead</v>
      </c>
      <c r="C1214" s="7" t="str">
        <f>IFERROR(__xludf.DUMMYFUNCTION("""COMPUTED_VALUE"""),"S029")</f>
        <v>S029</v>
      </c>
      <c r="D1214" s="7" t="str">
        <f>IFERROR(__xludf.DUMMYFUNCTION("""COMPUTED_VALUE"""),"Debugging, Profiling &amp; Root Cause Analysis")</f>
        <v>Debugging, Profiling &amp; Root Cause Analysis</v>
      </c>
    </row>
    <row r="1215">
      <c r="A1215" s="7" t="str">
        <f>IFERROR(__xludf.DUMMYFUNCTION("""COMPUTED_VALUE"""),"R33")</f>
        <v>R33</v>
      </c>
      <c r="B1215" s="7" t="str">
        <f>IFERROR(__xludf.DUMMYFUNCTION("""COMPUTED_VALUE"""),"Tech Lead")</f>
        <v>Tech Lead</v>
      </c>
      <c r="C1215" s="7" t="str">
        <f>IFERROR(__xludf.DUMMYFUNCTION("""COMPUTED_VALUE"""),"S031")</f>
        <v>S031</v>
      </c>
      <c r="D1215" s="7" t="str">
        <f>IFERROR(__xludf.DUMMYFUNCTION("""COMPUTED_VALUE"""),"Semantic HTML5")</f>
        <v>Semantic HTML5</v>
      </c>
    </row>
    <row r="1216">
      <c r="A1216" s="7" t="str">
        <f>IFERROR(__xludf.DUMMYFUNCTION("""COMPUTED_VALUE"""),"R33")</f>
        <v>R33</v>
      </c>
      <c r="B1216" s="7" t="str">
        <f>IFERROR(__xludf.DUMMYFUNCTION("""COMPUTED_VALUE"""),"Tech Lead")</f>
        <v>Tech Lead</v>
      </c>
      <c r="C1216" s="7" t="str">
        <f>IFERROR(__xludf.DUMMYFUNCTION("""COMPUTED_VALUE"""),"S032")</f>
        <v>S032</v>
      </c>
      <c r="D1216" s="7" t="str">
        <f>IFERROR(__xludf.DUMMYFUNCTION("""COMPUTED_VALUE"""),"CSS3 Fundamentals &amp; Box Model")</f>
        <v>CSS3 Fundamentals &amp; Box Model</v>
      </c>
    </row>
    <row r="1217">
      <c r="A1217" s="7" t="str">
        <f>IFERROR(__xludf.DUMMYFUNCTION("""COMPUTED_VALUE"""),"R33")</f>
        <v>R33</v>
      </c>
      <c r="B1217" s="7" t="str">
        <f>IFERROR(__xludf.DUMMYFUNCTION("""COMPUTED_VALUE"""),"Tech Lead")</f>
        <v>Tech Lead</v>
      </c>
      <c r="C1217" s="7" t="str">
        <f>IFERROR(__xludf.DUMMYFUNCTION("""COMPUTED_VALUE"""),"S034")</f>
        <v>S034</v>
      </c>
      <c r="D1217" s="7" t="str">
        <f>IFERROR(__xludf.DUMMYFUNCTION("""COMPUTED_VALUE"""),"JavaScript Fundamentals (ES6+)")</f>
        <v>JavaScript Fundamentals (ES6+)</v>
      </c>
    </row>
    <row r="1218">
      <c r="A1218" s="7" t="str">
        <f>IFERROR(__xludf.DUMMYFUNCTION("""COMPUTED_VALUE"""),"R33")</f>
        <v>R33</v>
      </c>
      <c r="B1218" s="7" t="str">
        <f>IFERROR(__xludf.DUMMYFUNCTION("""COMPUTED_VALUE"""),"Tech Lead")</f>
        <v>Tech Lead</v>
      </c>
      <c r="C1218" s="7" t="str">
        <f>IFERROR(__xludf.DUMMYFUNCTION("""COMPUTED_VALUE"""),"S038")</f>
        <v>S038</v>
      </c>
      <c r="D1218" s="7" t="str">
        <f>IFERROR(__xludf.DUMMYFUNCTION("""COMPUTED_VALUE"""),"TypeScript &amp; Static Typing")</f>
        <v>TypeScript &amp; Static Typing</v>
      </c>
    </row>
    <row r="1219">
      <c r="A1219" s="7" t="str">
        <f>IFERROR(__xludf.DUMMYFUNCTION("""COMPUTED_VALUE"""),"R33")</f>
        <v>R33</v>
      </c>
      <c r="B1219" s="7" t="str">
        <f>IFERROR(__xludf.DUMMYFUNCTION("""COMPUTED_VALUE"""),"Tech Lead")</f>
        <v>Tech Lead</v>
      </c>
      <c r="C1219" s="7" t="str">
        <f>IFERROR(__xludf.DUMMYFUNCTION("""COMPUTED_VALUE"""),"S039")</f>
        <v>S039</v>
      </c>
      <c r="D1219" s="7" t="str">
        <f>IFERROR(__xludf.DUMMYFUNCTION("""COMPUTED_VALUE"""),"React.js &amp; Hooks Architecture")</f>
        <v>React.js &amp; Hooks Architecture</v>
      </c>
    </row>
    <row r="1220">
      <c r="A1220" s="7" t="str">
        <f>IFERROR(__xludf.DUMMYFUNCTION("""COMPUTED_VALUE"""),"R33")</f>
        <v>R33</v>
      </c>
      <c r="B1220" s="7" t="str">
        <f>IFERROR(__xludf.DUMMYFUNCTION("""COMPUTED_VALUE"""),"Tech Lead")</f>
        <v>Tech Lead</v>
      </c>
      <c r="C1220" s="7" t="str">
        <f>IFERROR(__xludf.DUMMYFUNCTION("""COMPUTED_VALUE"""),"S043")</f>
        <v>S043</v>
      </c>
      <c r="D1220" s="7" t="str">
        <f>IFERROR(__xludf.DUMMYFUNCTION("""COMPUTED_VALUE"""),"Next.js (SSR, SSG &amp; App Router)")</f>
        <v>Next.js (SSR, SSG &amp; App Router)</v>
      </c>
    </row>
    <row r="1221">
      <c r="A1221" s="7" t="str">
        <f>IFERROR(__xludf.DUMMYFUNCTION("""COMPUTED_VALUE"""),"R33")</f>
        <v>R33</v>
      </c>
      <c r="B1221" s="7" t="str">
        <f>IFERROR(__xludf.DUMMYFUNCTION("""COMPUTED_VALUE"""),"Tech Lead")</f>
        <v>Tech Lead</v>
      </c>
      <c r="C1221" s="7" t="str">
        <f>IFERROR(__xludf.DUMMYFUNCTION("""COMPUTED_VALUE"""),"S052")</f>
        <v>S052</v>
      </c>
      <c r="D1221" s="7" t="str">
        <f>IFERROR(__xludf.DUMMYFUNCTION("""COMPUTED_VALUE"""),"Web Performance Optimization &amp; Core Web Vitals")</f>
        <v>Web Performance Optimization &amp; Core Web Vitals</v>
      </c>
    </row>
    <row r="1222">
      <c r="A1222" s="7" t="str">
        <f>IFERROR(__xludf.DUMMYFUNCTION("""COMPUTED_VALUE"""),"R33")</f>
        <v>R33</v>
      </c>
      <c r="B1222" s="7" t="str">
        <f>IFERROR(__xludf.DUMMYFUNCTION("""COMPUTED_VALUE"""),"Tech Lead")</f>
        <v>Tech Lead</v>
      </c>
      <c r="C1222" s="7" t="str">
        <f>IFERROR(__xludf.DUMMYFUNCTION("""COMPUTED_VALUE"""),"S059")</f>
        <v>S059</v>
      </c>
      <c r="D1222" s="7" t="str">
        <f>IFERROR(__xludf.DUMMYFUNCTION("""COMPUTED_VALUE"""),"Frontend Unit &amp; Component Testing (Jest, Vitest, RTL)")</f>
        <v>Frontend Unit &amp; Component Testing (Jest, Vitest, RTL)</v>
      </c>
    </row>
    <row r="1223">
      <c r="A1223" s="7" t="str">
        <f>IFERROR(__xludf.DUMMYFUNCTION("""COMPUTED_VALUE"""),"R33")</f>
        <v>R33</v>
      </c>
      <c r="B1223" s="7" t="str">
        <f>IFERROR(__xludf.DUMMYFUNCTION("""COMPUTED_VALUE"""),"Tech Lead")</f>
        <v>Tech Lead</v>
      </c>
      <c r="C1223" s="7" t="str">
        <f>IFERROR(__xludf.DUMMYFUNCTION("""COMPUTED_VALUE"""),"S060")</f>
        <v>S060</v>
      </c>
      <c r="D1223" s="7" t="str">
        <f>IFERROR(__xludf.DUMMYFUNCTION("""COMPUTED_VALUE"""),"End-to-End Browser Testing (Cypress, Playwright)")</f>
        <v>End-to-End Browser Testing (Cypress, Playwright)</v>
      </c>
    </row>
    <row r="1224">
      <c r="A1224" s="7" t="str">
        <f>IFERROR(__xludf.DUMMYFUNCTION("""COMPUTED_VALUE"""),"R33")</f>
        <v>R33</v>
      </c>
      <c r="B1224" s="7" t="str">
        <f>IFERROR(__xludf.DUMMYFUNCTION("""COMPUTED_VALUE"""),"Tech Lead")</f>
        <v>Tech Lead</v>
      </c>
      <c r="C1224" s="7" t="str">
        <f>IFERROR(__xludf.DUMMYFUNCTION("""COMPUTED_VALUE"""),"S066")</f>
        <v>S066</v>
      </c>
      <c r="D1224" s="7" t="str">
        <f>IFERROR(__xludf.DUMMYFUNCTION("""COMPUTED_VALUE"""),"Java Programming &amp; JVM Internals")</f>
        <v>Java Programming &amp; JVM Internals</v>
      </c>
    </row>
    <row r="1225">
      <c r="A1225" s="7" t="str">
        <f>IFERROR(__xludf.DUMMYFUNCTION("""COMPUTED_VALUE"""),"R33")</f>
        <v>R33</v>
      </c>
      <c r="B1225" s="7" t="str">
        <f>IFERROR(__xludf.DUMMYFUNCTION("""COMPUTED_VALUE"""),"Tech Lead")</f>
        <v>Tech Lead</v>
      </c>
      <c r="C1225" s="7" t="str">
        <f>IFERROR(__xludf.DUMMYFUNCTION("""COMPUTED_VALUE"""),"S067")</f>
        <v>S067</v>
      </c>
      <c r="D1225" s="7" t="str">
        <f>IFERROR(__xludf.DUMMYFUNCTION("""COMPUTED_VALUE"""),"Spring Framework &amp; Spring Boot")</f>
        <v>Spring Framework &amp; Spring Boot</v>
      </c>
    </row>
    <row r="1226">
      <c r="A1226" s="7" t="str">
        <f>IFERROR(__xludf.DUMMYFUNCTION("""COMPUTED_VALUE"""),"R33")</f>
        <v>R33</v>
      </c>
      <c r="B1226" s="7" t="str">
        <f>IFERROR(__xludf.DUMMYFUNCTION("""COMPUTED_VALUE"""),"Tech Lead")</f>
        <v>Tech Lead</v>
      </c>
      <c r="C1226" s="7" t="str">
        <f>IFERROR(__xludf.DUMMYFUNCTION("""COMPUTED_VALUE"""),"S068")</f>
        <v>S068</v>
      </c>
      <c r="D1226" s="7" t="str">
        <f>IFERROR(__xludf.DUMMYFUNCTION("""COMPUTED_VALUE"""),"Python Programming Fundamentals")</f>
        <v>Python Programming Fundamentals</v>
      </c>
    </row>
    <row r="1227">
      <c r="A1227" s="7" t="str">
        <f>IFERROR(__xludf.DUMMYFUNCTION("""COMPUTED_VALUE"""),"R33")</f>
        <v>R33</v>
      </c>
      <c r="B1227" s="7" t="str">
        <f>IFERROR(__xludf.DUMMYFUNCTION("""COMPUTED_VALUE"""),"Tech Lead")</f>
        <v>Tech Lead</v>
      </c>
      <c r="C1227" s="7" t="str">
        <f>IFERROR(__xludf.DUMMYFUNCTION("""COMPUTED_VALUE"""),"S070")</f>
        <v>S070</v>
      </c>
      <c r="D1227" s="7" t="str">
        <f>IFERROR(__xludf.DUMMYFUNCTION("""COMPUTED_VALUE"""),"FastAPI High-Performance APIs")</f>
        <v>FastAPI High-Performance APIs</v>
      </c>
    </row>
    <row r="1228">
      <c r="A1228" s="7" t="str">
        <f>IFERROR(__xludf.DUMMYFUNCTION("""COMPUTED_VALUE"""),"R33")</f>
        <v>R33</v>
      </c>
      <c r="B1228" s="7" t="str">
        <f>IFERROR(__xludf.DUMMYFUNCTION("""COMPUTED_VALUE"""),"Tech Lead")</f>
        <v>Tech Lead</v>
      </c>
      <c r="C1228" s="7" t="str">
        <f>IFERROR(__xludf.DUMMYFUNCTION("""COMPUTED_VALUE"""),"S072")</f>
        <v>S072</v>
      </c>
      <c r="D1228" s="7" t="str">
        <f>IFERROR(__xludf.DUMMYFUNCTION("""COMPUTED_VALUE"""),"Node.js Runtime &amp; Event Loop")</f>
        <v>Node.js Runtime &amp; Event Loop</v>
      </c>
    </row>
    <row r="1229">
      <c r="A1229" s="7" t="str">
        <f>IFERROR(__xludf.DUMMYFUNCTION("""COMPUTED_VALUE"""),"R33")</f>
        <v>R33</v>
      </c>
      <c r="B1229" s="7" t="str">
        <f>IFERROR(__xludf.DUMMYFUNCTION("""COMPUTED_VALUE"""),"Tech Lead")</f>
        <v>Tech Lead</v>
      </c>
      <c r="C1229" s="7" t="str">
        <f>IFERROR(__xludf.DUMMYFUNCTION("""COMPUTED_VALUE"""),"S086")</f>
        <v>S086</v>
      </c>
      <c r="D1229" s="7" t="str">
        <f>IFERROR(__xludf.DUMMYFUNCTION("""COMPUTED_VALUE"""),"RESTful API Design &amp; OpenAPI/Swagger")</f>
        <v>RESTful API Design &amp; OpenAPI/Swagger</v>
      </c>
    </row>
    <row r="1230">
      <c r="A1230" s="7" t="str">
        <f>IFERROR(__xludf.DUMMYFUNCTION("""COMPUTED_VALUE"""),"R33")</f>
        <v>R33</v>
      </c>
      <c r="B1230" s="7" t="str">
        <f>IFERROR(__xludf.DUMMYFUNCTION("""COMPUTED_VALUE"""),"Tech Lead")</f>
        <v>Tech Lead</v>
      </c>
      <c r="C1230" s="7" t="str">
        <f>IFERROR(__xludf.DUMMYFUNCTION("""COMPUTED_VALUE"""),"S087")</f>
        <v>S087</v>
      </c>
      <c r="D1230" s="7" t="str">
        <f>IFERROR(__xludf.DUMMYFUNCTION("""COMPUTED_VALUE"""),"GraphQL Schema &amp; Resolvers (Apollo)")</f>
        <v>GraphQL Schema &amp; Resolvers (Apollo)</v>
      </c>
    </row>
    <row r="1231">
      <c r="A1231" s="7" t="str">
        <f>IFERROR(__xludf.DUMMYFUNCTION("""COMPUTED_VALUE"""),"R33")</f>
        <v>R33</v>
      </c>
      <c r="B1231" s="7" t="str">
        <f>IFERROR(__xludf.DUMMYFUNCTION("""COMPUTED_VALUE"""),"Tech Lead")</f>
        <v>Tech Lead</v>
      </c>
      <c r="C1231" s="7" t="str">
        <f>IFERROR(__xludf.DUMMYFUNCTION("""COMPUTED_VALUE"""),"S091")</f>
        <v>S091</v>
      </c>
      <c r="D1231" s="7" t="str">
        <f>IFERROR(__xludf.DUMMYFUNCTION("""COMPUTED_VALUE"""),"Authentication &amp; Session Management (JWT, Cookies)")</f>
        <v>Authentication &amp; Session Management (JWT, Cookies)</v>
      </c>
    </row>
    <row r="1232">
      <c r="A1232" s="7" t="str">
        <f>IFERROR(__xludf.DUMMYFUNCTION("""COMPUTED_VALUE"""),"R33")</f>
        <v>R33</v>
      </c>
      <c r="B1232" s="7" t="str">
        <f>IFERROR(__xludf.DUMMYFUNCTION("""COMPUTED_VALUE"""),"Tech Lead")</f>
        <v>Tech Lead</v>
      </c>
      <c r="C1232" s="7" t="str">
        <f>IFERROR(__xludf.DUMMYFUNCTION("""COMPUTED_VALUE"""),"S092")</f>
        <v>S092</v>
      </c>
      <c r="D1232" s="7" t="str">
        <f>IFERROR(__xludf.DUMMYFUNCTION("""COMPUTED_VALUE"""),"OAuth 2.0, OpenID Connect (OIDC) &amp; SSO")</f>
        <v>OAuth 2.0, OpenID Connect (OIDC) &amp; SSO</v>
      </c>
    </row>
    <row r="1233">
      <c r="A1233" s="7" t="str">
        <f>IFERROR(__xludf.DUMMYFUNCTION("""COMPUTED_VALUE"""),"R33")</f>
        <v>R33</v>
      </c>
      <c r="B1233" s="7" t="str">
        <f>IFERROR(__xludf.DUMMYFUNCTION("""COMPUTED_VALUE"""),"Tech Lead")</f>
        <v>Tech Lead</v>
      </c>
      <c r="C1233" s="7" t="str">
        <f>IFERROR(__xludf.DUMMYFUNCTION("""COMPUTED_VALUE"""),"S094")</f>
        <v>S094</v>
      </c>
      <c r="D1233" s="7" t="str">
        <f>IFERROR(__xludf.DUMMYFUNCTION("""COMPUTED_VALUE"""),"API Gateways, Rate Limiting &amp; Throttling (Kong, Envoy)")</f>
        <v>API Gateways, Rate Limiting &amp; Throttling (Kong, Envoy)</v>
      </c>
    </row>
    <row r="1234">
      <c r="A1234" s="7" t="str">
        <f>IFERROR(__xludf.DUMMYFUNCTION("""COMPUTED_VALUE"""),"R33")</f>
        <v>R33</v>
      </c>
      <c r="B1234" s="7" t="str">
        <f>IFERROR(__xludf.DUMMYFUNCTION("""COMPUTED_VALUE"""),"Tech Lead")</f>
        <v>Tech Lead</v>
      </c>
      <c r="C1234" s="7" t="str">
        <f>IFERROR(__xludf.DUMMYFUNCTION("""COMPUTED_VALUE"""),"S095")</f>
        <v>S095</v>
      </c>
      <c r="D1234" s="7" t="str">
        <f>IFERROR(__xludf.DUMMYFUNCTION("""COMPUTED_VALUE"""),"Microservices Architecture &amp; Service Mesh")</f>
        <v>Microservices Architecture &amp; Service Mesh</v>
      </c>
    </row>
    <row r="1235">
      <c r="A1235" s="7" t="str">
        <f>IFERROR(__xludf.DUMMYFUNCTION("""COMPUTED_VALUE"""),"R33")</f>
        <v>R33</v>
      </c>
      <c r="B1235" s="7" t="str">
        <f>IFERROR(__xludf.DUMMYFUNCTION("""COMPUTED_VALUE"""),"Tech Lead")</f>
        <v>Tech Lead</v>
      </c>
      <c r="C1235" s="7" t="str">
        <f>IFERROR(__xludf.DUMMYFUNCTION("""COMPUTED_VALUE"""),"S096")</f>
        <v>S096</v>
      </c>
      <c r="D1235" s="7" t="str">
        <f>IFERROR(__xludf.DUMMYFUNCTION("""COMPUTED_VALUE"""),"Event-Driven Architecture &amp; Pub/Sub Patterns")</f>
        <v>Event-Driven Architecture &amp; Pub/Sub Patterns</v>
      </c>
    </row>
    <row r="1236">
      <c r="A1236" s="7" t="str">
        <f>IFERROR(__xludf.DUMMYFUNCTION("""COMPUTED_VALUE"""),"R33")</f>
        <v>R33</v>
      </c>
      <c r="B1236" s="7" t="str">
        <f>IFERROR(__xludf.DUMMYFUNCTION("""COMPUTED_VALUE"""),"Tech Lead")</f>
        <v>Tech Lead</v>
      </c>
      <c r="C1236" s="7" t="str">
        <f>IFERROR(__xludf.DUMMYFUNCTION("""COMPUTED_VALUE"""),"S098")</f>
        <v>S098</v>
      </c>
      <c r="D1236" s="7" t="str">
        <f>IFERROR(__xludf.DUMMYFUNCTION("""COMPUTED_VALUE"""),"Distributed Event Streaming (Apache Kafka)")</f>
        <v>Distributed Event Streaming (Apache Kafka)</v>
      </c>
    </row>
    <row r="1237">
      <c r="A1237" s="7" t="str">
        <f>IFERROR(__xludf.DUMMYFUNCTION("""COMPUTED_VALUE"""),"R33")</f>
        <v>R33</v>
      </c>
      <c r="B1237" s="7" t="str">
        <f>IFERROR(__xludf.DUMMYFUNCTION("""COMPUTED_VALUE"""),"Tech Lead")</f>
        <v>Tech Lead</v>
      </c>
      <c r="C1237" s="7" t="str">
        <f>IFERROR(__xludf.DUMMYFUNCTION("""COMPUTED_VALUE"""),"S099")</f>
        <v>S099</v>
      </c>
      <c r="D1237" s="7" t="str">
        <f>IFERROR(__xludf.DUMMYFUNCTION("""COMPUTED_VALUE"""),"Backend Caching Strategies (In-Memory, CDN, Write-Through)")</f>
        <v>Backend Caching Strategies (In-Memory, CDN, Write-Through)</v>
      </c>
    </row>
    <row r="1238">
      <c r="A1238" s="7" t="str">
        <f>IFERROR(__xludf.DUMMYFUNCTION("""COMPUTED_VALUE"""),"R33")</f>
        <v>R33</v>
      </c>
      <c r="B1238" s="7" t="str">
        <f>IFERROR(__xludf.DUMMYFUNCTION("""COMPUTED_VALUE"""),"Tech Lead")</f>
        <v>Tech Lead</v>
      </c>
      <c r="C1238" s="7" t="str">
        <f>IFERROR(__xludf.DUMMYFUNCTION("""COMPUTED_VALUE"""),"S100")</f>
        <v>S100</v>
      </c>
      <c r="D1238" s="7" t="str">
        <f>IFERROR(__xludf.DUMMYFUNCTION("""COMPUTED_VALUE"""),"Multithreading, Concurrency &amp; Parallel Processing")</f>
        <v>Multithreading, Concurrency &amp; Parallel Processing</v>
      </c>
    </row>
    <row r="1239">
      <c r="A1239" s="7" t="str">
        <f>IFERROR(__xludf.DUMMYFUNCTION("""COMPUTED_VALUE"""),"R33")</f>
        <v>R33</v>
      </c>
      <c r="B1239" s="7" t="str">
        <f>IFERROR(__xludf.DUMMYFUNCTION("""COMPUTED_VALUE"""),"Tech Lead")</f>
        <v>Tech Lead</v>
      </c>
      <c r="C1239" s="7" t="str">
        <f>IFERROR(__xludf.DUMMYFUNCTION("""COMPUTED_VALUE"""),"S102")</f>
        <v>S102</v>
      </c>
      <c r="D1239" s="7" t="str">
        <f>IFERROR(__xludf.DUMMYFUNCTION("""COMPUTED_VALUE"""),"Backend Unit &amp; Integration Testing (JUnit, PyTest, Mocha)")</f>
        <v>Backend Unit &amp; Integration Testing (JUnit, PyTest, Mocha)</v>
      </c>
    </row>
    <row r="1240">
      <c r="A1240" s="7" t="str">
        <f>IFERROR(__xludf.DUMMYFUNCTION("""COMPUTED_VALUE"""),"R33")</f>
        <v>R33</v>
      </c>
      <c r="B1240" s="7" t="str">
        <f>IFERROR(__xludf.DUMMYFUNCTION("""COMPUTED_VALUE"""),"Tech Lead")</f>
        <v>Tech Lead</v>
      </c>
      <c r="C1240" s="7" t="str">
        <f>IFERROR(__xludf.DUMMYFUNCTION("""COMPUTED_VALUE"""),"S106")</f>
        <v>S106</v>
      </c>
      <c r="D1240" s="7" t="str">
        <f>IFERROR(__xludf.DUMMYFUNCTION("""COMPUTED_VALUE"""),"Relational Database Design &amp; Normalization (1NF-3NF)")</f>
        <v>Relational Database Design &amp; Normalization (1NF-3NF)</v>
      </c>
    </row>
    <row r="1241">
      <c r="A1241" s="7" t="str">
        <f>IFERROR(__xludf.DUMMYFUNCTION("""COMPUTED_VALUE"""),"R33")</f>
        <v>R33</v>
      </c>
      <c r="B1241" s="7" t="str">
        <f>IFERROR(__xludf.DUMMYFUNCTION("""COMPUTED_VALUE"""),"Tech Lead")</f>
        <v>Tech Lead</v>
      </c>
      <c r="C1241" s="7" t="str">
        <f>IFERROR(__xludf.DUMMYFUNCTION("""COMPUTED_VALUE"""),"S107")</f>
        <v>S107</v>
      </c>
      <c r="D1241" s="7" t="str">
        <f>IFERROR(__xludf.DUMMYFUNCTION("""COMPUTED_VALUE"""),"SQL Querying (Joins, Aggregations, Subqueries)")</f>
        <v>SQL Querying (Joins, Aggregations, Subqueries)</v>
      </c>
    </row>
    <row r="1242">
      <c r="A1242" s="7" t="str">
        <f>IFERROR(__xludf.DUMMYFUNCTION("""COMPUTED_VALUE"""),"R33")</f>
        <v>R33</v>
      </c>
      <c r="B1242" s="7" t="str">
        <f>IFERROR(__xludf.DUMMYFUNCTION("""COMPUTED_VALUE"""),"Tech Lead")</f>
        <v>Tech Lead</v>
      </c>
      <c r="C1242" s="7" t="str">
        <f>IFERROR(__xludf.DUMMYFUNCTION("""COMPUTED_VALUE"""),"S109")</f>
        <v>S109</v>
      </c>
      <c r="D1242" s="7" t="str">
        <f>IFERROR(__xludf.DUMMYFUNCTION("""COMPUTED_VALUE"""),"PostgreSQL Administration &amp; Development")</f>
        <v>PostgreSQL Administration &amp; Development</v>
      </c>
    </row>
    <row r="1243">
      <c r="A1243" s="7" t="str">
        <f>IFERROR(__xludf.DUMMYFUNCTION("""COMPUTED_VALUE"""),"R33")</f>
        <v>R33</v>
      </c>
      <c r="B1243" s="7" t="str">
        <f>IFERROR(__xludf.DUMMYFUNCTION("""COMPUTED_VALUE"""),"Tech Lead")</f>
        <v>Tech Lead</v>
      </c>
      <c r="C1243" s="7" t="str">
        <f>IFERROR(__xludf.DUMMYFUNCTION("""COMPUTED_VALUE"""),"S114")</f>
        <v>S114</v>
      </c>
      <c r="D1243" s="7" t="str">
        <f>IFERROR(__xludf.DUMMYFUNCTION("""COMPUTED_VALUE"""),"Database Indexing, Query Plans &amp; Optimization")</f>
        <v>Database Indexing, Query Plans &amp; Optimization</v>
      </c>
    </row>
    <row r="1244">
      <c r="A1244" s="7" t="str">
        <f>IFERROR(__xludf.DUMMYFUNCTION("""COMPUTED_VALUE"""),"R33")</f>
        <v>R33</v>
      </c>
      <c r="B1244" s="7" t="str">
        <f>IFERROR(__xludf.DUMMYFUNCTION("""COMPUTED_VALUE"""),"Tech Lead")</f>
        <v>Tech Lead</v>
      </c>
      <c r="C1244" s="7" t="str">
        <f>IFERROR(__xludf.DUMMYFUNCTION("""COMPUTED_VALUE"""),"S115")</f>
        <v>S115</v>
      </c>
      <c r="D1244" s="7" t="str">
        <f>IFERROR(__xludf.DUMMYFUNCTION("""COMPUTED_VALUE"""),"ACID Transactions, Locking &amp; Isolation Levels")</f>
        <v>ACID Transactions, Locking &amp; Isolation Levels</v>
      </c>
    </row>
    <row r="1245">
      <c r="A1245" s="7" t="str">
        <f>IFERROR(__xludf.DUMMYFUNCTION("""COMPUTED_VALUE"""),"R33")</f>
        <v>R33</v>
      </c>
      <c r="B1245" s="7" t="str">
        <f>IFERROR(__xludf.DUMMYFUNCTION("""COMPUTED_VALUE"""),"Tech Lead")</f>
        <v>Tech Lead</v>
      </c>
      <c r="C1245" s="7" t="str">
        <f>IFERROR(__xludf.DUMMYFUNCTION("""COMPUTED_VALUE"""),"S116")</f>
        <v>S116</v>
      </c>
      <c r="D1245" s="7" t="str">
        <f>IFERROR(__xludf.DUMMYFUNCTION("""COMPUTED_VALUE"""),"Database Replication, Sharding &amp; Partitioning")</f>
        <v>Database Replication, Sharding &amp; Partitioning</v>
      </c>
    </row>
    <row r="1246">
      <c r="A1246" s="7" t="str">
        <f>IFERROR(__xludf.DUMMYFUNCTION("""COMPUTED_VALUE"""),"R33")</f>
        <v>R33</v>
      </c>
      <c r="B1246" s="7" t="str">
        <f>IFERROR(__xludf.DUMMYFUNCTION("""COMPUTED_VALUE"""),"Tech Lead")</f>
        <v>Tech Lead</v>
      </c>
      <c r="C1246" s="7" t="str">
        <f>IFERROR(__xludf.DUMMYFUNCTION("""COMPUTED_VALUE"""),"S120")</f>
        <v>S120</v>
      </c>
      <c r="D1246" s="7" t="str">
        <f>IFERROR(__xludf.DUMMYFUNCTION("""COMPUTED_VALUE"""),"Key-Value Stores &amp; In-Memory DBs (Redis, Memcached)")</f>
        <v>Key-Value Stores &amp; In-Memory DBs (Redis, Memcached)</v>
      </c>
    </row>
    <row r="1247">
      <c r="A1247" s="7" t="str">
        <f>IFERROR(__xludf.DUMMYFUNCTION("""COMPUTED_VALUE"""),"R33")</f>
        <v>R33</v>
      </c>
      <c r="B1247" s="7" t="str">
        <f>IFERROR(__xludf.DUMMYFUNCTION("""COMPUTED_VALUE"""),"Tech Lead")</f>
        <v>Tech Lead</v>
      </c>
      <c r="C1247" s="7" t="str">
        <f>IFERROR(__xludf.DUMMYFUNCTION("""COMPUTED_VALUE"""),"S171")</f>
        <v>S171</v>
      </c>
      <c r="D1247" s="7" t="str">
        <f>IFERROR(__xludf.DUMMYFUNCTION("""COMPUTED_VALUE"""),"Containerization with Docker")</f>
        <v>Containerization with Docker</v>
      </c>
    </row>
    <row r="1248">
      <c r="A1248" s="7" t="str">
        <f>IFERROR(__xludf.DUMMYFUNCTION("""COMPUTED_VALUE"""),"R33")</f>
        <v>R33</v>
      </c>
      <c r="B1248" s="7" t="str">
        <f>IFERROR(__xludf.DUMMYFUNCTION("""COMPUTED_VALUE"""),"Tech Lead")</f>
        <v>Tech Lead</v>
      </c>
      <c r="C1248" s="7" t="str">
        <f>IFERROR(__xludf.DUMMYFUNCTION("""COMPUTED_VALUE"""),"S172")</f>
        <v>S172</v>
      </c>
      <c r="D1248" s="7" t="str">
        <f>IFERROR(__xludf.DUMMYFUNCTION("""COMPUTED_VALUE"""),"Kubernetes Cluster Orchestration (K8s)")</f>
        <v>Kubernetes Cluster Orchestration (K8s)</v>
      </c>
    </row>
    <row r="1249">
      <c r="A1249" s="7" t="str">
        <f>IFERROR(__xludf.DUMMYFUNCTION("""COMPUTED_VALUE"""),"R33")</f>
        <v>R33</v>
      </c>
      <c r="B1249" s="7" t="str">
        <f>IFERROR(__xludf.DUMMYFUNCTION("""COMPUTED_VALUE"""),"Tech Lead")</f>
        <v>Tech Lead</v>
      </c>
      <c r="C1249" s="7" t="str">
        <f>IFERROR(__xludf.DUMMYFUNCTION("""COMPUTED_VALUE"""),"S174")</f>
        <v>S174</v>
      </c>
      <c r="D1249" s="7" t="str">
        <f>IFERROR(__xludf.DUMMYFUNCTION("""COMPUTED_VALUE"""),"Amazon Web Services Core (EC2, S3, RDS, IAM, VPC)")</f>
        <v>Amazon Web Services Core (EC2, S3, RDS, IAM, VPC)</v>
      </c>
    </row>
    <row r="1250">
      <c r="A1250" s="7" t="str">
        <f>IFERROR(__xludf.DUMMYFUNCTION("""COMPUTED_VALUE"""),"R33")</f>
        <v>R33</v>
      </c>
      <c r="B1250" s="7" t="str">
        <f>IFERROR(__xludf.DUMMYFUNCTION("""COMPUTED_VALUE"""),"Tech Lead")</f>
        <v>Tech Lead</v>
      </c>
      <c r="C1250" s="7" t="str">
        <f>IFERROR(__xludf.DUMMYFUNCTION("""COMPUTED_VALUE"""),"S178")</f>
        <v>S178</v>
      </c>
      <c r="D1250" s="7" t="str">
        <f>IFERROR(__xludf.DUMMYFUNCTION("""COMPUTED_VALUE"""),"Infrastructure as Code (Terraform &amp; OpenTofu)")</f>
        <v>Infrastructure as Code (Terraform &amp; OpenTofu)</v>
      </c>
    </row>
    <row r="1251">
      <c r="A1251" s="7" t="str">
        <f>IFERROR(__xludf.DUMMYFUNCTION("""COMPUTED_VALUE"""),"R33")</f>
        <v>R33</v>
      </c>
      <c r="B1251" s="7" t="str">
        <f>IFERROR(__xludf.DUMMYFUNCTION("""COMPUTED_VALUE"""),"Tech Lead")</f>
        <v>Tech Lead</v>
      </c>
      <c r="C1251" s="7" t="str">
        <f>IFERROR(__xludf.DUMMYFUNCTION("""COMPUTED_VALUE"""),"S180")</f>
        <v>S180</v>
      </c>
      <c r="D1251" s="7" t="str">
        <f>IFERROR(__xludf.DUMMYFUNCTION("""COMPUTED_VALUE"""),"CI/CD Pipelines with GitHub Actions")</f>
        <v>CI/CD Pipelines with GitHub Actions</v>
      </c>
    </row>
    <row r="1252">
      <c r="A1252" s="7" t="str">
        <f>IFERROR(__xludf.DUMMYFUNCTION("""COMPUTED_VALUE"""),"R33")</f>
        <v>R33</v>
      </c>
      <c r="B1252" s="7" t="str">
        <f>IFERROR(__xludf.DUMMYFUNCTION("""COMPUTED_VALUE"""),"Tech Lead")</f>
        <v>Tech Lead</v>
      </c>
      <c r="C1252" s="7" t="str">
        <f>IFERROR(__xludf.DUMMYFUNCTION("""COMPUTED_VALUE"""),"S184")</f>
        <v>S184</v>
      </c>
      <c r="D1252" s="7" t="str">
        <f>IFERROR(__xludf.DUMMYFUNCTION("""COMPUTED_VALUE"""),"Infrastructure &amp; Metrics Monitoring (Prometheus &amp; Grafana)")</f>
        <v>Infrastructure &amp; Metrics Monitoring (Prometheus &amp; Grafana)</v>
      </c>
    </row>
    <row r="1253">
      <c r="A1253" s="7" t="str">
        <f>IFERROR(__xludf.DUMMYFUNCTION("""COMPUTED_VALUE"""),"R33")</f>
        <v>R33</v>
      </c>
      <c r="B1253" s="7" t="str">
        <f>IFERROR(__xludf.DUMMYFUNCTION("""COMPUTED_VALUE"""),"Tech Lead")</f>
        <v>Tech Lead</v>
      </c>
      <c r="C1253" s="7" t="str">
        <f>IFERROR(__xludf.DUMMYFUNCTION("""COMPUTED_VALUE"""),"S185")</f>
        <v>S185</v>
      </c>
      <c r="D1253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254">
      <c r="A1254" s="7" t="str">
        <f>IFERROR(__xludf.DUMMYFUNCTION("""COMPUTED_VALUE"""),"R33")</f>
        <v>R33</v>
      </c>
      <c r="B1254" s="7" t="str">
        <f>IFERROR(__xludf.DUMMYFUNCTION("""COMPUTED_VALUE"""),"Tech Lead")</f>
        <v>Tech Lead</v>
      </c>
      <c r="C1254" s="7" t="str">
        <f>IFERROR(__xludf.DUMMYFUNCTION("""COMPUTED_VALUE"""),"S186")</f>
        <v>S186</v>
      </c>
      <c r="D1254" s="7" t="str">
        <f>IFERROR(__xludf.DUMMYFUNCTION("""COMPUTED_VALUE"""),"Site Reliability Engineering (SLIs, SLOs, SLAs &amp; Error Budgets)")</f>
        <v>Site Reliability Engineering (SLIs, SLOs, SLAs &amp; Error Budgets)</v>
      </c>
    </row>
    <row r="1255">
      <c r="A1255" s="7" t="str">
        <f>IFERROR(__xludf.DUMMYFUNCTION("""COMPUTED_VALUE"""),"R33")</f>
        <v>R33</v>
      </c>
      <c r="B1255" s="7" t="str">
        <f>IFERROR(__xludf.DUMMYFUNCTION("""COMPUTED_VALUE"""),"Tech Lead")</f>
        <v>Tech Lead</v>
      </c>
      <c r="C1255" s="7" t="str">
        <f>IFERROR(__xludf.DUMMYFUNCTION("""COMPUTED_VALUE"""),"S200")</f>
        <v>S200</v>
      </c>
      <c r="D1255" s="7" t="str">
        <f>IFERROR(__xludf.DUMMYFUNCTION("""COMPUTED_VALUE"""),"Web Application Security &amp; OWASP Top 10")</f>
        <v>Web Application Security &amp; OWASP Top 10</v>
      </c>
    </row>
    <row r="1256">
      <c r="A1256" s="7" t="str">
        <f>IFERROR(__xludf.DUMMYFUNCTION("""COMPUTED_VALUE"""),"R33")</f>
        <v>R33</v>
      </c>
      <c r="B1256" s="7" t="str">
        <f>IFERROR(__xludf.DUMMYFUNCTION("""COMPUTED_VALUE"""),"Tech Lead")</f>
        <v>Tech Lead</v>
      </c>
      <c r="C1256" s="7" t="str">
        <f>IFERROR(__xludf.DUMMYFUNCTION("""COMPUTED_VALUE"""),"S219")</f>
        <v>S219</v>
      </c>
      <c r="D1256" s="7" t="str">
        <f>IFERROR(__xludf.DUMMYFUNCTION("""COMPUTED_VALUE"""),"Secure Coding Practices &amp; Threat Mitigation")</f>
        <v>Secure Coding Practices &amp; Threat Mitigation</v>
      </c>
    </row>
    <row r="1257">
      <c r="A1257" s="7" t="str">
        <f>IFERROR(__xludf.DUMMYFUNCTION("""COMPUTED_VALUE"""),"R33")</f>
        <v>R33</v>
      </c>
      <c r="B1257" s="7" t="str">
        <f>IFERROR(__xludf.DUMMYFUNCTION("""COMPUTED_VALUE"""),"Tech Lead")</f>
        <v>Tech Lead</v>
      </c>
      <c r="C1257" s="7" t="str">
        <f>IFERROR(__xludf.DUMMYFUNCTION("""COMPUTED_VALUE"""),"S243")</f>
        <v>S243</v>
      </c>
      <c r="D1257" s="7" t="str">
        <f>IFERROR(__xludf.DUMMYFUNCTION("""COMPUTED_VALUE"""),"Large-Scale System Design &amp; High-Scalability Architecture")</f>
        <v>Large-Scale System Design &amp; High-Scalability Architecture</v>
      </c>
    </row>
    <row r="1258">
      <c r="A1258" s="7" t="str">
        <f>IFERROR(__xludf.DUMMYFUNCTION("""COMPUTED_VALUE"""),"R33")</f>
        <v>R33</v>
      </c>
      <c r="B1258" s="7" t="str">
        <f>IFERROR(__xludf.DUMMYFUNCTION("""COMPUTED_VALUE"""),"Tech Lead")</f>
        <v>Tech Lead</v>
      </c>
      <c r="C1258" s="7" t="str">
        <f>IFERROR(__xludf.DUMMYFUNCTION("""COMPUTED_VALUE"""),"S244")</f>
        <v>S244</v>
      </c>
      <c r="D1258" s="7" t="str">
        <f>IFERROR(__xludf.DUMMYFUNCTION("""COMPUTED_VALUE"""),"Distributed Systems Theory (CAP Theorem, Consensus, Raft/Paxos)")</f>
        <v>Distributed Systems Theory (CAP Theorem, Consensus, Raft/Paxos)</v>
      </c>
    </row>
    <row r="1259">
      <c r="A1259" s="7" t="str">
        <f>IFERROR(__xludf.DUMMYFUNCTION("""COMPUTED_VALUE"""),"R33")</f>
        <v>R33</v>
      </c>
      <c r="B1259" s="7" t="str">
        <f>IFERROR(__xludf.DUMMYFUNCTION("""COMPUTED_VALUE"""),"Tech Lead")</f>
        <v>Tech Lead</v>
      </c>
      <c r="C1259" s="7" t="str">
        <f>IFERROR(__xludf.DUMMYFUNCTION("""COMPUTED_VALUE"""),"S246")</f>
        <v>S246</v>
      </c>
      <c r="D1259" s="7" t="str">
        <f>IFERROR(__xludf.DUMMYFUNCTION("""COMPUTED_VALUE"""),"Agile Methodologies, Scrum Framework &amp; Kanban")</f>
        <v>Agile Methodologies, Scrum Framework &amp; Kanban</v>
      </c>
    </row>
    <row r="1260">
      <c r="A1260" s="7" t="str">
        <f>IFERROR(__xludf.DUMMYFUNCTION("""COMPUTED_VALUE"""),"R33")</f>
        <v>R33</v>
      </c>
      <c r="B1260" s="7" t="str">
        <f>IFERROR(__xludf.DUMMYFUNCTION("""COMPUTED_VALUE"""),"Tech Lead")</f>
        <v>Tech Lead</v>
      </c>
      <c r="C1260" s="7" t="str">
        <f>IFERROR(__xludf.DUMMYFUNCTION("""COMPUTED_VALUE"""),"S247")</f>
        <v>S247</v>
      </c>
      <c r="D1260" s="7" t="str">
        <f>IFERROR(__xludf.DUMMYFUNCTION("""COMPUTED_VALUE"""),"Project Tracking &amp; Documentation Tools (Jira, Confluence, Linear)")</f>
        <v>Project Tracking &amp; Documentation Tools (Jira, Confluence, Linear)</v>
      </c>
    </row>
    <row r="1261">
      <c r="A1261" s="7" t="str">
        <f>IFERROR(__xludf.DUMMYFUNCTION("""COMPUTED_VALUE"""),"R33")</f>
        <v>R33</v>
      </c>
      <c r="B1261" s="7" t="str">
        <f>IFERROR(__xludf.DUMMYFUNCTION("""COMPUTED_VALUE"""),"Tech Lead")</f>
        <v>Tech Lead</v>
      </c>
      <c r="C1261" s="7" t="str">
        <f>IFERROR(__xludf.DUMMYFUNCTION("""COMPUTED_VALUE"""),"S248")</f>
        <v>S248</v>
      </c>
      <c r="D1261" s="7" t="str">
        <f>IFERROR(__xludf.DUMMYFUNCTION("""COMPUTED_VALUE"""),"Product Management, Roadmapping &amp; User Story Mapping")</f>
        <v>Product Management, Roadmapping &amp; User Story Mapping</v>
      </c>
    </row>
    <row r="1262">
      <c r="A1262" s="7" t="str">
        <f>IFERROR(__xludf.DUMMYFUNCTION("""COMPUTED_VALUE"""),"R33")</f>
        <v>R33</v>
      </c>
      <c r="B1262" s="7" t="str">
        <f>IFERROR(__xludf.DUMMYFUNCTION("""COMPUTED_VALUE"""),"Tech Lead")</f>
        <v>Tech Lead</v>
      </c>
      <c r="C1262" s="7" t="str">
        <f>IFERROR(__xludf.DUMMYFUNCTION("""COMPUTED_VALUE"""),"S249")</f>
        <v>S249</v>
      </c>
      <c r="D1262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263">
      <c r="A1263" s="7" t="str">
        <f>IFERROR(__xludf.DUMMYFUNCTION("""COMPUTED_VALUE"""),"R33")</f>
        <v>R33</v>
      </c>
      <c r="B1263" s="7" t="str">
        <f>IFERROR(__xludf.DUMMYFUNCTION("""COMPUTED_VALUE"""),"Tech Lead")</f>
        <v>Tech Lead</v>
      </c>
      <c r="C1263" s="7" t="str">
        <f>IFERROR(__xludf.DUMMYFUNCTION("""COMPUTED_VALUE"""),"S250")</f>
        <v>S250</v>
      </c>
      <c r="D1263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264">
      <c r="A1264" s="7" t="str">
        <f>IFERROR(__xludf.DUMMYFUNCTION("""COMPUTED_VALUE"""),"R34")</f>
        <v>R34</v>
      </c>
      <c r="B1264" s="7" t="str">
        <f>IFERROR(__xludf.DUMMYFUNCTION("""COMPUTED_VALUE"""),"Software Architect")</f>
        <v>Software Architect</v>
      </c>
      <c r="C1264" s="7" t="str">
        <f>IFERROR(__xludf.DUMMYFUNCTION("""COMPUTED_VALUE"""),"S001")</f>
        <v>S001</v>
      </c>
      <c r="D1264" s="7" t="str">
        <f>IFERROR(__xludf.DUMMYFUNCTION("""COMPUTED_VALUE"""),"Computer Architecture &amp; Organization")</f>
        <v>Computer Architecture &amp; Organization</v>
      </c>
    </row>
    <row r="1265">
      <c r="A1265" s="7" t="str">
        <f>IFERROR(__xludf.DUMMYFUNCTION("""COMPUTED_VALUE"""),"R34")</f>
        <v>R34</v>
      </c>
      <c r="B1265" s="7" t="str">
        <f>IFERROR(__xludf.DUMMYFUNCTION("""COMPUTED_VALUE"""),"Software Architect")</f>
        <v>Software Architect</v>
      </c>
      <c r="C1265" s="7" t="str">
        <f>IFERROR(__xludf.DUMMYFUNCTION("""COMPUTED_VALUE"""),"S002")</f>
        <v>S002</v>
      </c>
      <c r="D1265" s="7" t="str">
        <f>IFERROR(__xludf.DUMMYFUNCTION("""COMPUTED_VALUE"""),"Operating Systems Concepts")</f>
        <v>Operating Systems Concepts</v>
      </c>
    </row>
    <row r="1266">
      <c r="A1266" s="7" t="str">
        <f>IFERROR(__xludf.DUMMYFUNCTION("""COMPUTED_VALUE"""),"R34")</f>
        <v>R34</v>
      </c>
      <c r="B1266" s="7" t="str">
        <f>IFERROR(__xludf.DUMMYFUNCTION("""COMPUTED_VALUE"""),"Software Architect")</f>
        <v>Software Architect</v>
      </c>
      <c r="C1266" s="7" t="str">
        <f>IFERROR(__xludf.DUMMYFUNCTION("""COMPUTED_VALUE"""),"S003")</f>
        <v>S003</v>
      </c>
      <c r="D1266" s="7" t="str">
        <f>IFERROR(__xludf.DUMMYFUNCTION("""COMPUTED_VALUE"""),"Process &amp; Thread Management")</f>
        <v>Process &amp; Thread Management</v>
      </c>
    </row>
    <row r="1267">
      <c r="A1267" s="7" t="str">
        <f>IFERROR(__xludf.DUMMYFUNCTION("""COMPUTED_VALUE"""),"R34")</f>
        <v>R34</v>
      </c>
      <c r="B1267" s="7" t="str">
        <f>IFERROR(__xludf.DUMMYFUNCTION("""COMPUTED_VALUE"""),"Software Architect")</f>
        <v>Software Architect</v>
      </c>
      <c r="C1267" s="7" t="str">
        <f>IFERROR(__xludf.DUMMYFUNCTION("""COMPUTED_VALUE"""),"S004")</f>
        <v>S004</v>
      </c>
      <c r="D1267" s="7" t="str">
        <f>IFERROR(__xludf.DUMMYFUNCTION("""COMPUTED_VALUE"""),"Memory Management &amp; Paging")</f>
        <v>Memory Management &amp; Paging</v>
      </c>
    </row>
    <row r="1268">
      <c r="A1268" s="7" t="str">
        <f>IFERROR(__xludf.DUMMYFUNCTION("""COMPUTED_VALUE"""),"R34")</f>
        <v>R34</v>
      </c>
      <c r="B1268" s="7" t="str">
        <f>IFERROR(__xludf.DUMMYFUNCTION("""COMPUTED_VALUE"""),"Software Architect")</f>
        <v>Software Architect</v>
      </c>
      <c r="C1268" s="7" t="str">
        <f>IFERROR(__xludf.DUMMYFUNCTION("""COMPUTED_VALUE"""),"S006")</f>
        <v>S006</v>
      </c>
      <c r="D1268" s="7" t="str">
        <f>IFERROR(__xludf.DUMMYFUNCTION("""COMPUTED_VALUE"""),"Basic Data Structures (Arrays, Lists, Stacks, Queues)")</f>
        <v>Basic Data Structures (Arrays, Lists, Stacks, Queues)</v>
      </c>
    </row>
    <row r="1269">
      <c r="A1269" s="7" t="str">
        <f>IFERROR(__xludf.DUMMYFUNCTION("""COMPUTED_VALUE"""),"R34")</f>
        <v>R34</v>
      </c>
      <c r="B1269" s="7" t="str">
        <f>IFERROR(__xludf.DUMMYFUNCTION("""COMPUTED_VALUE"""),"Software Architect")</f>
        <v>Software Architect</v>
      </c>
      <c r="C1269" s="7" t="str">
        <f>IFERROR(__xludf.DUMMYFUNCTION("""COMPUTED_VALUE"""),"S007")</f>
        <v>S007</v>
      </c>
      <c r="D1269" s="7" t="str">
        <f>IFERROR(__xludf.DUMMYFUNCTION("""COMPUTED_VALUE"""),"Trees &amp; Binary Search Trees")</f>
        <v>Trees &amp; Binary Search Trees</v>
      </c>
    </row>
    <row r="1270">
      <c r="A1270" s="7" t="str">
        <f>IFERROR(__xludf.DUMMYFUNCTION("""COMPUTED_VALUE"""),"R34")</f>
        <v>R34</v>
      </c>
      <c r="B1270" s="7" t="str">
        <f>IFERROR(__xludf.DUMMYFUNCTION("""COMPUTED_VALUE"""),"Software Architect")</f>
        <v>Software Architect</v>
      </c>
      <c r="C1270" s="7" t="str">
        <f>IFERROR(__xludf.DUMMYFUNCTION("""COMPUTED_VALUE"""),"S008")</f>
        <v>S008</v>
      </c>
      <c r="D1270" s="7" t="str">
        <f>IFERROR(__xludf.DUMMYFUNCTION("""COMPUTED_VALUE"""),"Heaps, Priority Queues &amp; Hashing")</f>
        <v>Heaps, Priority Queues &amp; Hashing</v>
      </c>
    </row>
    <row r="1271">
      <c r="A1271" s="7" t="str">
        <f>IFERROR(__xludf.DUMMYFUNCTION("""COMPUTED_VALUE"""),"R34")</f>
        <v>R34</v>
      </c>
      <c r="B1271" s="7" t="str">
        <f>IFERROR(__xludf.DUMMYFUNCTION("""COMPUTED_VALUE"""),"Software Architect")</f>
        <v>Software Architect</v>
      </c>
      <c r="C1271" s="7" t="str">
        <f>IFERROR(__xludf.DUMMYFUNCTION("""COMPUTED_VALUE"""),"S009")</f>
        <v>S009</v>
      </c>
      <c r="D1271" s="7" t="str">
        <f>IFERROR(__xludf.DUMMYFUNCTION("""COMPUTED_VALUE"""),"Graphs &amp; Graph Traversal (BFS/DFS)")</f>
        <v>Graphs &amp; Graph Traversal (BFS/DFS)</v>
      </c>
    </row>
    <row r="1272">
      <c r="A1272" s="7" t="str">
        <f>IFERROR(__xludf.DUMMYFUNCTION("""COMPUTED_VALUE"""),"R34")</f>
        <v>R34</v>
      </c>
      <c r="B1272" s="7" t="str">
        <f>IFERROR(__xludf.DUMMYFUNCTION("""COMPUTED_VALUE"""),"Software Architect")</f>
        <v>Software Architect</v>
      </c>
      <c r="C1272" s="7" t="str">
        <f>IFERROR(__xludf.DUMMYFUNCTION("""COMPUTED_VALUE"""),"S010")</f>
        <v>S010</v>
      </c>
      <c r="D1272" s="7" t="str">
        <f>IFERROR(__xludf.DUMMYFUNCTION("""COMPUTED_VALUE"""),"Sorting &amp; Searching Algorithms")</f>
        <v>Sorting &amp; Searching Algorithms</v>
      </c>
    </row>
    <row r="1273">
      <c r="A1273" s="7" t="str">
        <f>IFERROR(__xludf.DUMMYFUNCTION("""COMPUTED_VALUE"""),"R34")</f>
        <v>R34</v>
      </c>
      <c r="B1273" s="7" t="str">
        <f>IFERROR(__xludf.DUMMYFUNCTION("""COMPUTED_VALUE"""),"Software Architect")</f>
        <v>Software Architect</v>
      </c>
      <c r="C1273" s="7" t="str">
        <f>IFERROR(__xludf.DUMMYFUNCTION("""COMPUTED_VALUE"""),"S011")</f>
        <v>S011</v>
      </c>
      <c r="D1273" s="7" t="str">
        <f>IFERROR(__xludf.DUMMYFUNCTION("""COMPUTED_VALUE"""),"Dynamic Programming &amp; Greedy Algorithms")</f>
        <v>Dynamic Programming &amp; Greedy Algorithms</v>
      </c>
    </row>
    <row r="1274">
      <c r="A1274" s="7" t="str">
        <f>IFERROR(__xludf.DUMMYFUNCTION("""COMPUTED_VALUE"""),"R34")</f>
        <v>R34</v>
      </c>
      <c r="B1274" s="7" t="str">
        <f>IFERROR(__xludf.DUMMYFUNCTION("""COMPUTED_VALUE"""),"Software Architect")</f>
        <v>Software Architect</v>
      </c>
      <c r="C1274" s="7" t="str">
        <f>IFERROR(__xludf.DUMMYFUNCTION("""COMPUTED_VALUE"""),"S012")</f>
        <v>S012</v>
      </c>
      <c r="D1274" s="7" t="str">
        <f>IFERROR(__xludf.DUMMYFUNCTION("""COMPUTED_VALUE"""),"Time &amp; Space Complexity (Big-O Analysis)")</f>
        <v>Time &amp; Space Complexity (Big-O Analysis)</v>
      </c>
    </row>
    <row r="1275">
      <c r="A1275" s="7" t="str">
        <f>IFERROR(__xludf.DUMMYFUNCTION("""COMPUTED_VALUE"""),"R34")</f>
        <v>R34</v>
      </c>
      <c r="B1275" s="7" t="str">
        <f>IFERROR(__xludf.DUMMYFUNCTION("""COMPUTED_VALUE"""),"Software Architect")</f>
        <v>Software Architect</v>
      </c>
      <c r="C1275" s="7" t="str">
        <f>IFERROR(__xludf.DUMMYFUNCTION("""COMPUTED_VALUE"""),"S013")</f>
        <v>S013</v>
      </c>
      <c r="D1275" s="7" t="str">
        <f>IFERROR(__xludf.DUMMYFUNCTION("""COMPUTED_VALUE"""),"Object-Oriented Programming (OOP)")</f>
        <v>Object-Oriented Programming (OOP)</v>
      </c>
    </row>
    <row r="1276">
      <c r="A1276" s="7" t="str">
        <f>IFERROR(__xludf.DUMMYFUNCTION("""COMPUTED_VALUE"""),"R34")</f>
        <v>R34</v>
      </c>
      <c r="B1276" s="7" t="str">
        <f>IFERROR(__xludf.DUMMYFUNCTION("""COMPUTED_VALUE"""),"Software Architect")</f>
        <v>Software Architect</v>
      </c>
      <c r="C1276" s="7" t="str">
        <f>IFERROR(__xludf.DUMMYFUNCTION("""COMPUTED_VALUE"""),"S014")</f>
        <v>S014</v>
      </c>
      <c r="D1276" s="7" t="str">
        <f>IFERROR(__xludf.DUMMYFUNCTION("""COMPUTED_VALUE"""),"Functional Programming Concepts")</f>
        <v>Functional Programming Concepts</v>
      </c>
    </row>
    <row r="1277">
      <c r="A1277" s="7" t="str">
        <f>IFERROR(__xludf.DUMMYFUNCTION("""COMPUTED_VALUE"""),"R34")</f>
        <v>R34</v>
      </c>
      <c r="B1277" s="7" t="str">
        <f>IFERROR(__xludf.DUMMYFUNCTION("""COMPUTED_VALUE"""),"Software Architect")</f>
        <v>Software Architect</v>
      </c>
      <c r="C1277" s="7" t="str">
        <f>IFERROR(__xludf.DUMMYFUNCTION("""COMPUTED_VALUE"""),"S015")</f>
        <v>S015</v>
      </c>
      <c r="D1277" s="7" t="str">
        <f>IFERROR(__xludf.DUMMYFUNCTION("""COMPUTED_VALUE"""),"Software Design Patterns (GoF)")</f>
        <v>Software Design Patterns (GoF)</v>
      </c>
    </row>
    <row r="1278">
      <c r="A1278" s="7" t="str">
        <f>IFERROR(__xludf.DUMMYFUNCTION("""COMPUTED_VALUE"""),"R34")</f>
        <v>R34</v>
      </c>
      <c r="B1278" s="7" t="str">
        <f>IFERROR(__xludf.DUMMYFUNCTION("""COMPUTED_VALUE"""),"Software Architect")</f>
        <v>Software Architect</v>
      </c>
      <c r="C1278" s="7" t="str">
        <f>IFERROR(__xludf.DUMMYFUNCTION("""COMPUTED_VALUE"""),"S016")</f>
        <v>S016</v>
      </c>
      <c r="D1278" s="7" t="str">
        <f>IFERROR(__xludf.DUMMYFUNCTION("""COMPUTED_VALUE"""),"SOLID Principles &amp; Clean Code")</f>
        <v>SOLID Principles &amp; Clean Code</v>
      </c>
    </row>
    <row r="1279">
      <c r="A1279" s="7" t="str">
        <f>IFERROR(__xludf.DUMMYFUNCTION("""COMPUTED_VALUE"""),"R34")</f>
        <v>R34</v>
      </c>
      <c r="B1279" s="7" t="str">
        <f>IFERROR(__xludf.DUMMYFUNCTION("""COMPUTED_VALUE"""),"Software Architect")</f>
        <v>Software Architect</v>
      </c>
      <c r="C1279" s="7" t="str">
        <f>IFERROR(__xludf.DUMMYFUNCTION("""COMPUTED_VALUE"""),"S017")</f>
        <v>S017</v>
      </c>
      <c r="D1279" s="7" t="str">
        <f>IFERROR(__xludf.DUMMYFUNCTION("""COMPUTED_VALUE"""),"Git Version Control Fundamentals")</f>
        <v>Git Version Control Fundamentals</v>
      </c>
    </row>
    <row r="1280">
      <c r="A1280" s="7" t="str">
        <f>IFERROR(__xludf.DUMMYFUNCTION("""COMPUTED_VALUE"""),"R34")</f>
        <v>R34</v>
      </c>
      <c r="B1280" s="7" t="str">
        <f>IFERROR(__xludf.DUMMYFUNCTION("""COMPUTED_VALUE"""),"Software Architect")</f>
        <v>Software Architect</v>
      </c>
      <c r="C1280" s="7" t="str">
        <f>IFERROR(__xludf.DUMMYFUNCTION("""COMPUTED_VALUE"""),"S018")</f>
        <v>S018</v>
      </c>
      <c r="D1280" s="7" t="str">
        <f>IFERROR(__xludf.DUMMYFUNCTION("""COMPUTED_VALUE"""),"GitHub / GitLab Workflows &amp; Pull Requests")</f>
        <v>GitHub / GitLab Workflows &amp; Pull Requests</v>
      </c>
    </row>
    <row r="1281">
      <c r="A1281" s="7" t="str">
        <f>IFERROR(__xludf.DUMMYFUNCTION("""COMPUTED_VALUE"""),"R34")</f>
        <v>R34</v>
      </c>
      <c r="B1281" s="7" t="str">
        <f>IFERROR(__xludf.DUMMYFUNCTION("""COMPUTED_VALUE"""),"Software Architect")</f>
        <v>Software Architect</v>
      </c>
      <c r="C1281" s="7" t="str">
        <f>IFERROR(__xludf.DUMMYFUNCTION("""COMPUTED_VALUE"""),"S019")</f>
        <v>S019</v>
      </c>
      <c r="D1281" s="7" t="str">
        <f>IFERROR(__xludf.DUMMYFUNCTION("""COMPUTED_VALUE"""),"Linux Command Line &amp; File Permissions")</f>
        <v>Linux Command Line &amp; File Permissions</v>
      </c>
    </row>
    <row r="1282">
      <c r="A1282" s="7" t="str">
        <f>IFERROR(__xludf.DUMMYFUNCTION("""COMPUTED_VALUE"""),"R34")</f>
        <v>R34</v>
      </c>
      <c r="B1282" s="7" t="str">
        <f>IFERROR(__xludf.DUMMYFUNCTION("""COMPUTED_VALUE"""),"Software Architect")</f>
        <v>Software Architect</v>
      </c>
      <c r="C1282" s="7" t="str">
        <f>IFERROR(__xludf.DUMMYFUNCTION("""COMPUTED_VALUE"""),"S022")</f>
        <v>S022</v>
      </c>
      <c r="D1282" s="7" t="str">
        <f>IFERROR(__xludf.DUMMYFUNCTION("""COMPUTED_VALUE"""),"Computer Networking &amp; OSI Model")</f>
        <v>Computer Networking &amp; OSI Model</v>
      </c>
    </row>
    <row r="1283">
      <c r="A1283" s="7" t="str">
        <f>IFERROR(__xludf.DUMMYFUNCTION("""COMPUTED_VALUE"""),"R34")</f>
        <v>R34</v>
      </c>
      <c r="B1283" s="7" t="str">
        <f>IFERROR(__xludf.DUMMYFUNCTION("""COMPUTED_VALUE"""),"Software Architect")</f>
        <v>Software Architect</v>
      </c>
      <c r="C1283" s="7" t="str">
        <f>IFERROR(__xludf.DUMMYFUNCTION("""COMPUTED_VALUE"""),"S023")</f>
        <v>S023</v>
      </c>
      <c r="D1283" s="7" t="str">
        <f>IFERROR(__xludf.DUMMYFUNCTION("""COMPUTED_VALUE"""),"HTTP/HTTPS Protocols &amp; Status Codes")</f>
        <v>HTTP/HTTPS Protocols &amp; Status Codes</v>
      </c>
    </row>
    <row r="1284">
      <c r="A1284" s="7" t="str">
        <f>IFERROR(__xludf.DUMMYFUNCTION("""COMPUTED_VALUE"""),"R34")</f>
        <v>R34</v>
      </c>
      <c r="B1284" s="7" t="str">
        <f>IFERROR(__xludf.DUMMYFUNCTION("""COMPUTED_VALUE"""),"Software Architect")</f>
        <v>Software Architect</v>
      </c>
      <c r="C1284" s="7" t="str">
        <f>IFERROR(__xludf.DUMMYFUNCTION("""COMPUTED_VALUE"""),"S024")</f>
        <v>S024</v>
      </c>
      <c r="D1284" s="7" t="str">
        <f>IFERROR(__xludf.DUMMYFUNCTION("""COMPUTED_VALUE"""),"DNS, Domain Routing &amp; SSL/TLS")</f>
        <v>DNS, Domain Routing &amp; SSL/TLS</v>
      </c>
    </row>
    <row r="1285">
      <c r="A1285" s="7" t="str">
        <f>IFERROR(__xludf.DUMMYFUNCTION("""COMPUTED_VALUE"""),"R34")</f>
        <v>R34</v>
      </c>
      <c r="B1285" s="7" t="str">
        <f>IFERROR(__xludf.DUMMYFUNCTION("""COMPUTED_VALUE"""),"Software Architect")</f>
        <v>Software Architect</v>
      </c>
      <c r="C1285" s="7" t="str">
        <f>IFERROR(__xludf.DUMMYFUNCTION("""COMPUTED_VALUE"""),"S026")</f>
        <v>S026</v>
      </c>
      <c r="D1285" s="7" t="str">
        <f>IFERROR(__xludf.DUMMYFUNCTION("""COMPUTED_VALUE"""),"Data Serialization (JSON, XML, YAML, Protobuf)")</f>
        <v>Data Serialization (JSON, XML, YAML, Protobuf)</v>
      </c>
    </row>
    <row r="1286">
      <c r="A1286" s="7" t="str">
        <f>IFERROR(__xludf.DUMMYFUNCTION("""COMPUTED_VALUE"""),"R34")</f>
        <v>R34</v>
      </c>
      <c r="B1286" s="7" t="str">
        <f>IFERROR(__xludf.DUMMYFUNCTION("""COMPUTED_VALUE"""),"Software Architect")</f>
        <v>Software Architect</v>
      </c>
      <c r="C1286" s="7" t="str">
        <f>IFERROR(__xludf.DUMMYFUNCTION("""COMPUTED_VALUE"""),"S028")</f>
        <v>S028</v>
      </c>
      <c r="D1286" s="7" t="str">
        <f>IFERROR(__xludf.DUMMYFUNCTION("""COMPUTED_VALUE"""),"Technical Writing &amp; Markdown Documentation")</f>
        <v>Technical Writing &amp; Markdown Documentation</v>
      </c>
    </row>
    <row r="1287">
      <c r="A1287" s="7" t="str">
        <f>IFERROR(__xludf.DUMMYFUNCTION("""COMPUTED_VALUE"""),"R34")</f>
        <v>R34</v>
      </c>
      <c r="B1287" s="7" t="str">
        <f>IFERROR(__xludf.DUMMYFUNCTION("""COMPUTED_VALUE"""),"Software Architect")</f>
        <v>Software Architect</v>
      </c>
      <c r="C1287" s="7" t="str">
        <f>IFERROR(__xludf.DUMMYFUNCTION("""COMPUTED_VALUE"""),"S029")</f>
        <v>S029</v>
      </c>
      <c r="D1287" s="7" t="str">
        <f>IFERROR(__xludf.DUMMYFUNCTION("""COMPUTED_VALUE"""),"Debugging, Profiling &amp; Root Cause Analysis")</f>
        <v>Debugging, Profiling &amp; Root Cause Analysis</v>
      </c>
    </row>
    <row r="1288">
      <c r="A1288" s="7" t="str">
        <f>IFERROR(__xludf.DUMMYFUNCTION("""COMPUTED_VALUE"""),"R34")</f>
        <v>R34</v>
      </c>
      <c r="B1288" s="7" t="str">
        <f>IFERROR(__xludf.DUMMYFUNCTION("""COMPUTED_VALUE"""),"Software Architect")</f>
        <v>Software Architect</v>
      </c>
      <c r="C1288" s="7" t="str">
        <f>IFERROR(__xludf.DUMMYFUNCTION("""COMPUTED_VALUE"""),"S034")</f>
        <v>S034</v>
      </c>
      <c r="D1288" s="7" t="str">
        <f>IFERROR(__xludf.DUMMYFUNCTION("""COMPUTED_VALUE"""),"JavaScript Fundamentals (ES6+)")</f>
        <v>JavaScript Fundamentals (ES6+)</v>
      </c>
    </row>
    <row r="1289">
      <c r="A1289" s="7" t="str">
        <f>IFERROR(__xludf.DUMMYFUNCTION("""COMPUTED_VALUE"""),"R34")</f>
        <v>R34</v>
      </c>
      <c r="B1289" s="7" t="str">
        <f>IFERROR(__xludf.DUMMYFUNCTION("""COMPUTED_VALUE"""),"Software Architect")</f>
        <v>Software Architect</v>
      </c>
      <c r="C1289" s="7" t="str">
        <f>IFERROR(__xludf.DUMMYFUNCTION("""COMPUTED_VALUE"""),"S038")</f>
        <v>S038</v>
      </c>
      <c r="D1289" s="7" t="str">
        <f>IFERROR(__xludf.DUMMYFUNCTION("""COMPUTED_VALUE"""),"TypeScript &amp; Static Typing")</f>
        <v>TypeScript &amp; Static Typing</v>
      </c>
    </row>
    <row r="1290">
      <c r="A1290" s="7" t="str">
        <f>IFERROR(__xludf.DUMMYFUNCTION("""COMPUTED_VALUE"""),"R34")</f>
        <v>R34</v>
      </c>
      <c r="B1290" s="7" t="str">
        <f>IFERROR(__xludf.DUMMYFUNCTION("""COMPUTED_VALUE"""),"Software Architect")</f>
        <v>Software Architect</v>
      </c>
      <c r="C1290" s="7" t="str">
        <f>IFERROR(__xludf.DUMMYFUNCTION("""COMPUTED_VALUE"""),"S039")</f>
        <v>S039</v>
      </c>
      <c r="D1290" s="7" t="str">
        <f>IFERROR(__xludf.DUMMYFUNCTION("""COMPUTED_VALUE"""),"React.js &amp; Hooks Architecture")</f>
        <v>React.js &amp; Hooks Architecture</v>
      </c>
    </row>
    <row r="1291">
      <c r="A1291" s="7" t="str">
        <f>IFERROR(__xludf.DUMMYFUNCTION("""COMPUTED_VALUE"""),"R34")</f>
        <v>R34</v>
      </c>
      <c r="B1291" s="7" t="str">
        <f>IFERROR(__xludf.DUMMYFUNCTION("""COMPUTED_VALUE"""),"Software Architect")</f>
        <v>Software Architect</v>
      </c>
      <c r="C1291" s="7" t="str">
        <f>IFERROR(__xludf.DUMMYFUNCTION("""COMPUTED_VALUE"""),"S056")</f>
        <v>S056</v>
      </c>
      <c r="D1291" s="7" t="str">
        <f>IFERROR(__xludf.DUMMYFUNCTION("""COMPUTED_VALUE"""),"Micro-Frontends Architecture")</f>
        <v>Micro-Frontends Architecture</v>
      </c>
    </row>
    <row r="1292">
      <c r="A1292" s="7" t="str">
        <f>IFERROR(__xludf.DUMMYFUNCTION("""COMPUTED_VALUE"""),"R34")</f>
        <v>R34</v>
      </c>
      <c r="B1292" s="7" t="str">
        <f>IFERROR(__xludf.DUMMYFUNCTION("""COMPUTED_VALUE"""),"Software Architect")</f>
        <v>Software Architect</v>
      </c>
      <c r="C1292" s="7" t="str">
        <f>IFERROR(__xludf.DUMMYFUNCTION("""COMPUTED_VALUE"""),"S066")</f>
        <v>S066</v>
      </c>
      <c r="D1292" s="7" t="str">
        <f>IFERROR(__xludf.DUMMYFUNCTION("""COMPUTED_VALUE"""),"Java Programming &amp; JVM Internals")</f>
        <v>Java Programming &amp; JVM Internals</v>
      </c>
    </row>
    <row r="1293">
      <c r="A1293" s="7" t="str">
        <f>IFERROR(__xludf.DUMMYFUNCTION("""COMPUTED_VALUE"""),"R34")</f>
        <v>R34</v>
      </c>
      <c r="B1293" s="7" t="str">
        <f>IFERROR(__xludf.DUMMYFUNCTION("""COMPUTED_VALUE"""),"Software Architect")</f>
        <v>Software Architect</v>
      </c>
      <c r="C1293" s="7" t="str">
        <f>IFERROR(__xludf.DUMMYFUNCTION("""COMPUTED_VALUE"""),"S067")</f>
        <v>S067</v>
      </c>
      <c r="D1293" s="7" t="str">
        <f>IFERROR(__xludf.DUMMYFUNCTION("""COMPUTED_VALUE"""),"Spring Framework &amp; Spring Boot")</f>
        <v>Spring Framework &amp; Spring Boot</v>
      </c>
    </row>
    <row r="1294">
      <c r="A1294" s="7" t="str">
        <f>IFERROR(__xludf.DUMMYFUNCTION("""COMPUTED_VALUE"""),"R34")</f>
        <v>R34</v>
      </c>
      <c r="B1294" s="7" t="str">
        <f>IFERROR(__xludf.DUMMYFUNCTION("""COMPUTED_VALUE"""),"Software Architect")</f>
        <v>Software Architect</v>
      </c>
      <c r="C1294" s="7" t="str">
        <f>IFERROR(__xludf.DUMMYFUNCTION("""COMPUTED_VALUE"""),"S068")</f>
        <v>S068</v>
      </c>
      <c r="D1294" s="7" t="str">
        <f>IFERROR(__xludf.DUMMYFUNCTION("""COMPUTED_VALUE"""),"Python Programming Fundamentals")</f>
        <v>Python Programming Fundamentals</v>
      </c>
    </row>
    <row r="1295">
      <c r="A1295" s="7" t="str">
        <f>IFERROR(__xludf.DUMMYFUNCTION("""COMPUTED_VALUE"""),"R34")</f>
        <v>R34</v>
      </c>
      <c r="B1295" s="7" t="str">
        <f>IFERROR(__xludf.DUMMYFUNCTION("""COMPUTED_VALUE"""),"Software Architect")</f>
        <v>Software Architect</v>
      </c>
      <c r="C1295" s="7" t="str">
        <f>IFERROR(__xludf.DUMMYFUNCTION("""COMPUTED_VALUE"""),"S072")</f>
        <v>S072</v>
      </c>
      <c r="D1295" s="7" t="str">
        <f>IFERROR(__xludf.DUMMYFUNCTION("""COMPUTED_VALUE"""),"Node.js Runtime &amp; Event Loop")</f>
        <v>Node.js Runtime &amp; Event Loop</v>
      </c>
    </row>
    <row r="1296">
      <c r="A1296" s="7" t="str">
        <f>IFERROR(__xludf.DUMMYFUNCTION("""COMPUTED_VALUE"""),"R34")</f>
        <v>R34</v>
      </c>
      <c r="B1296" s="7" t="str">
        <f>IFERROR(__xludf.DUMMYFUNCTION("""COMPUTED_VALUE"""),"Software Architect")</f>
        <v>Software Architect</v>
      </c>
      <c r="C1296" s="7" t="str">
        <f>IFERROR(__xludf.DUMMYFUNCTION("""COMPUTED_VALUE"""),"S075")</f>
        <v>S075</v>
      </c>
      <c r="D1296" s="7" t="str">
        <f>IFERROR(__xludf.DUMMYFUNCTION("""COMPUTED_VALUE"""),"C# &amp; .NET Runtime")</f>
        <v>C# &amp; .NET Runtime</v>
      </c>
    </row>
    <row r="1297">
      <c r="A1297" s="7" t="str">
        <f>IFERROR(__xludf.DUMMYFUNCTION("""COMPUTED_VALUE"""),"R34")</f>
        <v>R34</v>
      </c>
      <c r="B1297" s="7" t="str">
        <f>IFERROR(__xludf.DUMMYFUNCTION("""COMPUTED_VALUE"""),"Software Architect")</f>
        <v>Software Architect</v>
      </c>
      <c r="C1297" s="7" t="str">
        <f>IFERROR(__xludf.DUMMYFUNCTION("""COMPUTED_VALUE"""),"S077")</f>
        <v>S077</v>
      </c>
      <c r="D1297" s="7" t="str">
        <f>IFERROR(__xludf.DUMMYFUNCTION("""COMPUTED_VALUE"""),"Go (Golang) Programming")</f>
        <v>Go (Golang) Programming</v>
      </c>
    </row>
    <row r="1298">
      <c r="A1298" s="7" t="str">
        <f>IFERROR(__xludf.DUMMYFUNCTION("""COMPUTED_VALUE"""),"R34")</f>
        <v>R34</v>
      </c>
      <c r="B1298" s="7" t="str">
        <f>IFERROR(__xludf.DUMMYFUNCTION("""COMPUTED_VALUE"""),"Software Architect")</f>
        <v>Software Architect</v>
      </c>
      <c r="C1298" s="7" t="str">
        <f>IFERROR(__xludf.DUMMYFUNCTION("""COMPUTED_VALUE"""),"S086")</f>
        <v>S086</v>
      </c>
      <c r="D1298" s="7" t="str">
        <f>IFERROR(__xludf.DUMMYFUNCTION("""COMPUTED_VALUE"""),"RESTful API Design &amp; OpenAPI/Swagger")</f>
        <v>RESTful API Design &amp; OpenAPI/Swagger</v>
      </c>
    </row>
    <row r="1299">
      <c r="A1299" s="7" t="str">
        <f>IFERROR(__xludf.DUMMYFUNCTION("""COMPUTED_VALUE"""),"R34")</f>
        <v>R34</v>
      </c>
      <c r="B1299" s="7" t="str">
        <f>IFERROR(__xludf.DUMMYFUNCTION("""COMPUTED_VALUE"""),"Software Architect")</f>
        <v>Software Architect</v>
      </c>
      <c r="C1299" s="7" t="str">
        <f>IFERROR(__xludf.DUMMYFUNCTION("""COMPUTED_VALUE"""),"S087")</f>
        <v>S087</v>
      </c>
      <c r="D1299" s="7" t="str">
        <f>IFERROR(__xludf.DUMMYFUNCTION("""COMPUTED_VALUE"""),"GraphQL Schema &amp; Resolvers (Apollo)")</f>
        <v>GraphQL Schema &amp; Resolvers (Apollo)</v>
      </c>
    </row>
    <row r="1300">
      <c r="A1300" s="7" t="str">
        <f>IFERROR(__xludf.DUMMYFUNCTION("""COMPUTED_VALUE"""),"R34")</f>
        <v>R34</v>
      </c>
      <c r="B1300" s="7" t="str">
        <f>IFERROR(__xludf.DUMMYFUNCTION("""COMPUTED_VALUE"""),"Software Architect")</f>
        <v>Software Architect</v>
      </c>
      <c r="C1300" s="7" t="str">
        <f>IFERROR(__xludf.DUMMYFUNCTION("""COMPUTED_VALUE"""),"S088")</f>
        <v>S088</v>
      </c>
      <c r="D1300" s="7" t="str">
        <f>IFERROR(__xludf.DUMMYFUNCTION("""COMPUTED_VALUE"""),"gRPC &amp; Protocol Buffers")</f>
        <v>gRPC &amp; Protocol Buffers</v>
      </c>
    </row>
    <row r="1301">
      <c r="A1301" s="7" t="str">
        <f>IFERROR(__xludf.DUMMYFUNCTION("""COMPUTED_VALUE"""),"R34")</f>
        <v>R34</v>
      </c>
      <c r="B1301" s="7" t="str">
        <f>IFERROR(__xludf.DUMMYFUNCTION("""COMPUTED_VALUE"""),"Software Architect")</f>
        <v>Software Architect</v>
      </c>
      <c r="C1301" s="7" t="str">
        <f>IFERROR(__xludf.DUMMYFUNCTION("""COMPUTED_VALUE"""),"S089")</f>
        <v>S089</v>
      </c>
      <c r="D1301" s="7" t="str">
        <f>IFERROR(__xludf.DUMMYFUNCTION("""COMPUTED_VALUE"""),"WebSockets &amp; Real-Time Communication (Socket.io)")</f>
        <v>WebSockets &amp; Real-Time Communication (Socket.io)</v>
      </c>
    </row>
    <row r="1302">
      <c r="A1302" s="7" t="str">
        <f>IFERROR(__xludf.DUMMYFUNCTION("""COMPUTED_VALUE"""),"R34")</f>
        <v>R34</v>
      </c>
      <c r="B1302" s="7" t="str">
        <f>IFERROR(__xludf.DUMMYFUNCTION("""COMPUTED_VALUE"""),"Software Architect")</f>
        <v>Software Architect</v>
      </c>
      <c r="C1302" s="7" t="str">
        <f>IFERROR(__xludf.DUMMYFUNCTION("""COMPUTED_VALUE"""),"S091")</f>
        <v>S091</v>
      </c>
      <c r="D1302" s="7" t="str">
        <f>IFERROR(__xludf.DUMMYFUNCTION("""COMPUTED_VALUE"""),"Authentication &amp; Session Management (JWT, Cookies)")</f>
        <v>Authentication &amp; Session Management (JWT, Cookies)</v>
      </c>
    </row>
    <row r="1303">
      <c r="A1303" s="7" t="str">
        <f>IFERROR(__xludf.DUMMYFUNCTION("""COMPUTED_VALUE"""),"R34")</f>
        <v>R34</v>
      </c>
      <c r="B1303" s="7" t="str">
        <f>IFERROR(__xludf.DUMMYFUNCTION("""COMPUTED_VALUE"""),"Software Architect")</f>
        <v>Software Architect</v>
      </c>
      <c r="C1303" s="7" t="str">
        <f>IFERROR(__xludf.DUMMYFUNCTION("""COMPUTED_VALUE"""),"S092")</f>
        <v>S092</v>
      </c>
      <c r="D1303" s="7" t="str">
        <f>IFERROR(__xludf.DUMMYFUNCTION("""COMPUTED_VALUE"""),"OAuth 2.0, OpenID Connect (OIDC) &amp; SSO")</f>
        <v>OAuth 2.0, OpenID Connect (OIDC) &amp; SSO</v>
      </c>
    </row>
    <row r="1304">
      <c r="A1304" s="7" t="str">
        <f>IFERROR(__xludf.DUMMYFUNCTION("""COMPUTED_VALUE"""),"R34")</f>
        <v>R34</v>
      </c>
      <c r="B1304" s="7" t="str">
        <f>IFERROR(__xludf.DUMMYFUNCTION("""COMPUTED_VALUE"""),"Software Architect")</f>
        <v>Software Architect</v>
      </c>
      <c r="C1304" s="7" t="str">
        <f>IFERROR(__xludf.DUMMYFUNCTION("""COMPUTED_VALUE"""),"S093")</f>
        <v>S093</v>
      </c>
      <c r="D1304" s="7" t="str">
        <f>IFERROR(__xludf.DUMMYFUNCTION("""COMPUTED_VALUE"""),"Role-Based &amp; Attribute-Based Access Control (RBAC/ABAC)")</f>
        <v>Role-Based &amp; Attribute-Based Access Control (RBAC/ABAC)</v>
      </c>
    </row>
    <row r="1305">
      <c r="A1305" s="7" t="str">
        <f>IFERROR(__xludf.DUMMYFUNCTION("""COMPUTED_VALUE"""),"R34")</f>
        <v>R34</v>
      </c>
      <c r="B1305" s="7" t="str">
        <f>IFERROR(__xludf.DUMMYFUNCTION("""COMPUTED_VALUE"""),"Software Architect")</f>
        <v>Software Architect</v>
      </c>
      <c r="C1305" s="7" t="str">
        <f>IFERROR(__xludf.DUMMYFUNCTION("""COMPUTED_VALUE"""),"S094")</f>
        <v>S094</v>
      </c>
      <c r="D1305" s="7" t="str">
        <f>IFERROR(__xludf.DUMMYFUNCTION("""COMPUTED_VALUE"""),"API Gateways, Rate Limiting &amp; Throttling (Kong, Envoy)")</f>
        <v>API Gateways, Rate Limiting &amp; Throttling (Kong, Envoy)</v>
      </c>
    </row>
    <row r="1306">
      <c r="A1306" s="7" t="str">
        <f>IFERROR(__xludf.DUMMYFUNCTION("""COMPUTED_VALUE"""),"R34")</f>
        <v>R34</v>
      </c>
      <c r="B1306" s="7" t="str">
        <f>IFERROR(__xludf.DUMMYFUNCTION("""COMPUTED_VALUE"""),"Software Architect")</f>
        <v>Software Architect</v>
      </c>
      <c r="C1306" s="7" t="str">
        <f>IFERROR(__xludf.DUMMYFUNCTION("""COMPUTED_VALUE"""),"S095")</f>
        <v>S095</v>
      </c>
      <c r="D1306" s="7" t="str">
        <f>IFERROR(__xludf.DUMMYFUNCTION("""COMPUTED_VALUE"""),"Microservices Architecture &amp; Service Mesh")</f>
        <v>Microservices Architecture &amp; Service Mesh</v>
      </c>
    </row>
    <row r="1307">
      <c r="A1307" s="7" t="str">
        <f>IFERROR(__xludf.DUMMYFUNCTION("""COMPUTED_VALUE"""),"R34")</f>
        <v>R34</v>
      </c>
      <c r="B1307" s="7" t="str">
        <f>IFERROR(__xludf.DUMMYFUNCTION("""COMPUTED_VALUE"""),"Software Architect")</f>
        <v>Software Architect</v>
      </c>
      <c r="C1307" s="7" t="str">
        <f>IFERROR(__xludf.DUMMYFUNCTION("""COMPUTED_VALUE"""),"S096")</f>
        <v>S096</v>
      </c>
      <c r="D1307" s="7" t="str">
        <f>IFERROR(__xludf.DUMMYFUNCTION("""COMPUTED_VALUE"""),"Event-Driven Architecture &amp; Pub/Sub Patterns")</f>
        <v>Event-Driven Architecture &amp; Pub/Sub Patterns</v>
      </c>
    </row>
    <row r="1308">
      <c r="A1308" s="7" t="str">
        <f>IFERROR(__xludf.DUMMYFUNCTION("""COMPUTED_VALUE"""),"R34")</f>
        <v>R34</v>
      </c>
      <c r="B1308" s="7" t="str">
        <f>IFERROR(__xludf.DUMMYFUNCTION("""COMPUTED_VALUE"""),"Software Architect")</f>
        <v>Software Architect</v>
      </c>
      <c r="C1308" s="7" t="str">
        <f>IFERROR(__xludf.DUMMYFUNCTION("""COMPUTED_VALUE"""),"S097")</f>
        <v>S097</v>
      </c>
      <c r="D1308" s="7" t="str">
        <f>IFERROR(__xludf.DUMMYFUNCTION("""COMPUTED_VALUE"""),"Message Brokers &amp; Queues (RabbitMQ, ActiveMQ)")</f>
        <v>Message Brokers &amp; Queues (RabbitMQ, ActiveMQ)</v>
      </c>
    </row>
    <row r="1309">
      <c r="A1309" s="7" t="str">
        <f>IFERROR(__xludf.DUMMYFUNCTION("""COMPUTED_VALUE"""),"R34")</f>
        <v>R34</v>
      </c>
      <c r="B1309" s="7" t="str">
        <f>IFERROR(__xludf.DUMMYFUNCTION("""COMPUTED_VALUE"""),"Software Architect")</f>
        <v>Software Architect</v>
      </c>
      <c r="C1309" s="7" t="str">
        <f>IFERROR(__xludf.DUMMYFUNCTION("""COMPUTED_VALUE"""),"S098")</f>
        <v>S098</v>
      </c>
      <c r="D1309" s="7" t="str">
        <f>IFERROR(__xludf.DUMMYFUNCTION("""COMPUTED_VALUE"""),"Distributed Event Streaming (Apache Kafka)")</f>
        <v>Distributed Event Streaming (Apache Kafka)</v>
      </c>
    </row>
    <row r="1310">
      <c r="A1310" s="7" t="str">
        <f>IFERROR(__xludf.DUMMYFUNCTION("""COMPUTED_VALUE"""),"R34")</f>
        <v>R34</v>
      </c>
      <c r="B1310" s="7" t="str">
        <f>IFERROR(__xludf.DUMMYFUNCTION("""COMPUTED_VALUE"""),"Software Architect")</f>
        <v>Software Architect</v>
      </c>
      <c r="C1310" s="7" t="str">
        <f>IFERROR(__xludf.DUMMYFUNCTION("""COMPUTED_VALUE"""),"S099")</f>
        <v>S099</v>
      </c>
      <c r="D1310" s="7" t="str">
        <f>IFERROR(__xludf.DUMMYFUNCTION("""COMPUTED_VALUE"""),"Backend Caching Strategies (In-Memory, CDN, Write-Through)")</f>
        <v>Backend Caching Strategies (In-Memory, CDN, Write-Through)</v>
      </c>
    </row>
    <row r="1311">
      <c r="A1311" s="7" t="str">
        <f>IFERROR(__xludf.DUMMYFUNCTION("""COMPUTED_VALUE"""),"R34")</f>
        <v>R34</v>
      </c>
      <c r="B1311" s="7" t="str">
        <f>IFERROR(__xludf.DUMMYFUNCTION("""COMPUTED_VALUE"""),"Software Architect")</f>
        <v>Software Architect</v>
      </c>
      <c r="C1311" s="7" t="str">
        <f>IFERROR(__xludf.DUMMYFUNCTION("""COMPUTED_VALUE"""),"S100")</f>
        <v>S100</v>
      </c>
      <c r="D1311" s="7" t="str">
        <f>IFERROR(__xludf.DUMMYFUNCTION("""COMPUTED_VALUE"""),"Multithreading, Concurrency &amp; Parallel Processing")</f>
        <v>Multithreading, Concurrency &amp; Parallel Processing</v>
      </c>
    </row>
    <row r="1312">
      <c r="A1312" s="7" t="str">
        <f>IFERROR(__xludf.DUMMYFUNCTION("""COMPUTED_VALUE"""),"R34")</f>
        <v>R34</v>
      </c>
      <c r="B1312" s="7" t="str">
        <f>IFERROR(__xludf.DUMMYFUNCTION("""COMPUTED_VALUE"""),"Software Architect")</f>
        <v>Software Architect</v>
      </c>
      <c r="C1312" s="7" t="str">
        <f>IFERROR(__xludf.DUMMYFUNCTION("""COMPUTED_VALUE"""),"S105")</f>
        <v>S105</v>
      </c>
      <c r="D1312" s="7" t="str">
        <f>IFERROR(__xludf.DUMMYFUNCTION("""COMPUTED_VALUE"""),"Search Engines &amp; Full-Text Search (Elasticsearch, Algolia)")</f>
        <v>Search Engines &amp; Full-Text Search (Elasticsearch, Algolia)</v>
      </c>
    </row>
    <row r="1313">
      <c r="A1313" s="7" t="str">
        <f>IFERROR(__xludf.DUMMYFUNCTION("""COMPUTED_VALUE"""),"R34")</f>
        <v>R34</v>
      </c>
      <c r="B1313" s="7" t="str">
        <f>IFERROR(__xludf.DUMMYFUNCTION("""COMPUTED_VALUE"""),"Software Architect")</f>
        <v>Software Architect</v>
      </c>
      <c r="C1313" s="7" t="str">
        <f>IFERROR(__xludf.DUMMYFUNCTION("""COMPUTED_VALUE"""),"S106")</f>
        <v>S106</v>
      </c>
      <c r="D1313" s="7" t="str">
        <f>IFERROR(__xludf.DUMMYFUNCTION("""COMPUTED_VALUE"""),"Relational Database Design &amp; Normalization (1NF-3NF)")</f>
        <v>Relational Database Design &amp; Normalization (1NF-3NF)</v>
      </c>
    </row>
    <row r="1314">
      <c r="A1314" s="7" t="str">
        <f>IFERROR(__xludf.DUMMYFUNCTION("""COMPUTED_VALUE"""),"R34")</f>
        <v>R34</v>
      </c>
      <c r="B1314" s="7" t="str">
        <f>IFERROR(__xludf.DUMMYFUNCTION("""COMPUTED_VALUE"""),"Software Architect")</f>
        <v>Software Architect</v>
      </c>
      <c r="C1314" s="7" t="str">
        <f>IFERROR(__xludf.DUMMYFUNCTION("""COMPUTED_VALUE"""),"S107")</f>
        <v>S107</v>
      </c>
      <c r="D1314" s="7" t="str">
        <f>IFERROR(__xludf.DUMMYFUNCTION("""COMPUTED_VALUE"""),"SQL Querying (Joins, Aggregations, Subqueries)")</f>
        <v>SQL Querying (Joins, Aggregations, Subqueries)</v>
      </c>
    </row>
    <row r="1315">
      <c r="A1315" s="7" t="str">
        <f>IFERROR(__xludf.DUMMYFUNCTION("""COMPUTED_VALUE"""),"R34")</f>
        <v>R34</v>
      </c>
      <c r="B1315" s="7" t="str">
        <f>IFERROR(__xludf.DUMMYFUNCTION("""COMPUTED_VALUE"""),"Software Architect")</f>
        <v>Software Architect</v>
      </c>
      <c r="C1315" s="7" t="str">
        <f>IFERROR(__xludf.DUMMYFUNCTION("""COMPUTED_VALUE"""),"S109")</f>
        <v>S109</v>
      </c>
      <c r="D1315" s="7" t="str">
        <f>IFERROR(__xludf.DUMMYFUNCTION("""COMPUTED_VALUE"""),"PostgreSQL Administration &amp; Development")</f>
        <v>PostgreSQL Administration &amp; Development</v>
      </c>
    </row>
    <row r="1316">
      <c r="A1316" s="7" t="str">
        <f>IFERROR(__xludf.DUMMYFUNCTION("""COMPUTED_VALUE"""),"R34")</f>
        <v>R34</v>
      </c>
      <c r="B1316" s="7" t="str">
        <f>IFERROR(__xludf.DUMMYFUNCTION("""COMPUTED_VALUE"""),"Software Architect")</f>
        <v>Software Architect</v>
      </c>
      <c r="C1316" s="7" t="str">
        <f>IFERROR(__xludf.DUMMYFUNCTION("""COMPUTED_VALUE"""),"S114")</f>
        <v>S114</v>
      </c>
      <c r="D1316" s="7" t="str">
        <f>IFERROR(__xludf.DUMMYFUNCTION("""COMPUTED_VALUE"""),"Database Indexing, Query Plans &amp; Optimization")</f>
        <v>Database Indexing, Query Plans &amp; Optimization</v>
      </c>
    </row>
    <row r="1317">
      <c r="A1317" s="7" t="str">
        <f>IFERROR(__xludf.DUMMYFUNCTION("""COMPUTED_VALUE"""),"R34")</f>
        <v>R34</v>
      </c>
      <c r="B1317" s="7" t="str">
        <f>IFERROR(__xludf.DUMMYFUNCTION("""COMPUTED_VALUE"""),"Software Architect")</f>
        <v>Software Architect</v>
      </c>
      <c r="C1317" s="7" t="str">
        <f>IFERROR(__xludf.DUMMYFUNCTION("""COMPUTED_VALUE"""),"S115")</f>
        <v>S115</v>
      </c>
      <c r="D1317" s="7" t="str">
        <f>IFERROR(__xludf.DUMMYFUNCTION("""COMPUTED_VALUE"""),"ACID Transactions, Locking &amp; Isolation Levels")</f>
        <v>ACID Transactions, Locking &amp; Isolation Levels</v>
      </c>
    </row>
    <row r="1318">
      <c r="A1318" s="7" t="str">
        <f>IFERROR(__xludf.DUMMYFUNCTION("""COMPUTED_VALUE"""),"R34")</f>
        <v>R34</v>
      </c>
      <c r="B1318" s="7" t="str">
        <f>IFERROR(__xludf.DUMMYFUNCTION("""COMPUTED_VALUE"""),"Software Architect")</f>
        <v>Software Architect</v>
      </c>
      <c r="C1318" s="7" t="str">
        <f>IFERROR(__xludf.DUMMYFUNCTION("""COMPUTED_VALUE"""),"S116")</f>
        <v>S116</v>
      </c>
      <c r="D1318" s="7" t="str">
        <f>IFERROR(__xludf.DUMMYFUNCTION("""COMPUTED_VALUE"""),"Database Replication, Sharding &amp; Partitioning")</f>
        <v>Database Replication, Sharding &amp; Partitioning</v>
      </c>
    </row>
    <row r="1319">
      <c r="A1319" s="7" t="str">
        <f>IFERROR(__xludf.DUMMYFUNCTION("""COMPUTED_VALUE"""),"R34")</f>
        <v>R34</v>
      </c>
      <c r="B1319" s="7" t="str">
        <f>IFERROR(__xludf.DUMMYFUNCTION("""COMPUTED_VALUE"""),"Software Architect")</f>
        <v>Software Architect</v>
      </c>
      <c r="C1319" s="7" t="str">
        <f>IFERROR(__xludf.DUMMYFUNCTION("""COMPUTED_VALUE"""),"S119")</f>
        <v>S119</v>
      </c>
      <c r="D1319" s="7" t="str">
        <f>IFERROR(__xludf.DUMMYFUNCTION("""COMPUTED_VALUE"""),"Document Databases (MongoDB)")</f>
        <v>Document Databases (MongoDB)</v>
      </c>
    </row>
    <row r="1320">
      <c r="A1320" s="7" t="str">
        <f>IFERROR(__xludf.DUMMYFUNCTION("""COMPUTED_VALUE"""),"R34")</f>
        <v>R34</v>
      </c>
      <c r="B1320" s="7" t="str">
        <f>IFERROR(__xludf.DUMMYFUNCTION("""COMPUTED_VALUE"""),"Software Architect")</f>
        <v>Software Architect</v>
      </c>
      <c r="C1320" s="7" t="str">
        <f>IFERROR(__xludf.DUMMYFUNCTION("""COMPUTED_VALUE"""),"S120")</f>
        <v>S120</v>
      </c>
      <c r="D1320" s="7" t="str">
        <f>IFERROR(__xludf.DUMMYFUNCTION("""COMPUTED_VALUE"""),"Key-Value Stores &amp; In-Memory DBs (Redis, Memcached)")</f>
        <v>Key-Value Stores &amp; In-Memory DBs (Redis, Memcached)</v>
      </c>
    </row>
    <row r="1321">
      <c r="A1321" s="7" t="str">
        <f>IFERROR(__xludf.DUMMYFUNCTION("""COMPUTED_VALUE"""),"R34")</f>
        <v>R34</v>
      </c>
      <c r="B1321" s="7" t="str">
        <f>IFERROR(__xludf.DUMMYFUNCTION("""COMPUTED_VALUE"""),"Software Architect")</f>
        <v>Software Architect</v>
      </c>
      <c r="C1321" s="7" t="str">
        <f>IFERROR(__xludf.DUMMYFUNCTION("""COMPUTED_VALUE"""),"S121")</f>
        <v>S121</v>
      </c>
      <c r="D1321" s="7" t="str">
        <f>IFERROR(__xludf.DUMMYFUNCTION("""COMPUTED_VALUE"""),"Wide-Column Stores (Apache Cassandra, ScyllaDB)")</f>
        <v>Wide-Column Stores (Apache Cassandra, ScyllaDB)</v>
      </c>
    </row>
    <row r="1322">
      <c r="A1322" s="7" t="str">
        <f>IFERROR(__xludf.DUMMYFUNCTION("""COMPUTED_VALUE"""),"R34")</f>
        <v>R34</v>
      </c>
      <c r="B1322" s="7" t="str">
        <f>IFERROR(__xludf.DUMMYFUNCTION("""COMPUTED_VALUE"""),"Software Architect")</f>
        <v>Software Architect</v>
      </c>
      <c r="C1322" s="7" t="str">
        <f>IFERROR(__xludf.DUMMYFUNCTION("""COMPUTED_VALUE"""),"S171")</f>
        <v>S171</v>
      </c>
      <c r="D1322" s="7" t="str">
        <f>IFERROR(__xludf.DUMMYFUNCTION("""COMPUTED_VALUE"""),"Containerization with Docker")</f>
        <v>Containerization with Docker</v>
      </c>
    </row>
    <row r="1323">
      <c r="A1323" s="7" t="str">
        <f>IFERROR(__xludf.DUMMYFUNCTION("""COMPUTED_VALUE"""),"R34")</f>
        <v>R34</v>
      </c>
      <c r="B1323" s="7" t="str">
        <f>IFERROR(__xludf.DUMMYFUNCTION("""COMPUTED_VALUE"""),"Software Architect")</f>
        <v>Software Architect</v>
      </c>
      <c r="C1323" s="7" t="str">
        <f>IFERROR(__xludf.DUMMYFUNCTION("""COMPUTED_VALUE"""),"S172")</f>
        <v>S172</v>
      </c>
      <c r="D1323" s="7" t="str">
        <f>IFERROR(__xludf.DUMMYFUNCTION("""COMPUTED_VALUE"""),"Kubernetes Cluster Orchestration (K8s)")</f>
        <v>Kubernetes Cluster Orchestration (K8s)</v>
      </c>
    </row>
    <row r="1324">
      <c r="A1324" s="7" t="str">
        <f>IFERROR(__xludf.DUMMYFUNCTION("""COMPUTED_VALUE"""),"R34")</f>
        <v>R34</v>
      </c>
      <c r="B1324" s="7" t="str">
        <f>IFERROR(__xludf.DUMMYFUNCTION("""COMPUTED_VALUE"""),"Software Architect")</f>
        <v>Software Architect</v>
      </c>
      <c r="C1324" s="7" t="str">
        <f>IFERROR(__xludf.DUMMYFUNCTION("""COMPUTED_VALUE"""),"S174")</f>
        <v>S174</v>
      </c>
      <c r="D1324" s="7" t="str">
        <f>IFERROR(__xludf.DUMMYFUNCTION("""COMPUTED_VALUE"""),"Amazon Web Services Core (EC2, S3, RDS, IAM, VPC)")</f>
        <v>Amazon Web Services Core (EC2, S3, RDS, IAM, VPC)</v>
      </c>
    </row>
    <row r="1325">
      <c r="A1325" s="7" t="str">
        <f>IFERROR(__xludf.DUMMYFUNCTION("""COMPUTED_VALUE"""),"R34")</f>
        <v>R34</v>
      </c>
      <c r="B1325" s="7" t="str">
        <f>IFERROR(__xludf.DUMMYFUNCTION("""COMPUTED_VALUE"""),"Software Architect")</f>
        <v>Software Architect</v>
      </c>
      <c r="C1325" s="7" t="str">
        <f>IFERROR(__xludf.DUMMYFUNCTION("""COMPUTED_VALUE"""),"S178")</f>
        <v>S178</v>
      </c>
      <c r="D1325" s="7" t="str">
        <f>IFERROR(__xludf.DUMMYFUNCTION("""COMPUTED_VALUE"""),"Infrastructure as Code (Terraform &amp; OpenTofu)")</f>
        <v>Infrastructure as Code (Terraform &amp; OpenTofu)</v>
      </c>
    </row>
    <row r="1326">
      <c r="A1326" s="7" t="str">
        <f>IFERROR(__xludf.DUMMYFUNCTION("""COMPUTED_VALUE"""),"R34")</f>
        <v>R34</v>
      </c>
      <c r="B1326" s="7" t="str">
        <f>IFERROR(__xludf.DUMMYFUNCTION("""COMPUTED_VALUE"""),"Software Architect")</f>
        <v>Software Architect</v>
      </c>
      <c r="C1326" s="7" t="str">
        <f>IFERROR(__xludf.DUMMYFUNCTION("""COMPUTED_VALUE"""),"S180")</f>
        <v>S180</v>
      </c>
      <c r="D1326" s="7" t="str">
        <f>IFERROR(__xludf.DUMMYFUNCTION("""COMPUTED_VALUE"""),"CI/CD Pipelines with GitHub Actions")</f>
        <v>CI/CD Pipelines with GitHub Actions</v>
      </c>
    </row>
    <row r="1327">
      <c r="A1327" s="7" t="str">
        <f>IFERROR(__xludf.DUMMYFUNCTION("""COMPUTED_VALUE"""),"R34")</f>
        <v>R34</v>
      </c>
      <c r="B1327" s="7" t="str">
        <f>IFERROR(__xludf.DUMMYFUNCTION("""COMPUTED_VALUE"""),"Software Architect")</f>
        <v>Software Architect</v>
      </c>
      <c r="C1327" s="7" t="str">
        <f>IFERROR(__xludf.DUMMYFUNCTION("""COMPUTED_VALUE"""),"S183")</f>
        <v>S183</v>
      </c>
      <c r="D1327" s="7" t="str">
        <f>IFERROR(__xludf.DUMMYFUNCTION("""COMPUTED_VALUE"""),"Web Servers, Reverse Proxy &amp; Load Balancing (Nginx, HAProxy)")</f>
        <v>Web Servers, Reverse Proxy &amp; Load Balancing (Nginx, HAProxy)</v>
      </c>
    </row>
    <row r="1328">
      <c r="A1328" s="7" t="str">
        <f>IFERROR(__xludf.DUMMYFUNCTION("""COMPUTED_VALUE"""),"R34")</f>
        <v>R34</v>
      </c>
      <c r="B1328" s="7" t="str">
        <f>IFERROR(__xludf.DUMMYFUNCTION("""COMPUTED_VALUE"""),"Software Architect")</f>
        <v>Software Architect</v>
      </c>
      <c r="C1328" s="7" t="str">
        <f>IFERROR(__xludf.DUMMYFUNCTION("""COMPUTED_VALUE"""),"S184")</f>
        <v>S184</v>
      </c>
      <c r="D1328" s="7" t="str">
        <f>IFERROR(__xludf.DUMMYFUNCTION("""COMPUTED_VALUE"""),"Infrastructure &amp; Metrics Monitoring (Prometheus &amp; Grafana)")</f>
        <v>Infrastructure &amp; Metrics Monitoring (Prometheus &amp; Grafana)</v>
      </c>
    </row>
    <row r="1329">
      <c r="A1329" s="7" t="str">
        <f>IFERROR(__xludf.DUMMYFUNCTION("""COMPUTED_VALUE"""),"R34")</f>
        <v>R34</v>
      </c>
      <c r="B1329" s="7" t="str">
        <f>IFERROR(__xludf.DUMMYFUNCTION("""COMPUTED_VALUE"""),"Software Architect")</f>
        <v>Software Architect</v>
      </c>
      <c r="C1329" s="7" t="str">
        <f>IFERROR(__xludf.DUMMYFUNCTION("""COMPUTED_VALUE"""),"S185")</f>
        <v>S185</v>
      </c>
      <c r="D1329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330">
      <c r="A1330" s="7" t="str">
        <f>IFERROR(__xludf.DUMMYFUNCTION("""COMPUTED_VALUE"""),"R34")</f>
        <v>R34</v>
      </c>
      <c r="B1330" s="7" t="str">
        <f>IFERROR(__xludf.DUMMYFUNCTION("""COMPUTED_VALUE"""),"Software Architect")</f>
        <v>Software Architect</v>
      </c>
      <c r="C1330" s="7" t="str">
        <f>IFERROR(__xludf.DUMMYFUNCTION("""COMPUTED_VALUE"""),"S186")</f>
        <v>S186</v>
      </c>
      <c r="D1330" s="7" t="str">
        <f>IFERROR(__xludf.DUMMYFUNCTION("""COMPUTED_VALUE"""),"Site Reliability Engineering (SLIs, SLOs, SLAs &amp; Error Budgets)")</f>
        <v>Site Reliability Engineering (SLIs, SLOs, SLAs &amp; Error Budgets)</v>
      </c>
    </row>
    <row r="1331">
      <c r="A1331" s="7" t="str">
        <f>IFERROR(__xludf.DUMMYFUNCTION("""COMPUTED_VALUE"""),"R34")</f>
        <v>R34</v>
      </c>
      <c r="B1331" s="7" t="str">
        <f>IFERROR(__xludf.DUMMYFUNCTION("""COMPUTED_VALUE"""),"Software Architect")</f>
        <v>Software Architect</v>
      </c>
      <c r="C1331" s="7" t="str">
        <f>IFERROR(__xludf.DUMMYFUNCTION("""COMPUTED_VALUE"""),"S188")</f>
        <v>S188</v>
      </c>
      <c r="D1331" s="7" t="str">
        <f>IFERROR(__xludf.DUMMYFUNCTION("""COMPUTED_VALUE"""),"High Availability, Failover &amp; Disaster Recovery")</f>
        <v>High Availability, Failover &amp; Disaster Recovery</v>
      </c>
    </row>
    <row r="1332">
      <c r="A1332" s="7" t="str">
        <f>IFERROR(__xludf.DUMMYFUNCTION("""COMPUTED_VALUE"""),"R34")</f>
        <v>R34</v>
      </c>
      <c r="B1332" s="7" t="str">
        <f>IFERROR(__xludf.DUMMYFUNCTION("""COMPUTED_VALUE"""),"Software Architect")</f>
        <v>Software Architect</v>
      </c>
      <c r="C1332" s="7" t="str">
        <f>IFERROR(__xludf.DUMMYFUNCTION("""COMPUTED_VALUE"""),"S200")</f>
        <v>S200</v>
      </c>
      <c r="D1332" s="7" t="str">
        <f>IFERROR(__xludf.DUMMYFUNCTION("""COMPUTED_VALUE"""),"Web Application Security &amp; OWASP Top 10")</f>
        <v>Web Application Security &amp; OWASP Top 10</v>
      </c>
    </row>
    <row r="1333">
      <c r="A1333" s="7" t="str">
        <f>IFERROR(__xludf.DUMMYFUNCTION("""COMPUTED_VALUE"""),"R34")</f>
        <v>R34</v>
      </c>
      <c r="B1333" s="7" t="str">
        <f>IFERROR(__xludf.DUMMYFUNCTION("""COMPUTED_VALUE"""),"Software Architect")</f>
        <v>Software Architect</v>
      </c>
      <c r="C1333" s="7" t="str">
        <f>IFERROR(__xludf.DUMMYFUNCTION("""COMPUTED_VALUE"""),"S211")</f>
        <v>S211</v>
      </c>
      <c r="D1333" s="7" t="str">
        <f>IFERROR(__xludf.DUMMYFUNCTION("""COMPUTED_VALUE"""),"Zero Trust Network Architecture")</f>
        <v>Zero Trust Network Architecture</v>
      </c>
    </row>
    <row r="1334">
      <c r="A1334" s="7" t="str">
        <f>IFERROR(__xludf.DUMMYFUNCTION("""COMPUTED_VALUE"""),"R34")</f>
        <v>R34</v>
      </c>
      <c r="B1334" s="7" t="str">
        <f>IFERROR(__xludf.DUMMYFUNCTION("""COMPUTED_VALUE"""),"Software Architect")</f>
        <v>Software Architect</v>
      </c>
      <c r="C1334" s="7" t="str">
        <f>IFERROR(__xludf.DUMMYFUNCTION("""COMPUTED_VALUE"""),"S216")</f>
        <v>S216</v>
      </c>
      <c r="D1334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1335">
      <c r="A1335" s="7" t="str">
        <f>IFERROR(__xludf.DUMMYFUNCTION("""COMPUTED_VALUE"""),"R34")</f>
        <v>R34</v>
      </c>
      <c r="B1335" s="7" t="str">
        <f>IFERROR(__xludf.DUMMYFUNCTION("""COMPUTED_VALUE"""),"Software Architect")</f>
        <v>Software Architect</v>
      </c>
      <c r="C1335" s="7" t="str">
        <f>IFERROR(__xludf.DUMMYFUNCTION("""COMPUTED_VALUE"""),"S219")</f>
        <v>S219</v>
      </c>
      <c r="D1335" s="7" t="str">
        <f>IFERROR(__xludf.DUMMYFUNCTION("""COMPUTED_VALUE"""),"Secure Coding Practices &amp; Threat Mitigation")</f>
        <v>Secure Coding Practices &amp; Threat Mitigation</v>
      </c>
    </row>
    <row r="1336">
      <c r="A1336" s="7" t="str">
        <f>IFERROR(__xludf.DUMMYFUNCTION("""COMPUTED_VALUE"""),"R34")</f>
        <v>R34</v>
      </c>
      <c r="B1336" s="7" t="str">
        <f>IFERROR(__xludf.DUMMYFUNCTION("""COMPUTED_VALUE"""),"Software Architect")</f>
        <v>Software Architect</v>
      </c>
      <c r="C1336" s="7" t="str">
        <f>IFERROR(__xludf.DUMMYFUNCTION("""COMPUTED_VALUE"""),"S243")</f>
        <v>S243</v>
      </c>
      <c r="D1336" s="7" t="str">
        <f>IFERROR(__xludf.DUMMYFUNCTION("""COMPUTED_VALUE"""),"Large-Scale System Design &amp; High-Scalability Architecture")</f>
        <v>Large-Scale System Design &amp; High-Scalability Architecture</v>
      </c>
    </row>
    <row r="1337">
      <c r="A1337" s="7" t="str">
        <f>IFERROR(__xludf.DUMMYFUNCTION("""COMPUTED_VALUE"""),"R34")</f>
        <v>R34</v>
      </c>
      <c r="B1337" s="7" t="str">
        <f>IFERROR(__xludf.DUMMYFUNCTION("""COMPUTED_VALUE"""),"Software Architect")</f>
        <v>Software Architect</v>
      </c>
      <c r="C1337" s="7" t="str">
        <f>IFERROR(__xludf.DUMMYFUNCTION("""COMPUTED_VALUE"""),"S244")</f>
        <v>S244</v>
      </c>
      <c r="D1337" s="7" t="str">
        <f>IFERROR(__xludf.DUMMYFUNCTION("""COMPUTED_VALUE"""),"Distributed Systems Theory (CAP Theorem, Consensus, Raft/Paxos)")</f>
        <v>Distributed Systems Theory (CAP Theorem, Consensus, Raft/Paxos)</v>
      </c>
    </row>
    <row r="1338">
      <c r="A1338" s="7" t="str">
        <f>IFERROR(__xludf.DUMMYFUNCTION("""COMPUTED_VALUE"""),"R34")</f>
        <v>R34</v>
      </c>
      <c r="B1338" s="7" t="str">
        <f>IFERROR(__xludf.DUMMYFUNCTION("""COMPUTED_VALUE"""),"Software Architect")</f>
        <v>Software Architect</v>
      </c>
      <c r="C1338" s="7" t="str">
        <f>IFERROR(__xludf.DUMMYFUNCTION("""COMPUTED_VALUE"""),"S245")</f>
        <v>S245</v>
      </c>
      <c r="D1338" s="7" t="str">
        <f>IFERROR(__xludf.DUMMYFUNCTION("""COMPUTED_VALUE"""),"Enterprise Architecture Frameworks (TOGAF, Domain-Driven Design)")</f>
        <v>Enterprise Architecture Frameworks (TOGAF, Domain-Driven Design)</v>
      </c>
    </row>
    <row r="1339">
      <c r="A1339" s="7" t="str">
        <f>IFERROR(__xludf.DUMMYFUNCTION("""COMPUTED_VALUE"""),"R34")</f>
        <v>R34</v>
      </c>
      <c r="B1339" s="7" t="str">
        <f>IFERROR(__xludf.DUMMYFUNCTION("""COMPUTED_VALUE"""),"Software Architect")</f>
        <v>Software Architect</v>
      </c>
      <c r="C1339" s="7" t="str">
        <f>IFERROR(__xludf.DUMMYFUNCTION("""COMPUTED_VALUE"""),"S246")</f>
        <v>S246</v>
      </c>
      <c r="D1339" s="7" t="str">
        <f>IFERROR(__xludf.DUMMYFUNCTION("""COMPUTED_VALUE"""),"Agile Methodologies, Scrum Framework &amp; Kanban")</f>
        <v>Agile Methodologies, Scrum Framework &amp; Kanban</v>
      </c>
    </row>
    <row r="1340">
      <c r="A1340" s="7" t="str">
        <f>IFERROR(__xludf.DUMMYFUNCTION("""COMPUTED_VALUE"""),"R34")</f>
        <v>R34</v>
      </c>
      <c r="B1340" s="7" t="str">
        <f>IFERROR(__xludf.DUMMYFUNCTION("""COMPUTED_VALUE"""),"Software Architect")</f>
        <v>Software Architect</v>
      </c>
      <c r="C1340" s="7" t="str">
        <f>IFERROR(__xludf.DUMMYFUNCTION("""COMPUTED_VALUE"""),"S247")</f>
        <v>S247</v>
      </c>
      <c r="D1340" s="7" t="str">
        <f>IFERROR(__xludf.DUMMYFUNCTION("""COMPUTED_VALUE"""),"Project Tracking &amp; Documentation Tools (Jira, Confluence, Linear)")</f>
        <v>Project Tracking &amp; Documentation Tools (Jira, Confluence, Linear)</v>
      </c>
    </row>
    <row r="1341">
      <c r="A1341" s="7" t="str">
        <f>IFERROR(__xludf.DUMMYFUNCTION("""COMPUTED_VALUE"""),"R34")</f>
        <v>R34</v>
      </c>
      <c r="B1341" s="7" t="str">
        <f>IFERROR(__xludf.DUMMYFUNCTION("""COMPUTED_VALUE"""),"Software Architect")</f>
        <v>Software Architect</v>
      </c>
      <c r="C1341" s="7" t="str">
        <f>IFERROR(__xludf.DUMMYFUNCTION("""COMPUTED_VALUE"""),"S250")</f>
        <v>S250</v>
      </c>
      <c r="D1341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342">
      <c r="A1342" s="7" t="str">
        <f>IFERROR(__xludf.DUMMYFUNCTION("""COMPUTED_VALUE"""),"R35")</f>
        <v>R35</v>
      </c>
      <c r="B1342" s="7" t="str">
        <f>IFERROR(__xludf.DUMMYFUNCTION("""COMPUTED_VALUE"""),"Solutions Architect")</f>
        <v>Solutions Architect</v>
      </c>
      <c r="C1342" s="7" t="str">
        <f>IFERROR(__xludf.DUMMYFUNCTION("""COMPUTED_VALUE"""),"S001")</f>
        <v>S001</v>
      </c>
      <c r="D1342" s="7" t="str">
        <f>IFERROR(__xludf.DUMMYFUNCTION("""COMPUTED_VALUE"""),"Computer Architecture &amp; Organization")</f>
        <v>Computer Architecture &amp; Organization</v>
      </c>
    </row>
    <row r="1343">
      <c r="A1343" s="7" t="str">
        <f>IFERROR(__xludf.DUMMYFUNCTION("""COMPUTED_VALUE"""),"R35")</f>
        <v>R35</v>
      </c>
      <c r="B1343" s="7" t="str">
        <f>IFERROR(__xludf.DUMMYFUNCTION("""COMPUTED_VALUE"""),"Solutions Architect")</f>
        <v>Solutions Architect</v>
      </c>
      <c r="C1343" s="7" t="str">
        <f>IFERROR(__xludf.DUMMYFUNCTION("""COMPUTED_VALUE"""),"S002")</f>
        <v>S002</v>
      </c>
      <c r="D1343" s="7" t="str">
        <f>IFERROR(__xludf.DUMMYFUNCTION("""COMPUTED_VALUE"""),"Operating Systems Concepts")</f>
        <v>Operating Systems Concepts</v>
      </c>
    </row>
    <row r="1344">
      <c r="A1344" s="7" t="str">
        <f>IFERROR(__xludf.DUMMYFUNCTION("""COMPUTED_VALUE"""),"R35")</f>
        <v>R35</v>
      </c>
      <c r="B1344" s="7" t="str">
        <f>IFERROR(__xludf.DUMMYFUNCTION("""COMPUTED_VALUE"""),"Solutions Architect")</f>
        <v>Solutions Architect</v>
      </c>
      <c r="C1344" s="7" t="str">
        <f>IFERROR(__xludf.DUMMYFUNCTION("""COMPUTED_VALUE"""),"S006")</f>
        <v>S006</v>
      </c>
      <c r="D1344" s="7" t="str">
        <f>IFERROR(__xludf.DUMMYFUNCTION("""COMPUTED_VALUE"""),"Basic Data Structures (Arrays, Lists, Stacks, Queues)")</f>
        <v>Basic Data Structures (Arrays, Lists, Stacks, Queues)</v>
      </c>
    </row>
    <row r="1345">
      <c r="A1345" s="7" t="str">
        <f>IFERROR(__xludf.DUMMYFUNCTION("""COMPUTED_VALUE"""),"R35")</f>
        <v>R35</v>
      </c>
      <c r="B1345" s="7" t="str">
        <f>IFERROR(__xludf.DUMMYFUNCTION("""COMPUTED_VALUE"""),"Solutions Architect")</f>
        <v>Solutions Architect</v>
      </c>
      <c r="C1345" s="7" t="str">
        <f>IFERROR(__xludf.DUMMYFUNCTION("""COMPUTED_VALUE"""),"S013")</f>
        <v>S013</v>
      </c>
      <c r="D1345" s="7" t="str">
        <f>IFERROR(__xludf.DUMMYFUNCTION("""COMPUTED_VALUE"""),"Object-Oriented Programming (OOP)")</f>
        <v>Object-Oriented Programming (OOP)</v>
      </c>
    </row>
    <row r="1346">
      <c r="A1346" s="7" t="str">
        <f>IFERROR(__xludf.DUMMYFUNCTION("""COMPUTED_VALUE"""),"R35")</f>
        <v>R35</v>
      </c>
      <c r="B1346" s="7" t="str">
        <f>IFERROR(__xludf.DUMMYFUNCTION("""COMPUTED_VALUE"""),"Solutions Architect")</f>
        <v>Solutions Architect</v>
      </c>
      <c r="C1346" s="7" t="str">
        <f>IFERROR(__xludf.DUMMYFUNCTION("""COMPUTED_VALUE"""),"S015")</f>
        <v>S015</v>
      </c>
      <c r="D1346" s="7" t="str">
        <f>IFERROR(__xludf.DUMMYFUNCTION("""COMPUTED_VALUE"""),"Software Design Patterns (GoF)")</f>
        <v>Software Design Patterns (GoF)</v>
      </c>
    </row>
    <row r="1347">
      <c r="A1347" s="7" t="str">
        <f>IFERROR(__xludf.DUMMYFUNCTION("""COMPUTED_VALUE"""),"R35")</f>
        <v>R35</v>
      </c>
      <c r="B1347" s="7" t="str">
        <f>IFERROR(__xludf.DUMMYFUNCTION("""COMPUTED_VALUE"""),"Solutions Architect")</f>
        <v>Solutions Architect</v>
      </c>
      <c r="C1347" s="7" t="str">
        <f>IFERROR(__xludf.DUMMYFUNCTION("""COMPUTED_VALUE"""),"S016")</f>
        <v>S016</v>
      </c>
      <c r="D1347" s="7" t="str">
        <f>IFERROR(__xludf.DUMMYFUNCTION("""COMPUTED_VALUE"""),"SOLID Principles &amp; Clean Code")</f>
        <v>SOLID Principles &amp; Clean Code</v>
      </c>
    </row>
    <row r="1348">
      <c r="A1348" s="7" t="str">
        <f>IFERROR(__xludf.DUMMYFUNCTION("""COMPUTED_VALUE"""),"R35")</f>
        <v>R35</v>
      </c>
      <c r="B1348" s="7" t="str">
        <f>IFERROR(__xludf.DUMMYFUNCTION("""COMPUTED_VALUE"""),"Solutions Architect")</f>
        <v>Solutions Architect</v>
      </c>
      <c r="C1348" s="7" t="str">
        <f>IFERROR(__xludf.DUMMYFUNCTION("""COMPUTED_VALUE"""),"S017")</f>
        <v>S017</v>
      </c>
      <c r="D1348" s="7" t="str">
        <f>IFERROR(__xludf.DUMMYFUNCTION("""COMPUTED_VALUE"""),"Git Version Control Fundamentals")</f>
        <v>Git Version Control Fundamentals</v>
      </c>
    </row>
    <row r="1349">
      <c r="A1349" s="7" t="str">
        <f>IFERROR(__xludf.DUMMYFUNCTION("""COMPUTED_VALUE"""),"R35")</f>
        <v>R35</v>
      </c>
      <c r="B1349" s="7" t="str">
        <f>IFERROR(__xludf.DUMMYFUNCTION("""COMPUTED_VALUE"""),"Solutions Architect")</f>
        <v>Solutions Architect</v>
      </c>
      <c r="C1349" s="7" t="str">
        <f>IFERROR(__xludf.DUMMYFUNCTION("""COMPUTED_VALUE"""),"S018")</f>
        <v>S018</v>
      </c>
      <c r="D1349" s="7" t="str">
        <f>IFERROR(__xludf.DUMMYFUNCTION("""COMPUTED_VALUE"""),"GitHub / GitLab Workflows &amp; Pull Requests")</f>
        <v>GitHub / GitLab Workflows &amp; Pull Requests</v>
      </c>
    </row>
    <row r="1350">
      <c r="A1350" s="7" t="str">
        <f>IFERROR(__xludf.DUMMYFUNCTION("""COMPUTED_VALUE"""),"R35")</f>
        <v>R35</v>
      </c>
      <c r="B1350" s="7" t="str">
        <f>IFERROR(__xludf.DUMMYFUNCTION("""COMPUTED_VALUE"""),"Solutions Architect")</f>
        <v>Solutions Architect</v>
      </c>
      <c r="C1350" s="7" t="str">
        <f>IFERROR(__xludf.DUMMYFUNCTION("""COMPUTED_VALUE"""),"S019")</f>
        <v>S019</v>
      </c>
      <c r="D1350" s="7" t="str">
        <f>IFERROR(__xludf.DUMMYFUNCTION("""COMPUTED_VALUE"""),"Linux Command Line &amp; File Permissions")</f>
        <v>Linux Command Line &amp; File Permissions</v>
      </c>
    </row>
    <row r="1351">
      <c r="A1351" s="7" t="str">
        <f>IFERROR(__xludf.DUMMYFUNCTION("""COMPUTED_VALUE"""),"R35")</f>
        <v>R35</v>
      </c>
      <c r="B1351" s="7" t="str">
        <f>IFERROR(__xludf.DUMMYFUNCTION("""COMPUTED_VALUE"""),"Solutions Architect")</f>
        <v>Solutions Architect</v>
      </c>
      <c r="C1351" s="7" t="str">
        <f>IFERROR(__xludf.DUMMYFUNCTION("""COMPUTED_VALUE"""),"S022")</f>
        <v>S022</v>
      </c>
      <c r="D1351" s="7" t="str">
        <f>IFERROR(__xludf.DUMMYFUNCTION("""COMPUTED_VALUE"""),"Computer Networking &amp; OSI Model")</f>
        <v>Computer Networking &amp; OSI Model</v>
      </c>
    </row>
    <row r="1352">
      <c r="A1352" s="7" t="str">
        <f>IFERROR(__xludf.DUMMYFUNCTION("""COMPUTED_VALUE"""),"R35")</f>
        <v>R35</v>
      </c>
      <c r="B1352" s="7" t="str">
        <f>IFERROR(__xludf.DUMMYFUNCTION("""COMPUTED_VALUE"""),"Solutions Architect")</f>
        <v>Solutions Architect</v>
      </c>
      <c r="C1352" s="7" t="str">
        <f>IFERROR(__xludf.DUMMYFUNCTION("""COMPUTED_VALUE"""),"S023")</f>
        <v>S023</v>
      </c>
      <c r="D1352" s="7" t="str">
        <f>IFERROR(__xludf.DUMMYFUNCTION("""COMPUTED_VALUE"""),"HTTP/HTTPS Protocols &amp; Status Codes")</f>
        <v>HTTP/HTTPS Protocols &amp; Status Codes</v>
      </c>
    </row>
    <row r="1353">
      <c r="A1353" s="7" t="str">
        <f>IFERROR(__xludf.DUMMYFUNCTION("""COMPUTED_VALUE"""),"R35")</f>
        <v>R35</v>
      </c>
      <c r="B1353" s="7" t="str">
        <f>IFERROR(__xludf.DUMMYFUNCTION("""COMPUTED_VALUE"""),"Solutions Architect")</f>
        <v>Solutions Architect</v>
      </c>
      <c r="C1353" s="7" t="str">
        <f>IFERROR(__xludf.DUMMYFUNCTION("""COMPUTED_VALUE"""),"S024")</f>
        <v>S024</v>
      </c>
      <c r="D1353" s="7" t="str">
        <f>IFERROR(__xludf.DUMMYFUNCTION("""COMPUTED_VALUE"""),"DNS, Domain Routing &amp; SSL/TLS")</f>
        <v>DNS, Domain Routing &amp; SSL/TLS</v>
      </c>
    </row>
    <row r="1354">
      <c r="A1354" s="7" t="str">
        <f>IFERROR(__xludf.DUMMYFUNCTION("""COMPUTED_VALUE"""),"R35")</f>
        <v>R35</v>
      </c>
      <c r="B1354" s="7" t="str">
        <f>IFERROR(__xludf.DUMMYFUNCTION("""COMPUTED_VALUE"""),"Solutions Architect")</f>
        <v>Solutions Architect</v>
      </c>
      <c r="C1354" s="7" t="str">
        <f>IFERROR(__xludf.DUMMYFUNCTION("""COMPUTED_VALUE"""),"S026")</f>
        <v>S026</v>
      </c>
      <c r="D1354" s="7" t="str">
        <f>IFERROR(__xludf.DUMMYFUNCTION("""COMPUTED_VALUE"""),"Data Serialization (JSON, XML, YAML, Protobuf)")</f>
        <v>Data Serialization (JSON, XML, YAML, Protobuf)</v>
      </c>
    </row>
    <row r="1355">
      <c r="A1355" s="7" t="str">
        <f>IFERROR(__xludf.DUMMYFUNCTION("""COMPUTED_VALUE"""),"R35")</f>
        <v>R35</v>
      </c>
      <c r="B1355" s="7" t="str">
        <f>IFERROR(__xludf.DUMMYFUNCTION("""COMPUTED_VALUE"""),"Solutions Architect")</f>
        <v>Solutions Architect</v>
      </c>
      <c r="C1355" s="7" t="str">
        <f>IFERROR(__xludf.DUMMYFUNCTION("""COMPUTED_VALUE"""),"S028")</f>
        <v>S028</v>
      </c>
      <c r="D1355" s="7" t="str">
        <f>IFERROR(__xludf.DUMMYFUNCTION("""COMPUTED_VALUE"""),"Technical Writing &amp; Markdown Documentation")</f>
        <v>Technical Writing &amp; Markdown Documentation</v>
      </c>
    </row>
    <row r="1356">
      <c r="A1356" s="7" t="str">
        <f>IFERROR(__xludf.DUMMYFUNCTION("""COMPUTED_VALUE"""),"R35")</f>
        <v>R35</v>
      </c>
      <c r="B1356" s="7" t="str">
        <f>IFERROR(__xludf.DUMMYFUNCTION("""COMPUTED_VALUE"""),"Solutions Architect")</f>
        <v>Solutions Architect</v>
      </c>
      <c r="C1356" s="7" t="str">
        <f>IFERROR(__xludf.DUMMYFUNCTION("""COMPUTED_VALUE"""),"S066")</f>
        <v>S066</v>
      </c>
      <c r="D1356" s="7" t="str">
        <f>IFERROR(__xludf.DUMMYFUNCTION("""COMPUTED_VALUE"""),"Java Programming &amp; JVM Internals")</f>
        <v>Java Programming &amp; JVM Internals</v>
      </c>
    </row>
    <row r="1357">
      <c r="A1357" s="7" t="str">
        <f>IFERROR(__xludf.DUMMYFUNCTION("""COMPUTED_VALUE"""),"R35")</f>
        <v>R35</v>
      </c>
      <c r="B1357" s="7" t="str">
        <f>IFERROR(__xludf.DUMMYFUNCTION("""COMPUTED_VALUE"""),"Solutions Architect")</f>
        <v>Solutions Architect</v>
      </c>
      <c r="C1357" s="7" t="str">
        <f>IFERROR(__xludf.DUMMYFUNCTION("""COMPUTED_VALUE"""),"S068")</f>
        <v>S068</v>
      </c>
      <c r="D1357" s="7" t="str">
        <f>IFERROR(__xludf.DUMMYFUNCTION("""COMPUTED_VALUE"""),"Python Programming Fundamentals")</f>
        <v>Python Programming Fundamentals</v>
      </c>
    </row>
    <row r="1358">
      <c r="A1358" s="7" t="str">
        <f>IFERROR(__xludf.DUMMYFUNCTION("""COMPUTED_VALUE"""),"R35")</f>
        <v>R35</v>
      </c>
      <c r="B1358" s="7" t="str">
        <f>IFERROR(__xludf.DUMMYFUNCTION("""COMPUTED_VALUE"""),"Solutions Architect")</f>
        <v>Solutions Architect</v>
      </c>
      <c r="C1358" s="7" t="str">
        <f>IFERROR(__xludf.DUMMYFUNCTION("""COMPUTED_VALUE"""),"S086")</f>
        <v>S086</v>
      </c>
      <c r="D1358" s="7" t="str">
        <f>IFERROR(__xludf.DUMMYFUNCTION("""COMPUTED_VALUE"""),"RESTful API Design &amp; OpenAPI/Swagger")</f>
        <v>RESTful API Design &amp; OpenAPI/Swagger</v>
      </c>
    </row>
    <row r="1359">
      <c r="A1359" s="7" t="str">
        <f>IFERROR(__xludf.DUMMYFUNCTION("""COMPUTED_VALUE"""),"R35")</f>
        <v>R35</v>
      </c>
      <c r="B1359" s="7" t="str">
        <f>IFERROR(__xludf.DUMMYFUNCTION("""COMPUTED_VALUE"""),"Solutions Architect")</f>
        <v>Solutions Architect</v>
      </c>
      <c r="C1359" s="7" t="str">
        <f>IFERROR(__xludf.DUMMYFUNCTION("""COMPUTED_VALUE"""),"S087")</f>
        <v>S087</v>
      </c>
      <c r="D1359" s="7" t="str">
        <f>IFERROR(__xludf.DUMMYFUNCTION("""COMPUTED_VALUE"""),"GraphQL Schema &amp; Resolvers (Apollo)")</f>
        <v>GraphQL Schema &amp; Resolvers (Apollo)</v>
      </c>
    </row>
    <row r="1360">
      <c r="A1360" s="7" t="str">
        <f>IFERROR(__xludf.DUMMYFUNCTION("""COMPUTED_VALUE"""),"R35")</f>
        <v>R35</v>
      </c>
      <c r="B1360" s="7" t="str">
        <f>IFERROR(__xludf.DUMMYFUNCTION("""COMPUTED_VALUE"""),"Solutions Architect")</f>
        <v>Solutions Architect</v>
      </c>
      <c r="C1360" s="7" t="str">
        <f>IFERROR(__xludf.DUMMYFUNCTION("""COMPUTED_VALUE"""),"S088")</f>
        <v>S088</v>
      </c>
      <c r="D1360" s="7" t="str">
        <f>IFERROR(__xludf.DUMMYFUNCTION("""COMPUTED_VALUE"""),"gRPC &amp; Protocol Buffers")</f>
        <v>gRPC &amp; Protocol Buffers</v>
      </c>
    </row>
    <row r="1361">
      <c r="A1361" s="7" t="str">
        <f>IFERROR(__xludf.DUMMYFUNCTION("""COMPUTED_VALUE"""),"R35")</f>
        <v>R35</v>
      </c>
      <c r="B1361" s="7" t="str">
        <f>IFERROR(__xludf.DUMMYFUNCTION("""COMPUTED_VALUE"""),"Solutions Architect")</f>
        <v>Solutions Architect</v>
      </c>
      <c r="C1361" s="7" t="str">
        <f>IFERROR(__xludf.DUMMYFUNCTION("""COMPUTED_VALUE"""),"S091")</f>
        <v>S091</v>
      </c>
      <c r="D1361" s="7" t="str">
        <f>IFERROR(__xludf.DUMMYFUNCTION("""COMPUTED_VALUE"""),"Authentication &amp; Session Management (JWT, Cookies)")</f>
        <v>Authentication &amp; Session Management (JWT, Cookies)</v>
      </c>
    </row>
    <row r="1362">
      <c r="A1362" s="7" t="str">
        <f>IFERROR(__xludf.DUMMYFUNCTION("""COMPUTED_VALUE"""),"R35")</f>
        <v>R35</v>
      </c>
      <c r="B1362" s="7" t="str">
        <f>IFERROR(__xludf.DUMMYFUNCTION("""COMPUTED_VALUE"""),"Solutions Architect")</f>
        <v>Solutions Architect</v>
      </c>
      <c r="C1362" s="7" t="str">
        <f>IFERROR(__xludf.DUMMYFUNCTION("""COMPUTED_VALUE"""),"S092")</f>
        <v>S092</v>
      </c>
      <c r="D1362" s="7" t="str">
        <f>IFERROR(__xludf.DUMMYFUNCTION("""COMPUTED_VALUE"""),"OAuth 2.0, OpenID Connect (OIDC) &amp; SSO")</f>
        <v>OAuth 2.0, OpenID Connect (OIDC) &amp; SSO</v>
      </c>
    </row>
    <row r="1363">
      <c r="A1363" s="7" t="str">
        <f>IFERROR(__xludf.DUMMYFUNCTION("""COMPUTED_VALUE"""),"R35")</f>
        <v>R35</v>
      </c>
      <c r="B1363" s="7" t="str">
        <f>IFERROR(__xludf.DUMMYFUNCTION("""COMPUTED_VALUE"""),"Solutions Architect")</f>
        <v>Solutions Architect</v>
      </c>
      <c r="C1363" s="7" t="str">
        <f>IFERROR(__xludf.DUMMYFUNCTION("""COMPUTED_VALUE"""),"S093")</f>
        <v>S093</v>
      </c>
      <c r="D1363" s="7" t="str">
        <f>IFERROR(__xludf.DUMMYFUNCTION("""COMPUTED_VALUE"""),"Role-Based &amp; Attribute-Based Access Control (RBAC/ABAC)")</f>
        <v>Role-Based &amp; Attribute-Based Access Control (RBAC/ABAC)</v>
      </c>
    </row>
    <row r="1364">
      <c r="A1364" s="7" t="str">
        <f>IFERROR(__xludf.DUMMYFUNCTION("""COMPUTED_VALUE"""),"R35")</f>
        <v>R35</v>
      </c>
      <c r="B1364" s="7" t="str">
        <f>IFERROR(__xludf.DUMMYFUNCTION("""COMPUTED_VALUE"""),"Solutions Architect")</f>
        <v>Solutions Architect</v>
      </c>
      <c r="C1364" s="7" t="str">
        <f>IFERROR(__xludf.DUMMYFUNCTION("""COMPUTED_VALUE"""),"S094")</f>
        <v>S094</v>
      </c>
      <c r="D1364" s="7" t="str">
        <f>IFERROR(__xludf.DUMMYFUNCTION("""COMPUTED_VALUE"""),"API Gateways, Rate Limiting &amp; Throttling (Kong, Envoy)")</f>
        <v>API Gateways, Rate Limiting &amp; Throttling (Kong, Envoy)</v>
      </c>
    </row>
    <row r="1365">
      <c r="A1365" s="7" t="str">
        <f>IFERROR(__xludf.DUMMYFUNCTION("""COMPUTED_VALUE"""),"R35")</f>
        <v>R35</v>
      </c>
      <c r="B1365" s="7" t="str">
        <f>IFERROR(__xludf.DUMMYFUNCTION("""COMPUTED_VALUE"""),"Solutions Architect")</f>
        <v>Solutions Architect</v>
      </c>
      <c r="C1365" s="7" t="str">
        <f>IFERROR(__xludf.DUMMYFUNCTION("""COMPUTED_VALUE"""),"S095")</f>
        <v>S095</v>
      </c>
      <c r="D1365" s="7" t="str">
        <f>IFERROR(__xludf.DUMMYFUNCTION("""COMPUTED_VALUE"""),"Microservices Architecture &amp; Service Mesh")</f>
        <v>Microservices Architecture &amp; Service Mesh</v>
      </c>
    </row>
    <row r="1366">
      <c r="A1366" s="7" t="str">
        <f>IFERROR(__xludf.DUMMYFUNCTION("""COMPUTED_VALUE"""),"R35")</f>
        <v>R35</v>
      </c>
      <c r="B1366" s="7" t="str">
        <f>IFERROR(__xludf.DUMMYFUNCTION("""COMPUTED_VALUE"""),"Solutions Architect")</f>
        <v>Solutions Architect</v>
      </c>
      <c r="C1366" s="7" t="str">
        <f>IFERROR(__xludf.DUMMYFUNCTION("""COMPUTED_VALUE"""),"S096")</f>
        <v>S096</v>
      </c>
      <c r="D1366" s="7" t="str">
        <f>IFERROR(__xludf.DUMMYFUNCTION("""COMPUTED_VALUE"""),"Event-Driven Architecture &amp; Pub/Sub Patterns")</f>
        <v>Event-Driven Architecture &amp; Pub/Sub Patterns</v>
      </c>
    </row>
    <row r="1367">
      <c r="A1367" s="7" t="str">
        <f>IFERROR(__xludf.DUMMYFUNCTION("""COMPUTED_VALUE"""),"R35")</f>
        <v>R35</v>
      </c>
      <c r="B1367" s="7" t="str">
        <f>IFERROR(__xludf.DUMMYFUNCTION("""COMPUTED_VALUE"""),"Solutions Architect")</f>
        <v>Solutions Architect</v>
      </c>
      <c r="C1367" s="7" t="str">
        <f>IFERROR(__xludf.DUMMYFUNCTION("""COMPUTED_VALUE"""),"S098")</f>
        <v>S098</v>
      </c>
      <c r="D1367" s="7" t="str">
        <f>IFERROR(__xludf.DUMMYFUNCTION("""COMPUTED_VALUE"""),"Distributed Event Streaming (Apache Kafka)")</f>
        <v>Distributed Event Streaming (Apache Kafka)</v>
      </c>
    </row>
    <row r="1368">
      <c r="A1368" s="7" t="str">
        <f>IFERROR(__xludf.DUMMYFUNCTION("""COMPUTED_VALUE"""),"R35")</f>
        <v>R35</v>
      </c>
      <c r="B1368" s="7" t="str">
        <f>IFERROR(__xludf.DUMMYFUNCTION("""COMPUTED_VALUE"""),"Solutions Architect")</f>
        <v>Solutions Architect</v>
      </c>
      <c r="C1368" s="7" t="str">
        <f>IFERROR(__xludf.DUMMYFUNCTION("""COMPUTED_VALUE"""),"S099")</f>
        <v>S099</v>
      </c>
      <c r="D1368" s="7" t="str">
        <f>IFERROR(__xludf.DUMMYFUNCTION("""COMPUTED_VALUE"""),"Backend Caching Strategies (In-Memory, CDN, Write-Through)")</f>
        <v>Backend Caching Strategies (In-Memory, CDN, Write-Through)</v>
      </c>
    </row>
    <row r="1369">
      <c r="A1369" s="7" t="str">
        <f>IFERROR(__xludf.DUMMYFUNCTION("""COMPUTED_VALUE"""),"R35")</f>
        <v>R35</v>
      </c>
      <c r="B1369" s="7" t="str">
        <f>IFERROR(__xludf.DUMMYFUNCTION("""COMPUTED_VALUE"""),"Solutions Architect")</f>
        <v>Solutions Architect</v>
      </c>
      <c r="C1369" s="7" t="str">
        <f>IFERROR(__xludf.DUMMYFUNCTION("""COMPUTED_VALUE"""),"S106")</f>
        <v>S106</v>
      </c>
      <c r="D1369" s="7" t="str">
        <f>IFERROR(__xludf.DUMMYFUNCTION("""COMPUTED_VALUE"""),"Relational Database Design &amp; Normalization (1NF-3NF)")</f>
        <v>Relational Database Design &amp; Normalization (1NF-3NF)</v>
      </c>
    </row>
    <row r="1370">
      <c r="A1370" s="7" t="str">
        <f>IFERROR(__xludf.DUMMYFUNCTION("""COMPUTED_VALUE"""),"R35")</f>
        <v>R35</v>
      </c>
      <c r="B1370" s="7" t="str">
        <f>IFERROR(__xludf.DUMMYFUNCTION("""COMPUTED_VALUE"""),"Solutions Architect")</f>
        <v>Solutions Architect</v>
      </c>
      <c r="C1370" s="7" t="str">
        <f>IFERROR(__xludf.DUMMYFUNCTION("""COMPUTED_VALUE"""),"S107")</f>
        <v>S107</v>
      </c>
      <c r="D1370" s="7" t="str">
        <f>IFERROR(__xludf.DUMMYFUNCTION("""COMPUTED_VALUE"""),"SQL Querying (Joins, Aggregations, Subqueries)")</f>
        <v>SQL Querying (Joins, Aggregations, Subqueries)</v>
      </c>
    </row>
    <row r="1371">
      <c r="A1371" s="7" t="str">
        <f>IFERROR(__xludf.DUMMYFUNCTION("""COMPUTED_VALUE"""),"R35")</f>
        <v>R35</v>
      </c>
      <c r="B1371" s="7" t="str">
        <f>IFERROR(__xludf.DUMMYFUNCTION("""COMPUTED_VALUE"""),"Solutions Architect")</f>
        <v>Solutions Architect</v>
      </c>
      <c r="C1371" s="7" t="str">
        <f>IFERROR(__xludf.DUMMYFUNCTION("""COMPUTED_VALUE"""),"S109")</f>
        <v>S109</v>
      </c>
      <c r="D1371" s="7" t="str">
        <f>IFERROR(__xludf.DUMMYFUNCTION("""COMPUTED_VALUE"""),"PostgreSQL Administration &amp; Development")</f>
        <v>PostgreSQL Administration &amp; Development</v>
      </c>
    </row>
    <row r="1372">
      <c r="A1372" s="7" t="str">
        <f>IFERROR(__xludf.DUMMYFUNCTION("""COMPUTED_VALUE"""),"R35")</f>
        <v>R35</v>
      </c>
      <c r="B1372" s="7" t="str">
        <f>IFERROR(__xludf.DUMMYFUNCTION("""COMPUTED_VALUE"""),"Solutions Architect")</f>
        <v>Solutions Architect</v>
      </c>
      <c r="C1372" s="7" t="str">
        <f>IFERROR(__xludf.DUMMYFUNCTION("""COMPUTED_VALUE"""),"S116")</f>
        <v>S116</v>
      </c>
      <c r="D1372" s="7" t="str">
        <f>IFERROR(__xludf.DUMMYFUNCTION("""COMPUTED_VALUE"""),"Database Replication, Sharding &amp; Partitioning")</f>
        <v>Database Replication, Sharding &amp; Partitioning</v>
      </c>
    </row>
    <row r="1373">
      <c r="A1373" s="7" t="str">
        <f>IFERROR(__xludf.DUMMYFUNCTION("""COMPUTED_VALUE"""),"R35")</f>
        <v>R35</v>
      </c>
      <c r="B1373" s="7" t="str">
        <f>IFERROR(__xludf.DUMMYFUNCTION("""COMPUTED_VALUE"""),"Solutions Architect")</f>
        <v>Solutions Architect</v>
      </c>
      <c r="C1373" s="7" t="str">
        <f>IFERROR(__xludf.DUMMYFUNCTION("""COMPUTED_VALUE"""),"S117")</f>
        <v>S117</v>
      </c>
      <c r="D1373" s="7" t="str">
        <f>IFERROR(__xludf.DUMMYFUNCTION("""COMPUTED_VALUE"""),"Database Backup, Point-in-Time Recovery &amp; Migration")</f>
        <v>Database Backup, Point-in-Time Recovery &amp; Migration</v>
      </c>
    </row>
    <row r="1374">
      <c r="A1374" s="7" t="str">
        <f>IFERROR(__xludf.DUMMYFUNCTION("""COMPUTED_VALUE"""),"R35")</f>
        <v>R35</v>
      </c>
      <c r="B1374" s="7" t="str">
        <f>IFERROR(__xludf.DUMMYFUNCTION("""COMPUTED_VALUE"""),"Solutions Architect")</f>
        <v>Solutions Architect</v>
      </c>
      <c r="C1374" s="7" t="str">
        <f>IFERROR(__xludf.DUMMYFUNCTION("""COMPUTED_VALUE"""),"S120")</f>
        <v>S120</v>
      </c>
      <c r="D1374" s="7" t="str">
        <f>IFERROR(__xludf.DUMMYFUNCTION("""COMPUTED_VALUE"""),"Key-Value Stores &amp; In-Memory DBs (Redis, Memcached)")</f>
        <v>Key-Value Stores &amp; In-Memory DBs (Redis, Memcached)</v>
      </c>
    </row>
    <row r="1375">
      <c r="A1375" s="7" t="str">
        <f>IFERROR(__xludf.DUMMYFUNCTION("""COMPUTED_VALUE"""),"R35")</f>
        <v>R35</v>
      </c>
      <c r="B1375" s="7" t="str">
        <f>IFERROR(__xludf.DUMMYFUNCTION("""COMPUTED_VALUE"""),"Solutions Architect")</f>
        <v>Solutions Architect</v>
      </c>
      <c r="C1375" s="7" t="str">
        <f>IFERROR(__xludf.DUMMYFUNCTION("""COMPUTED_VALUE"""),"S122")</f>
        <v>S122</v>
      </c>
      <c r="D1375" s="7" t="str">
        <f>IFERROR(__xludf.DUMMYFUNCTION("""COMPUTED_VALUE"""),"Cloud NoSQL Databases (AWS DynamoDB, Firestore)")</f>
        <v>Cloud NoSQL Databases (AWS DynamoDB, Firestore)</v>
      </c>
    </row>
    <row r="1376">
      <c r="A1376" s="7" t="str">
        <f>IFERROR(__xludf.DUMMYFUNCTION("""COMPUTED_VALUE"""),"R35")</f>
        <v>R35</v>
      </c>
      <c r="B1376" s="7" t="str">
        <f>IFERROR(__xludf.DUMMYFUNCTION("""COMPUTED_VALUE"""),"Solutions Architect")</f>
        <v>Solutions Architect</v>
      </c>
      <c r="C1376" s="7" t="str">
        <f>IFERROR(__xludf.DUMMYFUNCTION("""COMPUTED_VALUE"""),"S126")</f>
        <v>S126</v>
      </c>
      <c r="D1376" s="7" t="str">
        <f>IFERROR(__xludf.DUMMYFUNCTION("""COMPUTED_VALUE"""),"ETL / ELT Data Pipeline Design")</f>
        <v>ETL / ELT Data Pipeline Design</v>
      </c>
    </row>
    <row r="1377">
      <c r="A1377" s="7" t="str">
        <f>IFERROR(__xludf.DUMMYFUNCTION("""COMPUTED_VALUE"""),"R35")</f>
        <v>R35</v>
      </c>
      <c r="B1377" s="7" t="str">
        <f>IFERROR(__xludf.DUMMYFUNCTION("""COMPUTED_VALUE"""),"Solutions Architect")</f>
        <v>Solutions Architect</v>
      </c>
      <c r="C1377" s="7" t="str">
        <f>IFERROR(__xludf.DUMMYFUNCTION("""COMPUTED_VALUE"""),"S131")</f>
        <v>S131</v>
      </c>
      <c r="D1377" s="7" t="str">
        <f>IFERROR(__xludf.DUMMYFUNCTION("""COMPUTED_VALUE"""),"Cloud Data Warehousing (Snowflake, Google BigQuery, AWS Redshift)")</f>
        <v>Cloud Data Warehousing (Snowflake, Google BigQuery, AWS Redshift)</v>
      </c>
    </row>
    <row r="1378">
      <c r="A1378" s="7" t="str">
        <f>IFERROR(__xludf.DUMMYFUNCTION("""COMPUTED_VALUE"""),"R35")</f>
        <v>R35</v>
      </c>
      <c r="B1378" s="7" t="str">
        <f>IFERROR(__xludf.DUMMYFUNCTION("""COMPUTED_VALUE"""),"Solutions Architect")</f>
        <v>Solutions Architect</v>
      </c>
      <c r="C1378" s="7" t="str">
        <f>IFERROR(__xludf.DUMMYFUNCTION("""COMPUTED_VALUE"""),"S132")</f>
        <v>S132</v>
      </c>
      <c r="D1378" s="7" t="str">
        <f>IFERROR(__xludf.DUMMYFUNCTION("""COMPUTED_VALUE"""),"Data Lakehouse Architecture (Delta Lake, Apache Iceberg, Databricks)")</f>
        <v>Data Lakehouse Architecture (Delta Lake, Apache Iceberg, Databricks)</v>
      </c>
    </row>
    <row r="1379">
      <c r="A1379" s="7" t="str">
        <f>IFERROR(__xludf.DUMMYFUNCTION("""COMPUTED_VALUE"""),"R35")</f>
        <v>R35</v>
      </c>
      <c r="B1379" s="7" t="str">
        <f>IFERROR(__xludf.DUMMYFUNCTION("""COMPUTED_VALUE"""),"Solutions Architect")</f>
        <v>Solutions Architect</v>
      </c>
      <c r="C1379" s="7" t="str">
        <f>IFERROR(__xludf.DUMMYFUNCTION("""COMPUTED_VALUE"""),"S171")</f>
        <v>S171</v>
      </c>
      <c r="D1379" s="7" t="str">
        <f>IFERROR(__xludf.DUMMYFUNCTION("""COMPUTED_VALUE"""),"Containerization with Docker")</f>
        <v>Containerization with Docker</v>
      </c>
    </row>
    <row r="1380">
      <c r="A1380" s="7" t="str">
        <f>IFERROR(__xludf.DUMMYFUNCTION("""COMPUTED_VALUE"""),"R35")</f>
        <v>R35</v>
      </c>
      <c r="B1380" s="7" t="str">
        <f>IFERROR(__xludf.DUMMYFUNCTION("""COMPUTED_VALUE"""),"Solutions Architect")</f>
        <v>Solutions Architect</v>
      </c>
      <c r="C1380" s="7" t="str">
        <f>IFERROR(__xludf.DUMMYFUNCTION("""COMPUTED_VALUE"""),"S172")</f>
        <v>S172</v>
      </c>
      <c r="D1380" s="7" t="str">
        <f>IFERROR(__xludf.DUMMYFUNCTION("""COMPUTED_VALUE"""),"Kubernetes Cluster Orchestration (K8s)")</f>
        <v>Kubernetes Cluster Orchestration (K8s)</v>
      </c>
    </row>
    <row r="1381">
      <c r="A1381" s="7" t="str">
        <f>IFERROR(__xludf.DUMMYFUNCTION("""COMPUTED_VALUE"""),"R35")</f>
        <v>R35</v>
      </c>
      <c r="B1381" s="7" t="str">
        <f>IFERROR(__xludf.DUMMYFUNCTION("""COMPUTED_VALUE"""),"Solutions Architect")</f>
        <v>Solutions Architect</v>
      </c>
      <c r="C1381" s="7" t="str">
        <f>IFERROR(__xludf.DUMMYFUNCTION("""COMPUTED_VALUE"""),"S174")</f>
        <v>S174</v>
      </c>
      <c r="D1381" s="7" t="str">
        <f>IFERROR(__xludf.DUMMYFUNCTION("""COMPUTED_VALUE"""),"Amazon Web Services Core (EC2, S3, RDS, IAM, VPC)")</f>
        <v>Amazon Web Services Core (EC2, S3, RDS, IAM, VPC)</v>
      </c>
    </row>
    <row r="1382">
      <c r="A1382" s="7" t="str">
        <f>IFERROR(__xludf.DUMMYFUNCTION("""COMPUTED_VALUE"""),"R35")</f>
        <v>R35</v>
      </c>
      <c r="B1382" s="7" t="str">
        <f>IFERROR(__xludf.DUMMYFUNCTION("""COMPUTED_VALUE"""),"Solutions Architect")</f>
        <v>Solutions Architect</v>
      </c>
      <c r="C1382" s="7" t="str">
        <f>IFERROR(__xludf.DUMMYFUNCTION("""COMPUTED_VALUE"""),"S175")</f>
        <v>S175</v>
      </c>
      <c r="D1382" s="7" t="str">
        <f>IFERROR(__xludf.DUMMYFUNCTION("""COMPUTED_VALUE"""),"Microsoft Azure Cloud Services")</f>
        <v>Microsoft Azure Cloud Services</v>
      </c>
    </row>
    <row r="1383">
      <c r="A1383" s="7" t="str">
        <f>IFERROR(__xludf.DUMMYFUNCTION("""COMPUTED_VALUE"""),"R35")</f>
        <v>R35</v>
      </c>
      <c r="B1383" s="7" t="str">
        <f>IFERROR(__xludf.DUMMYFUNCTION("""COMPUTED_VALUE"""),"Solutions Architect")</f>
        <v>Solutions Architect</v>
      </c>
      <c r="C1383" s="7" t="str">
        <f>IFERROR(__xludf.DUMMYFUNCTION("""COMPUTED_VALUE"""),"S176")</f>
        <v>S176</v>
      </c>
      <c r="D1383" s="7" t="str">
        <f>IFERROR(__xludf.DUMMYFUNCTION("""COMPUTED_VALUE"""),"Google Cloud Platform (GCP) Services")</f>
        <v>Google Cloud Platform (GCP) Services</v>
      </c>
    </row>
    <row r="1384">
      <c r="A1384" s="7" t="str">
        <f>IFERROR(__xludf.DUMMYFUNCTION("""COMPUTED_VALUE"""),"R35")</f>
        <v>R35</v>
      </c>
      <c r="B1384" s="7" t="str">
        <f>IFERROR(__xludf.DUMMYFUNCTION("""COMPUTED_VALUE"""),"Solutions Architect")</f>
        <v>Solutions Architect</v>
      </c>
      <c r="C1384" s="7" t="str">
        <f>IFERROR(__xludf.DUMMYFUNCTION("""COMPUTED_VALUE"""),"S177")</f>
        <v>S177</v>
      </c>
      <c r="D1384" s="7" t="str">
        <f>IFERROR(__xludf.DUMMYFUNCTION("""COMPUTED_VALUE"""),"Serverless Computing (AWS Lambda, Cloud Functions)")</f>
        <v>Serverless Computing (AWS Lambda, Cloud Functions)</v>
      </c>
    </row>
    <row r="1385">
      <c r="A1385" s="7" t="str">
        <f>IFERROR(__xludf.DUMMYFUNCTION("""COMPUTED_VALUE"""),"R35")</f>
        <v>R35</v>
      </c>
      <c r="B1385" s="7" t="str">
        <f>IFERROR(__xludf.DUMMYFUNCTION("""COMPUTED_VALUE"""),"Solutions Architect")</f>
        <v>Solutions Architect</v>
      </c>
      <c r="C1385" s="7" t="str">
        <f>IFERROR(__xludf.DUMMYFUNCTION("""COMPUTED_VALUE"""),"S178")</f>
        <v>S178</v>
      </c>
      <c r="D1385" s="7" t="str">
        <f>IFERROR(__xludf.DUMMYFUNCTION("""COMPUTED_VALUE"""),"Infrastructure as Code (Terraform &amp; OpenTofu)")</f>
        <v>Infrastructure as Code (Terraform &amp; OpenTofu)</v>
      </c>
    </row>
    <row r="1386">
      <c r="A1386" s="7" t="str">
        <f>IFERROR(__xludf.DUMMYFUNCTION("""COMPUTED_VALUE"""),"R35")</f>
        <v>R35</v>
      </c>
      <c r="B1386" s="7" t="str">
        <f>IFERROR(__xludf.DUMMYFUNCTION("""COMPUTED_VALUE"""),"Solutions Architect")</f>
        <v>Solutions Architect</v>
      </c>
      <c r="C1386" s="7" t="str">
        <f>IFERROR(__xludf.DUMMYFUNCTION("""COMPUTED_VALUE"""),"S180")</f>
        <v>S180</v>
      </c>
      <c r="D1386" s="7" t="str">
        <f>IFERROR(__xludf.DUMMYFUNCTION("""COMPUTED_VALUE"""),"CI/CD Pipelines with GitHub Actions")</f>
        <v>CI/CD Pipelines with GitHub Actions</v>
      </c>
    </row>
    <row r="1387">
      <c r="A1387" s="7" t="str">
        <f>IFERROR(__xludf.DUMMYFUNCTION("""COMPUTED_VALUE"""),"R35")</f>
        <v>R35</v>
      </c>
      <c r="B1387" s="7" t="str">
        <f>IFERROR(__xludf.DUMMYFUNCTION("""COMPUTED_VALUE"""),"Solutions Architect")</f>
        <v>Solutions Architect</v>
      </c>
      <c r="C1387" s="7" t="str">
        <f>IFERROR(__xludf.DUMMYFUNCTION("""COMPUTED_VALUE"""),"S183")</f>
        <v>S183</v>
      </c>
      <c r="D1387" s="7" t="str">
        <f>IFERROR(__xludf.DUMMYFUNCTION("""COMPUTED_VALUE"""),"Web Servers, Reverse Proxy &amp; Load Balancing (Nginx, HAProxy)")</f>
        <v>Web Servers, Reverse Proxy &amp; Load Balancing (Nginx, HAProxy)</v>
      </c>
    </row>
    <row r="1388">
      <c r="A1388" s="7" t="str">
        <f>IFERROR(__xludf.DUMMYFUNCTION("""COMPUTED_VALUE"""),"R35")</f>
        <v>R35</v>
      </c>
      <c r="B1388" s="7" t="str">
        <f>IFERROR(__xludf.DUMMYFUNCTION("""COMPUTED_VALUE"""),"Solutions Architect")</f>
        <v>Solutions Architect</v>
      </c>
      <c r="C1388" s="7" t="str">
        <f>IFERROR(__xludf.DUMMYFUNCTION("""COMPUTED_VALUE"""),"S184")</f>
        <v>S184</v>
      </c>
      <c r="D1388" s="7" t="str">
        <f>IFERROR(__xludf.DUMMYFUNCTION("""COMPUTED_VALUE"""),"Infrastructure &amp; Metrics Monitoring (Prometheus &amp; Grafana)")</f>
        <v>Infrastructure &amp; Metrics Monitoring (Prometheus &amp; Grafana)</v>
      </c>
    </row>
    <row r="1389">
      <c r="A1389" s="7" t="str">
        <f>IFERROR(__xludf.DUMMYFUNCTION("""COMPUTED_VALUE"""),"R35")</f>
        <v>R35</v>
      </c>
      <c r="B1389" s="7" t="str">
        <f>IFERROR(__xludf.DUMMYFUNCTION("""COMPUTED_VALUE"""),"Solutions Architect")</f>
        <v>Solutions Architect</v>
      </c>
      <c r="C1389" s="7" t="str">
        <f>IFERROR(__xludf.DUMMYFUNCTION("""COMPUTED_VALUE"""),"S185")</f>
        <v>S185</v>
      </c>
      <c r="D1389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390">
      <c r="A1390" s="7" t="str">
        <f>IFERROR(__xludf.DUMMYFUNCTION("""COMPUTED_VALUE"""),"R35")</f>
        <v>R35</v>
      </c>
      <c r="B1390" s="7" t="str">
        <f>IFERROR(__xludf.DUMMYFUNCTION("""COMPUTED_VALUE"""),"Solutions Architect")</f>
        <v>Solutions Architect</v>
      </c>
      <c r="C1390" s="7" t="str">
        <f>IFERROR(__xludf.DUMMYFUNCTION("""COMPUTED_VALUE"""),"S186")</f>
        <v>S186</v>
      </c>
      <c r="D1390" s="7" t="str">
        <f>IFERROR(__xludf.DUMMYFUNCTION("""COMPUTED_VALUE"""),"Site Reliability Engineering (SLIs, SLOs, SLAs &amp; Error Budgets)")</f>
        <v>Site Reliability Engineering (SLIs, SLOs, SLAs &amp; Error Budgets)</v>
      </c>
    </row>
    <row r="1391">
      <c r="A1391" s="7" t="str">
        <f>IFERROR(__xludf.DUMMYFUNCTION("""COMPUTED_VALUE"""),"R35")</f>
        <v>R35</v>
      </c>
      <c r="B1391" s="7" t="str">
        <f>IFERROR(__xludf.DUMMYFUNCTION("""COMPUTED_VALUE"""),"Solutions Architect")</f>
        <v>Solutions Architect</v>
      </c>
      <c r="C1391" s="7" t="str">
        <f>IFERROR(__xludf.DUMMYFUNCTION("""COMPUTED_VALUE"""),"S188")</f>
        <v>S188</v>
      </c>
      <c r="D1391" s="7" t="str">
        <f>IFERROR(__xludf.DUMMYFUNCTION("""COMPUTED_VALUE"""),"High Availability, Failover &amp; Disaster Recovery")</f>
        <v>High Availability, Failover &amp; Disaster Recovery</v>
      </c>
    </row>
    <row r="1392">
      <c r="A1392" s="7" t="str">
        <f>IFERROR(__xludf.DUMMYFUNCTION("""COMPUTED_VALUE"""),"R35")</f>
        <v>R35</v>
      </c>
      <c r="B1392" s="7" t="str">
        <f>IFERROR(__xludf.DUMMYFUNCTION("""COMPUTED_VALUE"""),"Solutions Architect")</f>
        <v>Solutions Architect</v>
      </c>
      <c r="C1392" s="7" t="str">
        <f>IFERROR(__xludf.DUMMYFUNCTION("""COMPUTED_VALUE"""),"S189")</f>
        <v>S189</v>
      </c>
      <c r="D1392" s="7" t="str">
        <f>IFERROR(__xludf.DUMMYFUNCTION("""COMPUTED_VALUE"""),"Cloud FinOps &amp; Cost Optimization")</f>
        <v>Cloud FinOps &amp; Cost Optimization</v>
      </c>
    </row>
    <row r="1393">
      <c r="A1393" s="7" t="str">
        <f>IFERROR(__xludf.DUMMYFUNCTION("""COMPUTED_VALUE"""),"R35")</f>
        <v>R35</v>
      </c>
      <c r="B1393" s="7" t="str">
        <f>IFERROR(__xludf.DUMMYFUNCTION("""COMPUTED_VALUE"""),"Solutions Architect")</f>
        <v>Solutions Architect</v>
      </c>
      <c r="C1393" s="7" t="str">
        <f>IFERROR(__xludf.DUMMYFUNCTION("""COMPUTED_VALUE"""),"S194")</f>
        <v>S194</v>
      </c>
      <c r="D1393" s="7" t="str">
        <f>IFERROR(__xludf.DUMMYFUNCTION("""COMPUTED_VALUE"""),"TCP/IP Networking, Subnetting, VLANs &amp; VPNs")</f>
        <v>TCP/IP Networking, Subnetting, VLANs &amp; VPNs</v>
      </c>
    </row>
    <row r="1394">
      <c r="A1394" s="7" t="str">
        <f>IFERROR(__xludf.DUMMYFUNCTION("""COMPUTED_VALUE"""),"R35")</f>
        <v>R35</v>
      </c>
      <c r="B1394" s="7" t="str">
        <f>IFERROR(__xludf.DUMMYFUNCTION("""COMPUTED_VALUE"""),"Solutions Architect")</f>
        <v>Solutions Architect</v>
      </c>
      <c r="C1394" s="7" t="str">
        <f>IFERROR(__xludf.DUMMYFUNCTION("""COMPUTED_VALUE"""),"S196")</f>
        <v>S196</v>
      </c>
      <c r="D1394" s="7" t="str">
        <f>IFERROR(__xludf.DUMMYFUNCTION("""COMPUTED_VALUE"""),"Cybersecurity Principles &amp; CIA Triad")</f>
        <v>Cybersecurity Principles &amp; CIA Triad</v>
      </c>
    </row>
    <row r="1395">
      <c r="A1395" s="7" t="str">
        <f>IFERROR(__xludf.DUMMYFUNCTION("""COMPUTED_VALUE"""),"R35")</f>
        <v>R35</v>
      </c>
      <c r="B1395" s="7" t="str">
        <f>IFERROR(__xludf.DUMMYFUNCTION("""COMPUTED_VALUE"""),"Solutions Architect")</f>
        <v>Solutions Architect</v>
      </c>
      <c r="C1395" s="7" t="str">
        <f>IFERROR(__xludf.DUMMYFUNCTION("""COMPUTED_VALUE"""),"S197")</f>
        <v>S197</v>
      </c>
      <c r="D1395" s="7" t="str">
        <f>IFERROR(__xludf.DUMMYFUNCTION("""COMPUTED_VALUE"""),"Network Security, Firewalls &amp; WAF")</f>
        <v>Network Security, Firewalls &amp; WAF</v>
      </c>
    </row>
    <row r="1396">
      <c r="A1396" s="7" t="str">
        <f>IFERROR(__xludf.DUMMYFUNCTION("""COMPUTED_VALUE"""),"R35")</f>
        <v>R35</v>
      </c>
      <c r="B1396" s="7" t="str">
        <f>IFERROR(__xludf.DUMMYFUNCTION("""COMPUTED_VALUE"""),"Solutions Architect")</f>
        <v>Solutions Architect</v>
      </c>
      <c r="C1396" s="7" t="str">
        <f>IFERROR(__xludf.DUMMYFUNCTION("""COMPUTED_VALUE"""),"S210")</f>
        <v>S210</v>
      </c>
      <c r="D1396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397">
      <c r="A1397" s="7" t="str">
        <f>IFERROR(__xludf.DUMMYFUNCTION("""COMPUTED_VALUE"""),"R35")</f>
        <v>R35</v>
      </c>
      <c r="B1397" s="7" t="str">
        <f>IFERROR(__xludf.DUMMYFUNCTION("""COMPUTED_VALUE"""),"Solutions Architect")</f>
        <v>Solutions Architect</v>
      </c>
      <c r="C1397" s="7" t="str">
        <f>IFERROR(__xludf.DUMMYFUNCTION("""COMPUTED_VALUE"""),"S211")</f>
        <v>S211</v>
      </c>
      <c r="D1397" s="7" t="str">
        <f>IFERROR(__xludf.DUMMYFUNCTION("""COMPUTED_VALUE"""),"Zero Trust Network Architecture")</f>
        <v>Zero Trust Network Architecture</v>
      </c>
    </row>
    <row r="1398">
      <c r="A1398" s="7" t="str">
        <f>IFERROR(__xludf.DUMMYFUNCTION("""COMPUTED_VALUE"""),"R35")</f>
        <v>R35</v>
      </c>
      <c r="B1398" s="7" t="str">
        <f>IFERROR(__xludf.DUMMYFUNCTION("""COMPUTED_VALUE"""),"Solutions Architect")</f>
        <v>Solutions Architect</v>
      </c>
      <c r="C1398" s="7" t="str">
        <f>IFERROR(__xludf.DUMMYFUNCTION("""COMPUTED_VALUE"""),"S212")</f>
        <v>S212</v>
      </c>
      <c r="D1398" s="7" t="str">
        <f>IFERROR(__xludf.DUMMYFUNCTION("""COMPUTED_VALUE"""),"Cloud Security Posture Management (AWS/Azure Security, CSPM)")</f>
        <v>Cloud Security Posture Management (AWS/Azure Security, CSPM)</v>
      </c>
    </row>
    <row r="1399">
      <c r="A1399" s="7" t="str">
        <f>IFERROR(__xludf.DUMMYFUNCTION("""COMPUTED_VALUE"""),"R35")</f>
        <v>R35</v>
      </c>
      <c r="B1399" s="7" t="str">
        <f>IFERROR(__xludf.DUMMYFUNCTION("""COMPUTED_VALUE"""),"Solutions Architect")</f>
        <v>Solutions Architect</v>
      </c>
      <c r="C1399" s="7" t="str">
        <f>IFERROR(__xludf.DUMMYFUNCTION("""COMPUTED_VALUE"""),"S217")</f>
        <v>S217</v>
      </c>
      <c r="D1399" s="7" t="str">
        <f>IFERROR(__xludf.DUMMYFUNCTION("""COMPUTED_VALUE"""),"Governance, Risk &amp; Compliance (ISO 27001, SOC 2, NIST, GDPR)")</f>
        <v>Governance, Risk &amp; Compliance (ISO 27001, SOC 2, NIST, GDPR)</v>
      </c>
    </row>
    <row r="1400">
      <c r="A1400" s="7" t="str">
        <f>IFERROR(__xludf.DUMMYFUNCTION("""COMPUTED_VALUE"""),"R35")</f>
        <v>R35</v>
      </c>
      <c r="B1400" s="7" t="str">
        <f>IFERROR(__xludf.DUMMYFUNCTION("""COMPUTED_VALUE"""),"Solutions Architect")</f>
        <v>Solutions Architect</v>
      </c>
      <c r="C1400" s="7" t="str">
        <f>IFERROR(__xludf.DUMMYFUNCTION("""COMPUTED_VALUE"""),"S240")</f>
        <v>S240</v>
      </c>
      <c r="D1400" s="7" t="str">
        <f>IFERROR(__xludf.DUMMYFUNCTION("""COMPUTED_VALUE"""),"Enterprise Resource Planning Systems (SAP ERP, S/4HANA, ABAP)")</f>
        <v>Enterprise Resource Planning Systems (SAP ERP, S/4HANA, ABAP)</v>
      </c>
    </row>
    <row r="1401">
      <c r="A1401" s="7" t="str">
        <f>IFERROR(__xludf.DUMMYFUNCTION("""COMPUTED_VALUE"""),"R35")</f>
        <v>R35</v>
      </c>
      <c r="B1401" s="7" t="str">
        <f>IFERROR(__xludf.DUMMYFUNCTION("""COMPUTED_VALUE"""),"Solutions Architect")</f>
        <v>Solutions Architect</v>
      </c>
      <c r="C1401" s="7" t="str">
        <f>IFERROR(__xludf.DUMMYFUNCTION("""COMPUTED_VALUE"""),"S241")</f>
        <v>S241</v>
      </c>
      <c r="D1401" s="7" t="str">
        <f>IFERROR(__xludf.DUMMYFUNCTION("""COMPUTED_VALUE"""),"Customer Relationship Management Platforms (Salesforce CRM, Apex, LWC)")</f>
        <v>Customer Relationship Management Platforms (Salesforce CRM, Apex, LWC)</v>
      </c>
    </row>
    <row r="1402">
      <c r="A1402" s="7" t="str">
        <f>IFERROR(__xludf.DUMMYFUNCTION("""COMPUTED_VALUE"""),"R35")</f>
        <v>R35</v>
      </c>
      <c r="B1402" s="7" t="str">
        <f>IFERROR(__xludf.DUMMYFUNCTION("""COMPUTED_VALUE"""),"Solutions Architect")</f>
        <v>Solutions Architect</v>
      </c>
      <c r="C1402" s="7" t="str">
        <f>IFERROR(__xludf.DUMMYFUNCTION("""COMPUTED_VALUE"""),"S243")</f>
        <v>S243</v>
      </c>
      <c r="D1402" s="7" t="str">
        <f>IFERROR(__xludf.DUMMYFUNCTION("""COMPUTED_VALUE"""),"Large-Scale System Design &amp; High-Scalability Architecture")</f>
        <v>Large-Scale System Design &amp; High-Scalability Architecture</v>
      </c>
    </row>
    <row r="1403">
      <c r="A1403" s="7" t="str">
        <f>IFERROR(__xludf.DUMMYFUNCTION("""COMPUTED_VALUE"""),"R35")</f>
        <v>R35</v>
      </c>
      <c r="B1403" s="7" t="str">
        <f>IFERROR(__xludf.DUMMYFUNCTION("""COMPUTED_VALUE"""),"Solutions Architect")</f>
        <v>Solutions Architect</v>
      </c>
      <c r="C1403" s="7" t="str">
        <f>IFERROR(__xludf.DUMMYFUNCTION("""COMPUTED_VALUE"""),"S244")</f>
        <v>S244</v>
      </c>
      <c r="D1403" s="7" t="str">
        <f>IFERROR(__xludf.DUMMYFUNCTION("""COMPUTED_VALUE"""),"Distributed Systems Theory (CAP Theorem, Consensus, Raft/Paxos)")</f>
        <v>Distributed Systems Theory (CAP Theorem, Consensus, Raft/Paxos)</v>
      </c>
    </row>
    <row r="1404">
      <c r="A1404" s="7" t="str">
        <f>IFERROR(__xludf.DUMMYFUNCTION("""COMPUTED_VALUE"""),"R35")</f>
        <v>R35</v>
      </c>
      <c r="B1404" s="7" t="str">
        <f>IFERROR(__xludf.DUMMYFUNCTION("""COMPUTED_VALUE"""),"Solutions Architect")</f>
        <v>Solutions Architect</v>
      </c>
      <c r="C1404" s="7" t="str">
        <f>IFERROR(__xludf.DUMMYFUNCTION("""COMPUTED_VALUE"""),"S245")</f>
        <v>S245</v>
      </c>
      <c r="D1404" s="7" t="str">
        <f>IFERROR(__xludf.DUMMYFUNCTION("""COMPUTED_VALUE"""),"Enterprise Architecture Frameworks (TOGAF, Domain-Driven Design)")</f>
        <v>Enterprise Architecture Frameworks (TOGAF, Domain-Driven Design)</v>
      </c>
    </row>
    <row r="1405">
      <c r="A1405" s="7" t="str">
        <f>IFERROR(__xludf.DUMMYFUNCTION("""COMPUTED_VALUE"""),"R35")</f>
        <v>R35</v>
      </c>
      <c r="B1405" s="7" t="str">
        <f>IFERROR(__xludf.DUMMYFUNCTION("""COMPUTED_VALUE"""),"Solutions Architect")</f>
        <v>Solutions Architect</v>
      </c>
      <c r="C1405" s="7" t="str">
        <f>IFERROR(__xludf.DUMMYFUNCTION("""COMPUTED_VALUE"""),"S246")</f>
        <v>S246</v>
      </c>
      <c r="D1405" s="7" t="str">
        <f>IFERROR(__xludf.DUMMYFUNCTION("""COMPUTED_VALUE"""),"Agile Methodologies, Scrum Framework &amp; Kanban")</f>
        <v>Agile Methodologies, Scrum Framework &amp; Kanban</v>
      </c>
    </row>
    <row r="1406">
      <c r="A1406" s="7" t="str">
        <f>IFERROR(__xludf.DUMMYFUNCTION("""COMPUTED_VALUE"""),"R35")</f>
        <v>R35</v>
      </c>
      <c r="B1406" s="7" t="str">
        <f>IFERROR(__xludf.DUMMYFUNCTION("""COMPUTED_VALUE"""),"Solutions Architect")</f>
        <v>Solutions Architect</v>
      </c>
      <c r="C1406" s="7" t="str">
        <f>IFERROR(__xludf.DUMMYFUNCTION("""COMPUTED_VALUE"""),"S247")</f>
        <v>S247</v>
      </c>
      <c r="D1406" s="7" t="str">
        <f>IFERROR(__xludf.DUMMYFUNCTION("""COMPUTED_VALUE"""),"Project Tracking &amp; Documentation Tools (Jira, Confluence, Linear)")</f>
        <v>Project Tracking &amp; Documentation Tools (Jira, Confluence, Linear)</v>
      </c>
    </row>
    <row r="1407">
      <c r="A1407" s="7" t="str">
        <f>IFERROR(__xludf.DUMMYFUNCTION("""COMPUTED_VALUE"""),"R35")</f>
        <v>R35</v>
      </c>
      <c r="B1407" s="7" t="str">
        <f>IFERROR(__xludf.DUMMYFUNCTION("""COMPUTED_VALUE"""),"Solutions Architect")</f>
        <v>Solutions Architect</v>
      </c>
      <c r="C1407" s="7" t="str">
        <f>IFERROR(__xludf.DUMMYFUNCTION("""COMPUTED_VALUE"""),"S248")</f>
        <v>S248</v>
      </c>
      <c r="D1407" s="7" t="str">
        <f>IFERROR(__xludf.DUMMYFUNCTION("""COMPUTED_VALUE"""),"Product Management, Roadmapping &amp; User Story Mapping")</f>
        <v>Product Management, Roadmapping &amp; User Story Mapping</v>
      </c>
    </row>
    <row r="1408">
      <c r="A1408" s="7" t="str">
        <f>IFERROR(__xludf.DUMMYFUNCTION("""COMPUTED_VALUE"""),"R35")</f>
        <v>R35</v>
      </c>
      <c r="B1408" s="7" t="str">
        <f>IFERROR(__xludf.DUMMYFUNCTION("""COMPUTED_VALUE"""),"Solutions Architect")</f>
        <v>Solutions Architect</v>
      </c>
      <c r="C1408" s="7" t="str">
        <f>IFERROR(__xludf.DUMMYFUNCTION("""COMPUTED_VALUE"""),"S249")</f>
        <v>S249</v>
      </c>
      <c r="D1408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409">
      <c r="A1409" s="7" t="str">
        <f>IFERROR(__xludf.DUMMYFUNCTION("""COMPUTED_VALUE"""),"R35")</f>
        <v>R35</v>
      </c>
      <c r="B1409" s="7" t="str">
        <f>IFERROR(__xludf.DUMMYFUNCTION("""COMPUTED_VALUE"""),"Solutions Architect")</f>
        <v>Solutions Architect</v>
      </c>
      <c r="C1409" s="7" t="str">
        <f>IFERROR(__xludf.DUMMYFUNCTION("""COMPUTED_VALUE"""),"S250")</f>
        <v>S250</v>
      </c>
      <c r="D1409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410">
      <c r="A1410" s="7" t="str">
        <f>IFERROR(__xludf.DUMMYFUNCTION("""COMPUTED_VALUE"""),"R36")</f>
        <v>R36</v>
      </c>
      <c r="B1410" s="7" t="str">
        <f>IFERROR(__xludf.DUMMYFUNCTION("""COMPUTED_VALUE"""),"IT Project Manager")</f>
        <v>IT Project Manager</v>
      </c>
      <c r="C1410" s="7" t="str">
        <f>IFERROR(__xludf.DUMMYFUNCTION("""COMPUTED_VALUE"""),"S017")</f>
        <v>S017</v>
      </c>
      <c r="D1410" s="7" t="str">
        <f>IFERROR(__xludf.DUMMYFUNCTION("""COMPUTED_VALUE"""),"Git Version Control Fundamentals")</f>
        <v>Git Version Control Fundamentals</v>
      </c>
    </row>
    <row r="1411">
      <c r="A1411" s="7" t="str">
        <f>IFERROR(__xludf.DUMMYFUNCTION("""COMPUTED_VALUE"""),"R36")</f>
        <v>R36</v>
      </c>
      <c r="B1411" s="7" t="str">
        <f>IFERROR(__xludf.DUMMYFUNCTION("""COMPUTED_VALUE"""),"IT Project Manager")</f>
        <v>IT Project Manager</v>
      </c>
      <c r="C1411" s="7" t="str">
        <f>IFERROR(__xludf.DUMMYFUNCTION("""COMPUTED_VALUE"""),"S018")</f>
        <v>S018</v>
      </c>
      <c r="D1411" s="7" t="str">
        <f>IFERROR(__xludf.DUMMYFUNCTION("""COMPUTED_VALUE"""),"GitHub / GitLab Workflows &amp; Pull Requests")</f>
        <v>GitHub / GitLab Workflows &amp; Pull Requests</v>
      </c>
    </row>
    <row r="1412">
      <c r="A1412" s="7" t="str">
        <f>IFERROR(__xludf.DUMMYFUNCTION("""COMPUTED_VALUE"""),"R36")</f>
        <v>R36</v>
      </c>
      <c r="B1412" s="7" t="str">
        <f>IFERROR(__xludf.DUMMYFUNCTION("""COMPUTED_VALUE"""),"IT Project Manager")</f>
        <v>IT Project Manager</v>
      </c>
      <c r="C1412" s="7" t="str">
        <f>IFERROR(__xludf.DUMMYFUNCTION("""COMPUTED_VALUE"""),"S023")</f>
        <v>S023</v>
      </c>
      <c r="D1412" s="7" t="str">
        <f>IFERROR(__xludf.DUMMYFUNCTION("""COMPUTED_VALUE"""),"HTTP/HTTPS Protocols &amp; Status Codes")</f>
        <v>HTTP/HTTPS Protocols &amp; Status Codes</v>
      </c>
    </row>
    <row r="1413">
      <c r="A1413" s="7" t="str">
        <f>IFERROR(__xludf.DUMMYFUNCTION("""COMPUTED_VALUE"""),"R36")</f>
        <v>R36</v>
      </c>
      <c r="B1413" s="7" t="str">
        <f>IFERROR(__xludf.DUMMYFUNCTION("""COMPUTED_VALUE"""),"IT Project Manager")</f>
        <v>IT Project Manager</v>
      </c>
      <c r="C1413" s="7" t="str">
        <f>IFERROR(__xludf.DUMMYFUNCTION("""COMPUTED_VALUE"""),"S028")</f>
        <v>S028</v>
      </c>
      <c r="D1413" s="7" t="str">
        <f>IFERROR(__xludf.DUMMYFUNCTION("""COMPUTED_VALUE"""),"Technical Writing &amp; Markdown Documentation")</f>
        <v>Technical Writing &amp; Markdown Documentation</v>
      </c>
    </row>
    <row r="1414">
      <c r="A1414" s="7" t="str">
        <f>IFERROR(__xludf.DUMMYFUNCTION("""COMPUTED_VALUE"""),"R36")</f>
        <v>R36</v>
      </c>
      <c r="B1414" s="7" t="str">
        <f>IFERROR(__xludf.DUMMYFUNCTION("""COMPUTED_VALUE"""),"IT Project Manager")</f>
        <v>IT Project Manager</v>
      </c>
      <c r="C1414" s="7" t="str">
        <f>IFERROR(__xludf.DUMMYFUNCTION("""COMPUTED_VALUE"""),"S062")</f>
        <v>S062</v>
      </c>
      <c r="D1414" s="7" t="str">
        <f>IFERROR(__xludf.DUMMYFUNCTION("""COMPUTED_VALUE"""),"Wireframing &amp; Interactive Prototyping (Figma)")</f>
        <v>Wireframing &amp; Interactive Prototyping (Figma)</v>
      </c>
    </row>
    <row r="1415">
      <c r="A1415" s="7" t="str">
        <f>IFERROR(__xludf.DUMMYFUNCTION("""COMPUTED_VALUE"""),"R36")</f>
        <v>R36</v>
      </c>
      <c r="B1415" s="7" t="str">
        <f>IFERROR(__xludf.DUMMYFUNCTION("""COMPUTED_VALUE"""),"IT Project Manager")</f>
        <v>IT Project Manager</v>
      </c>
      <c r="C1415" s="7" t="str">
        <f>IFERROR(__xludf.DUMMYFUNCTION("""COMPUTED_VALUE"""),"S063")</f>
        <v>S063</v>
      </c>
      <c r="D1415" s="7" t="str">
        <f>IFERROR(__xludf.DUMMYFUNCTION("""COMPUTED_VALUE"""),"User Research, Personas &amp; Usability Testing")</f>
        <v>User Research, Personas &amp; Usability Testing</v>
      </c>
    </row>
    <row r="1416">
      <c r="A1416" s="7" t="str">
        <f>IFERROR(__xludf.DUMMYFUNCTION("""COMPUTED_VALUE"""),"R36")</f>
        <v>R36</v>
      </c>
      <c r="B1416" s="7" t="str">
        <f>IFERROR(__xludf.DUMMYFUNCTION("""COMPUTED_VALUE"""),"IT Project Manager")</f>
        <v>IT Project Manager</v>
      </c>
      <c r="C1416" s="7" t="str">
        <f>IFERROR(__xludf.DUMMYFUNCTION("""COMPUTED_VALUE"""),"S064")</f>
        <v>S064</v>
      </c>
      <c r="D1416" s="7" t="str">
        <f>IFERROR(__xludf.DUMMYFUNCTION("""COMPUTED_VALUE"""),"Information Architecture &amp; User Flows")</f>
        <v>Information Architecture &amp; User Flows</v>
      </c>
    </row>
    <row r="1417">
      <c r="A1417" s="7" t="str">
        <f>IFERROR(__xludf.DUMMYFUNCTION("""COMPUTED_VALUE"""),"R36")</f>
        <v>R36</v>
      </c>
      <c r="B1417" s="7" t="str">
        <f>IFERROR(__xludf.DUMMYFUNCTION("""COMPUTED_VALUE"""),"IT Project Manager")</f>
        <v>IT Project Manager</v>
      </c>
      <c r="C1417" s="7" t="str">
        <f>IFERROR(__xludf.DUMMYFUNCTION("""COMPUTED_VALUE"""),"S086")</f>
        <v>S086</v>
      </c>
      <c r="D1417" s="7" t="str">
        <f>IFERROR(__xludf.DUMMYFUNCTION("""COMPUTED_VALUE"""),"RESTful API Design &amp; OpenAPI/Swagger")</f>
        <v>RESTful API Design &amp; OpenAPI/Swagger</v>
      </c>
    </row>
    <row r="1418">
      <c r="A1418" s="7" t="str">
        <f>IFERROR(__xludf.DUMMYFUNCTION("""COMPUTED_VALUE"""),"R36")</f>
        <v>R36</v>
      </c>
      <c r="B1418" s="7" t="str">
        <f>IFERROR(__xludf.DUMMYFUNCTION("""COMPUTED_VALUE"""),"IT Project Manager")</f>
        <v>IT Project Manager</v>
      </c>
      <c r="C1418" s="7" t="str">
        <f>IFERROR(__xludf.DUMMYFUNCTION("""COMPUTED_VALUE"""),"S107")</f>
        <v>S107</v>
      </c>
      <c r="D1418" s="7" t="str">
        <f>IFERROR(__xludf.DUMMYFUNCTION("""COMPUTED_VALUE"""),"SQL Querying (Joins, Aggregations, Subqueries)")</f>
        <v>SQL Querying (Joins, Aggregations, Subqueries)</v>
      </c>
    </row>
    <row r="1419">
      <c r="A1419" s="7" t="str">
        <f>IFERROR(__xludf.DUMMYFUNCTION("""COMPUTED_VALUE"""),"R36")</f>
        <v>R36</v>
      </c>
      <c r="B1419" s="7" t="str">
        <f>IFERROR(__xludf.DUMMYFUNCTION("""COMPUTED_VALUE"""),"IT Project Manager")</f>
        <v>IT Project Manager</v>
      </c>
      <c r="C1419" s="7" t="str">
        <f>IFERROR(__xludf.DUMMYFUNCTION("""COMPUTED_VALUE"""),"S136")</f>
        <v>S136</v>
      </c>
      <c r="D1419" s="7" t="str">
        <f>IFERROR(__xludf.DUMMYFUNCTION("""COMPUTED_VALUE"""),"Probability Theory &amp; Descriptive Statistics")</f>
        <v>Probability Theory &amp; Descriptive Statistics</v>
      </c>
    </row>
    <row r="1420">
      <c r="A1420" s="7" t="str">
        <f>IFERROR(__xludf.DUMMYFUNCTION("""COMPUTED_VALUE"""),"R36")</f>
        <v>R36</v>
      </c>
      <c r="B1420" s="7" t="str">
        <f>IFERROR(__xludf.DUMMYFUNCTION("""COMPUTED_VALUE"""),"IT Project Manager")</f>
        <v>IT Project Manager</v>
      </c>
      <c r="C1420" s="7" t="str">
        <f>IFERROR(__xludf.DUMMYFUNCTION("""COMPUTED_VALUE"""),"S144")</f>
        <v>S144</v>
      </c>
      <c r="D1420" s="7" t="str">
        <f>IFERROR(__xludf.DUMMYFUNCTION("""COMPUTED_VALUE"""),"Business Intelligence &amp; Dashboards (Tableau)")</f>
        <v>Business Intelligence &amp; Dashboards (Tableau)</v>
      </c>
    </row>
    <row r="1421">
      <c r="A1421" s="7" t="str">
        <f>IFERROR(__xludf.DUMMYFUNCTION("""COMPUTED_VALUE"""),"R36")</f>
        <v>R36</v>
      </c>
      <c r="B1421" s="7" t="str">
        <f>IFERROR(__xludf.DUMMYFUNCTION("""COMPUTED_VALUE"""),"IT Project Manager")</f>
        <v>IT Project Manager</v>
      </c>
      <c r="C1421" s="7" t="str">
        <f>IFERROR(__xludf.DUMMYFUNCTION("""COMPUTED_VALUE"""),"S145")</f>
        <v>S145</v>
      </c>
      <c r="D1421" s="7" t="str">
        <f>IFERROR(__xludf.DUMMYFUNCTION("""COMPUTED_VALUE"""),"Business Intelligence &amp; DAX Modeling (Power BI)")</f>
        <v>Business Intelligence &amp; DAX Modeling (Power BI)</v>
      </c>
    </row>
    <row r="1422">
      <c r="A1422" s="7" t="str">
        <f>IFERROR(__xludf.DUMMYFUNCTION("""COMPUTED_VALUE"""),"R36")</f>
        <v>R36</v>
      </c>
      <c r="B1422" s="7" t="str">
        <f>IFERROR(__xludf.DUMMYFUNCTION("""COMPUTED_VALUE"""),"IT Project Manager")</f>
        <v>IT Project Manager</v>
      </c>
      <c r="C1422" s="7" t="str">
        <f>IFERROR(__xludf.DUMMYFUNCTION("""COMPUTED_VALUE"""),"S146")</f>
        <v>S146</v>
      </c>
      <c r="D1422" s="7" t="str">
        <f>IFERROR(__xludf.DUMMYFUNCTION("""COMPUTED_VALUE"""),"Advanced Excel, Pivot Tables &amp; Financial Modeling")</f>
        <v>Advanced Excel, Pivot Tables &amp; Financial Modeling</v>
      </c>
    </row>
    <row r="1423">
      <c r="A1423" s="7" t="str">
        <f>IFERROR(__xludf.DUMMYFUNCTION("""COMPUTED_VALUE"""),"R36")</f>
        <v>R36</v>
      </c>
      <c r="B1423" s="7" t="str">
        <f>IFERROR(__xludf.DUMMYFUNCTION("""COMPUTED_VALUE"""),"IT Project Manager")</f>
        <v>IT Project Manager</v>
      </c>
      <c r="C1423" s="7" t="str">
        <f>IFERROR(__xludf.DUMMYFUNCTION("""COMPUTED_VALUE"""),"S180")</f>
        <v>S180</v>
      </c>
      <c r="D1423" s="7" t="str">
        <f>IFERROR(__xludf.DUMMYFUNCTION("""COMPUTED_VALUE"""),"CI/CD Pipelines with GitHub Actions")</f>
        <v>CI/CD Pipelines with GitHub Actions</v>
      </c>
    </row>
    <row r="1424">
      <c r="A1424" s="7" t="str">
        <f>IFERROR(__xludf.DUMMYFUNCTION("""COMPUTED_VALUE"""),"R36")</f>
        <v>R36</v>
      </c>
      <c r="B1424" s="7" t="str">
        <f>IFERROR(__xludf.DUMMYFUNCTION("""COMPUTED_VALUE"""),"IT Project Manager")</f>
        <v>IT Project Manager</v>
      </c>
      <c r="C1424" s="7" t="str">
        <f>IFERROR(__xludf.DUMMYFUNCTION("""COMPUTED_VALUE"""),"S189")</f>
        <v>S189</v>
      </c>
      <c r="D1424" s="7" t="str">
        <f>IFERROR(__xludf.DUMMYFUNCTION("""COMPUTED_VALUE"""),"Cloud FinOps &amp; Cost Optimization")</f>
        <v>Cloud FinOps &amp; Cost Optimization</v>
      </c>
    </row>
    <row r="1425">
      <c r="A1425" s="7" t="str">
        <f>IFERROR(__xludf.DUMMYFUNCTION("""COMPUTED_VALUE"""),"R36")</f>
        <v>R36</v>
      </c>
      <c r="B1425" s="7" t="str">
        <f>IFERROR(__xludf.DUMMYFUNCTION("""COMPUTED_VALUE"""),"IT Project Manager")</f>
        <v>IT Project Manager</v>
      </c>
      <c r="C1425" s="7" t="str">
        <f>IFERROR(__xludf.DUMMYFUNCTION("""COMPUTED_VALUE"""),"S217")</f>
        <v>S217</v>
      </c>
      <c r="D1425" s="7" t="str">
        <f>IFERROR(__xludf.DUMMYFUNCTION("""COMPUTED_VALUE"""),"Governance, Risk &amp; Compliance (ISO 27001, SOC 2, NIST, GDPR)")</f>
        <v>Governance, Risk &amp; Compliance (ISO 27001, SOC 2, NIST, GDPR)</v>
      </c>
    </row>
    <row r="1426">
      <c r="A1426" s="7" t="str">
        <f>IFERROR(__xludf.DUMMYFUNCTION("""COMPUTED_VALUE"""),"R36")</f>
        <v>R36</v>
      </c>
      <c r="B1426" s="7" t="str">
        <f>IFERROR(__xludf.DUMMYFUNCTION("""COMPUTED_VALUE"""),"IT Project Manager")</f>
        <v>IT Project Manager</v>
      </c>
      <c r="C1426" s="7" t="str">
        <f>IFERROR(__xludf.DUMMYFUNCTION("""COMPUTED_VALUE"""),"S218")</f>
        <v>S218</v>
      </c>
      <c r="D1426" s="7" t="str">
        <f>IFERROR(__xludf.DUMMYFUNCTION("""COMPUTED_VALUE"""),"Security Auditing &amp; IT Risk Assessment")</f>
        <v>Security Auditing &amp; IT Risk Assessment</v>
      </c>
    </row>
    <row r="1427">
      <c r="A1427" s="7" t="str">
        <f>IFERROR(__xludf.DUMMYFUNCTION("""COMPUTED_VALUE"""),"R36")</f>
        <v>R36</v>
      </c>
      <c r="B1427" s="7" t="str">
        <f>IFERROR(__xludf.DUMMYFUNCTION("""COMPUTED_VALUE"""),"IT Project Manager")</f>
        <v>IT Project Manager</v>
      </c>
      <c r="C1427" s="7" t="str">
        <f>IFERROR(__xludf.DUMMYFUNCTION("""COMPUTED_VALUE"""),"S240")</f>
        <v>S240</v>
      </c>
      <c r="D1427" s="7" t="str">
        <f>IFERROR(__xludf.DUMMYFUNCTION("""COMPUTED_VALUE"""),"Enterprise Resource Planning Systems (SAP ERP, S/4HANA, ABAP)")</f>
        <v>Enterprise Resource Planning Systems (SAP ERP, S/4HANA, ABAP)</v>
      </c>
    </row>
    <row r="1428">
      <c r="A1428" s="7" t="str">
        <f>IFERROR(__xludf.DUMMYFUNCTION("""COMPUTED_VALUE"""),"R36")</f>
        <v>R36</v>
      </c>
      <c r="B1428" s="7" t="str">
        <f>IFERROR(__xludf.DUMMYFUNCTION("""COMPUTED_VALUE"""),"IT Project Manager")</f>
        <v>IT Project Manager</v>
      </c>
      <c r="C1428" s="7" t="str">
        <f>IFERROR(__xludf.DUMMYFUNCTION("""COMPUTED_VALUE"""),"S241")</f>
        <v>S241</v>
      </c>
      <c r="D1428" s="7" t="str">
        <f>IFERROR(__xludf.DUMMYFUNCTION("""COMPUTED_VALUE"""),"Customer Relationship Management Platforms (Salesforce CRM, Apex, LWC)")</f>
        <v>Customer Relationship Management Platforms (Salesforce CRM, Apex, LWC)</v>
      </c>
    </row>
    <row r="1429">
      <c r="A1429" s="7" t="str">
        <f>IFERROR(__xludf.DUMMYFUNCTION("""COMPUTED_VALUE"""),"R36")</f>
        <v>R36</v>
      </c>
      <c r="B1429" s="7" t="str">
        <f>IFERROR(__xludf.DUMMYFUNCTION("""COMPUTED_VALUE"""),"IT Project Manager")</f>
        <v>IT Project Manager</v>
      </c>
      <c r="C1429" s="7" t="str">
        <f>IFERROR(__xludf.DUMMYFUNCTION("""COMPUTED_VALUE"""),"S242")</f>
        <v>S242</v>
      </c>
      <c r="D1429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1430">
      <c r="A1430" s="7" t="str">
        <f>IFERROR(__xludf.DUMMYFUNCTION("""COMPUTED_VALUE"""),"R36")</f>
        <v>R36</v>
      </c>
      <c r="B1430" s="7" t="str">
        <f>IFERROR(__xludf.DUMMYFUNCTION("""COMPUTED_VALUE"""),"IT Project Manager")</f>
        <v>IT Project Manager</v>
      </c>
      <c r="C1430" s="7" t="str">
        <f>IFERROR(__xludf.DUMMYFUNCTION("""COMPUTED_VALUE"""),"S246")</f>
        <v>S246</v>
      </c>
      <c r="D1430" s="7" t="str">
        <f>IFERROR(__xludf.DUMMYFUNCTION("""COMPUTED_VALUE"""),"Agile Methodologies, Scrum Framework &amp; Kanban")</f>
        <v>Agile Methodologies, Scrum Framework &amp; Kanban</v>
      </c>
    </row>
    <row r="1431">
      <c r="A1431" s="7" t="str">
        <f>IFERROR(__xludf.DUMMYFUNCTION("""COMPUTED_VALUE"""),"R36")</f>
        <v>R36</v>
      </c>
      <c r="B1431" s="7" t="str">
        <f>IFERROR(__xludf.DUMMYFUNCTION("""COMPUTED_VALUE"""),"IT Project Manager")</f>
        <v>IT Project Manager</v>
      </c>
      <c r="C1431" s="7" t="str">
        <f>IFERROR(__xludf.DUMMYFUNCTION("""COMPUTED_VALUE"""),"S247")</f>
        <v>S247</v>
      </c>
      <c r="D1431" s="7" t="str">
        <f>IFERROR(__xludf.DUMMYFUNCTION("""COMPUTED_VALUE"""),"Project Tracking &amp; Documentation Tools (Jira, Confluence, Linear)")</f>
        <v>Project Tracking &amp; Documentation Tools (Jira, Confluence, Linear)</v>
      </c>
    </row>
    <row r="1432">
      <c r="A1432" s="7" t="str">
        <f>IFERROR(__xludf.DUMMYFUNCTION("""COMPUTED_VALUE"""),"R36")</f>
        <v>R36</v>
      </c>
      <c r="B1432" s="7" t="str">
        <f>IFERROR(__xludf.DUMMYFUNCTION("""COMPUTED_VALUE"""),"IT Project Manager")</f>
        <v>IT Project Manager</v>
      </c>
      <c r="C1432" s="7" t="str">
        <f>IFERROR(__xludf.DUMMYFUNCTION("""COMPUTED_VALUE"""),"S248")</f>
        <v>S248</v>
      </c>
      <c r="D1432" s="7" t="str">
        <f>IFERROR(__xludf.DUMMYFUNCTION("""COMPUTED_VALUE"""),"Product Management, Roadmapping &amp; User Story Mapping")</f>
        <v>Product Management, Roadmapping &amp; User Story Mapping</v>
      </c>
    </row>
    <row r="1433">
      <c r="A1433" s="7" t="str">
        <f>IFERROR(__xludf.DUMMYFUNCTION("""COMPUTED_VALUE"""),"R36")</f>
        <v>R36</v>
      </c>
      <c r="B1433" s="7" t="str">
        <f>IFERROR(__xludf.DUMMYFUNCTION("""COMPUTED_VALUE"""),"IT Project Manager")</f>
        <v>IT Project Manager</v>
      </c>
      <c r="C1433" s="7" t="str">
        <f>IFERROR(__xludf.DUMMYFUNCTION("""COMPUTED_VALUE"""),"S249")</f>
        <v>S249</v>
      </c>
      <c r="D1433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434">
      <c r="A1434" s="7" t="str">
        <f>IFERROR(__xludf.DUMMYFUNCTION("""COMPUTED_VALUE"""),"R36")</f>
        <v>R36</v>
      </c>
      <c r="B1434" s="7" t="str">
        <f>IFERROR(__xludf.DUMMYFUNCTION("""COMPUTED_VALUE"""),"IT Project Manager")</f>
        <v>IT Project Manager</v>
      </c>
      <c r="C1434" s="7" t="str">
        <f>IFERROR(__xludf.DUMMYFUNCTION("""COMPUTED_VALUE"""),"S250")</f>
        <v>S250</v>
      </c>
      <c r="D1434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435">
      <c r="A1435" s="7" t="str">
        <f>IFERROR(__xludf.DUMMYFUNCTION("""COMPUTED_VALUE"""),"R37")</f>
        <v>R37</v>
      </c>
      <c r="B1435" s="7" t="str">
        <f>IFERROR(__xludf.DUMMYFUNCTION("""COMPUTED_VALUE"""),"Release Manager")</f>
        <v>Release Manager</v>
      </c>
      <c r="C1435" s="7" t="str">
        <f>IFERROR(__xludf.DUMMYFUNCTION("""COMPUTED_VALUE"""),"S017")</f>
        <v>S017</v>
      </c>
      <c r="D1435" s="7" t="str">
        <f>IFERROR(__xludf.DUMMYFUNCTION("""COMPUTED_VALUE"""),"Git Version Control Fundamentals")</f>
        <v>Git Version Control Fundamentals</v>
      </c>
    </row>
    <row r="1436">
      <c r="A1436" s="7" t="str">
        <f>IFERROR(__xludf.DUMMYFUNCTION("""COMPUTED_VALUE"""),"R37")</f>
        <v>R37</v>
      </c>
      <c r="B1436" s="7" t="str">
        <f>IFERROR(__xludf.DUMMYFUNCTION("""COMPUTED_VALUE"""),"Release Manager")</f>
        <v>Release Manager</v>
      </c>
      <c r="C1436" s="7" t="str">
        <f>IFERROR(__xludf.DUMMYFUNCTION("""COMPUTED_VALUE"""),"S018")</f>
        <v>S018</v>
      </c>
      <c r="D1436" s="7" t="str">
        <f>IFERROR(__xludf.DUMMYFUNCTION("""COMPUTED_VALUE"""),"GitHub / GitLab Workflows &amp; Pull Requests")</f>
        <v>GitHub / GitLab Workflows &amp; Pull Requests</v>
      </c>
    </row>
    <row r="1437">
      <c r="A1437" s="7" t="str">
        <f>IFERROR(__xludf.DUMMYFUNCTION("""COMPUTED_VALUE"""),"R37")</f>
        <v>R37</v>
      </c>
      <c r="B1437" s="7" t="str">
        <f>IFERROR(__xludf.DUMMYFUNCTION("""COMPUTED_VALUE"""),"Release Manager")</f>
        <v>Release Manager</v>
      </c>
      <c r="C1437" s="7" t="str">
        <f>IFERROR(__xludf.DUMMYFUNCTION("""COMPUTED_VALUE"""),"S019")</f>
        <v>S019</v>
      </c>
      <c r="D1437" s="7" t="str">
        <f>IFERROR(__xludf.DUMMYFUNCTION("""COMPUTED_VALUE"""),"Linux Command Line &amp; File Permissions")</f>
        <v>Linux Command Line &amp; File Permissions</v>
      </c>
    </row>
    <row r="1438">
      <c r="A1438" s="7" t="str">
        <f>IFERROR(__xludf.DUMMYFUNCTION("""COMPUTED_VALUE"""),"R37")</f>
        <v>R37</v>
      </c>
      <c r="B1438" s="7" t="str">
        <f>IFERROR(__xludf.DUMMYFUNCTION("""COMPUTED_VALUE"""),"Release Manager")</f>
        <v>Release Manager</v>
      </c>
      <c r="C1438" s="7" t="str">
        <f>IFERROR(__xludf.DUMMYFUNCTION("""COMPUTED_VALUE"""),"S020")</f>
        <v>S020</v>
      </c>
      <c r="D1438" s="7" t="str">
        <f>IFERROR(__xludf.DUMMYFUNCTION("""COMPUTED_VALUE"""),"Bash &amp; Shell Scripting")</f>
        <v>Bash &amp; Shell Scripting</v>
      </c>
    </row>
    <row r="1439">
      <c r="A1439" s="7" t="str">
        <f>IFERROR(__xludf.DUMMYFUNCTION("""COMPUTED_VALUE"""),"R37")</f>
        <v>R37</v>
      </c>
      <c r="B1439" s="7" t="str">
        <f>IFERROR(__xludf.DUMMYFUNCTION("""COMPUTED_VALUE"""),"Release Manager")</f>
        <v>Release Manager</v>
      </c>
      <c r="C1439" s="7" t="str">
        <f>IFERROR(__xludf.DUMMYFUNCTION("""COMPUTED_VALUE"""),"S023")</f>
        <v>S023</v>
      </c>
      <c r="D1439" s="7" t="str">
        <f>IFERROR(__xludf.DUMMYFUNCTION("""COMPUTED_VALUE"""),"HTTP/HTTPS Protocols &amp; Status Codes")</f>
        <v>HTTP/HTTPS Protocols &amp; Status Codes</v>
      </c>
    </row>
    <row r="1440">
      <c r="A1440" s="7" t="str">
        <f>IFERROR(__xludf.DUMMYFUNCTION("""COMPUTED_VALUE"""),"R37")</f>
        <v>R37</v>
      </c>
      <c r="B1440" s="7" t="str">
        <f>IFERROR(__xludf.DUMMYFUNCTION("""COMPUTED_VALUE"""),"Release Manager")</f>
        <v>Release Manager</v>
      </c>
      <c r="C1440" s="7" t="str">
        <f>IFERROR(__xludf.DUMMYFUNCTION("""COMPUTED_VALUE"""),"S026")</f>
        <v>S026</v>
      </c>
      <c r="D1440" s="7" t="str">
        <f>IFERROR(__xludf.DUMMYFUNCTION("""COMPUTED_VALUE"""),"Data Serialization (JSON, XML, YAML, Protobuf)")</f>
        <v>Data Serialization (JSON, XML, YAML, Protobuf)</v>
      </c>
    </row>
    <row r="1441">
      <c r="A1441" s="7" t="str">
        <f>IFERROR(__xludf.DUMMYFUNCTION("""COMPUTED_VALUE"""),"R37")</f>
        <v>R37</v>
      </c>
      <c r="B1441" s="7" t="str">
        <f>IFERROR(__xludf.DUMMYFUNCTION("""COMPUTED_VALUE"""),"Release Manager")</f>
        <v>Release Manager</v>
      </c>
      <c r="C1441" s="7" t="str">
        <f>IFERROR(__xludf.DUMMYFUNCTION("""COMPUTED_VALUE"""),"S028")</f>
        <v>S028</v>
      </c>
      <c r="D1441" s="7" t="str">
        <f>IFERROR(__xludf.DUMMYFUNCTION("""COMPUTED_VALUE"""),"Technical Writing &amp; Markdown Documentation")</f>
        <v>Technical Writing &amp; Markdown Documentation</v>
      </c>
    </row>
    <row r="1442">
      <c r="A1442" s="7" t="str">
        <f>IFERROR(__xludf.DUMMYFUNCTION("""COMPUTED_VALUE"""),"R37")</f>
        <v>R37</v>
      </c>
      <c r="B1442" s="7" t="str">
        <f>IFERROR(__xludf.DUMMYFUNCTION("""COMPUTED_VALUE"""),"Release Manager")</f>
        <v>Release Manager</v>
      </c>
      <c r="C1442" s="7" t="str">
        <f>IFERROR(__xludf.DUMMYFUNCTION("""COMPUTED_VALUE"""),"S029")</f>
        <v>S029</v>
      </c>
      <c r="D1442" s="7" t="str">
        <f>IFERROR(__xludf.DUMMYFUNCTION("""COMPUTED_VALUE"""),"Debugging, Profiling &amp; Root Cause Analysis")</f>
        <v>Debugging, Profiling &amp; Root Cause Analysis</v>
      </c>
    </row>
    <row r="1443">
      <c r="A1443" s="7" t="str">
        <f>IFERROR(__xludf.DUMMYFUNCTION("""COMPUTED_VALUE"""),"R37")</f>
        <v>R37</v>
      </c>
      <c r="B1443" s="7" t="str">
        <f>IFERROR(__xludf.DUMMYFUNCTION("""COMPUTED_VALUE"""),"Release Manager")</f>
        <v>Release Manager</v>
      </c>
      <c r="C1443" s="7" t="str">
        <f>IFERROR(__xludf.DUMMYFUNCTION("""COMPUTED_VALUE"""),"S050")</f>
        <v>S050</v>
      </c>
      <c r="D1443" s="7" t="str">
        <f>IFERROR(__xludf.DUMMYFUNCTION("""COMPUTED_VALUE"""),"Module Bundlers &amp; Build Tools (Vite, Webpack, Rollup)")</f>
        <v>Module Bundlers &amp; Build Tools (Vite, Webpack, Rollup)</v>
      </c>
    </row>
    <row r="1444">
      <c r="A1444" s="7" t="str">
        <f>IFERROR(__xludf.DUMMYFUNCTION("""COMPUTED_VALUE"""),"R37")</f>
        <v>R37</v>
      </c>
      <c r="B1444" s="7" t="str">
        <f>IFERROR(__xludf.DUMMYFUNCTION("""COMPUTED_VALUE"""),"Release Manager")</f>
        <v>Release Manager</v>
      </c>
      <c r="C1444" s="7" t="str">
        <f>IFERROR(__xludf.DUMMYFUNCTION("""COMPUTED_VALUE"""),"S051")</f>
        <v>S051</v>
      </c>
      <c r="D1444" s="7" t="str">
        <f>IFERROR(__xludf.DUMMYFUNCTION("""COMPUTED_VALUE"""),"Package Managers (npm, yarn, pnpm)")</f>
        <v>Package Managers (npm, yarn, pnpm)</v>
      </c>
    </row>
    <row r="1445">
      <c r="A1445" s="7" t="str">
        <f>IFERROR(__xludf.DUMMYFUNCTION("""COMPUTED_VALUE"""),"R37")</f>
        <v>R37</v>
      </c>
      <c r="B1445" s="7" t="str">
        <f>IFERROR(__xludf.DUMMYFUNCTION("""COMPUTED_VALUE"""),"Release Manager")</f>
        <v>Release Manager</v>
      </c>
      <c r="C1445" s="7" t="str">
        <f>IFERROR(__xludf.DUMMYFUNCTION("""COMPUTED_VALUE"""),"S059")</f>
        <v>S059</v>
      </c>
      <c r="D1445" s="7" t="str">
        <f>IFERROR(__xludf.DUMMYFUNCTION("""COMPUTED_VALUE"""),"Frontend Unit &amp; Component Testing (Jest, Vitest, RTL)")</f>
        <v>Frontend Unit &amp; Component Testing (Jest, Vitest, RTL)</v>
      </c>
    </row>
    <row r="1446">
      <c r="A1446" s="7" t="str">
        <f>IFERROR(__xludf.DUMMYFUNCTION("""COMPUTED_VALUE"""),"R37")</f>
        <v>R37</v>
      </c>
      <c r="B1446" s="7" t="str">
        <f>IFERROR(__xludf.DUMMYFUNCTION("""COMPUTED_VALUE"""),"Release Manager")</f>
        <v>Release Manager</v>
      </c>
      <c r="C1446" s="7" t="str">
        <f>IFERROR(__xludf.DUMMYFUNCTION("""COMPUTED_VALUE"""),"S060")</f>
        <v>S060</v>
      </c>
      <c r="D1446" s="7" t="str">
        <f>IFERROR(__xludf.DUMMYFUNCTION("""COMPUTED_VALUE"""),"End-to-End Browser Testing (Cypress, Playwright)")</f>
        <v>End-to-End Browser Testing (Cypress, Playwright)</v>
      </c>
    </row>
    <row r="1447">
      <c r="A1447" s="7" t="str">
        <f>IFERROR(__xludf.DUMMYFUNCTION("""COMPUTED_VALUE"""),"R37")</f>
        <v>R37</v>
      </c>
      <c r="B1447" s="7" t="str">
        <f>IFERROR(__xludf.DUMMYFUNCTION("""COMPUTED_VALUE"""),"Release Manager")</f>
        <v>Release Manager</v>
      </c>
      <c r="C1447" s="7" t="str">
        <f>IFERROR(__xludf.DUMMYFUNCTION("""COMPUTED_VALUE"""),"S086")</f>
        <v>S086</v>
      </c>
      <c r="D1447" s="7" t="str">
        <f>IFERROR(__xludf.DUMMYFUNCTION("""COMPUTED_VALUE"""),"RESTful API Design &amp; OpenAPI/Swagger")</f>
        <v>RESTful API Design &amp; OpenAPI/Swagger</v>
      </c>
    </row>
    <row r="1448">
      <c r="A1448" s="7" t="str">
        <f>IFERROR(__xludf.DUMMYFUNCTION("""COMPUTED_VALUE"""),"R37")</f>
        <v>R37</v>
      </c>
      <c r="B1448" s="7" t="str">
        <f>IFERROR(__xludf.DUMMYFUNCTION("""COMPUTED_VALUE"""),"Release Manager")</f>
        <v>Release Manager</v>
      </c>
      <c r="C1448" s="7" t="str">
        <f>IFERROR(__xludf.DUMMYFUNCTION("""COMPUTED_VALUE"""),"S102")</f>
        <v>S102</v>
      </c>
      <c r="D1448" s="7" t="str">
        <f>IFERROR(__xludf.DUMMYFUNCTION("""COMPUTED_VALUE"""),"Backend Unit &amp; Integration Testing (JUnit, PyTest, Mocha)")</f>
        <v>Backend Unit &amp; Integration Testing (JUnit, PyTest, Mocha)</v>
      </c>
    </row>
    <row r="1449">
      <c r="A1449" s="7" t="str">
        <f>IFERROR(__xludf.DUMMYFUNCTION("""COMPUTED_VALUE"""),"R37")</f>
        <v>R37</v>
      </c>
      <c r="B1449" s="7" t="str">
        <f>IFERROR(__xludf.DUMMYFUNCTION("""COMPUTED_VALUE"""),"Release Manager")</f>
        <v>Release Manager</v>
      </c>
      <c r="C1449" s="7" t="str">
        <f>IFERROR(__xludf.DUMMYFUNCTION("""COMPUTED_VALUE"""),"S103")</f>
        <v>S103</v>
      </c>
      <c r="D1449" s="7" t="str">
        <f>IFERROR(__xludf.DUMMYFUNCTION("""COMPUTED_VALUE"""),"API Testing &amp; Contract Testing (Postman, Pact, Insomnia)")</f>
        <v>API Testing &amp; Contract Testing (Postman, Pact, Insomnia)</v>
      </c>
    </row>
    <row r="1450">
      <c r="A1450" s="7" t="str">
        <f>IFERROR(__xludf.DUMMYFUNCTION("""COMPUTED_VALUE"""),"R37")</f>
        <v>R37</v>
      </c>
      <c r="B1450" s="7" t="str">
        <f>IFERROR(__xludf.DUMMYFUNCTION("""COMPUTED_VALUE"""),"Release Manager")</f>
        <v>Release Manager</v>
      </c>
      <c r="C1450" s="7" t="str">
        <f>IFERROR(__xludf.DUMMYFUNCTION("""COMPUTED_VALUE"""),"S104")</f>
        <v>S104</v>
      </c>
      <c r="D1450" s="7" t="str">
        <f>IFERROR(__xludf.DUMMYFUNCTION("""COMPUTED_VALUE"""),"Load &amp; Performance Testing (JMeter, k6, Locust)")</f>
        <v>Load &amp; Performance Testing (JMeter, k6, Locust)</v>
      </c>
    </row>
    <row r="1451">
      <c r="A1451" s="7" t="str">
        <f>IFERROR(__xludf.DUMMYFUNCTION("""COMPUTED_VALUE"""),"R37")</f>
        <v>R37</v>
      </c>
      <c r="B1451" s="7" t="str">
        <f>IFERROR(__xludf.DUMMYFUNCTION("""COMPUTED_VALUE"""),"Release Manager")</f>
        <v>Release Manager</v>
      </c>
      <c r="C1451" s="7" t="str">
        <f>IFERROR(__xludf.DUMMYFUNCTION("""COMPUTED_VALUE"""),"S117")</f>
        <v>S117</v>
      </c>
      <c r="D1451" s="7" t="str">
        <f>IFERROR(__xludf.DUMMYFUNCTION("""COMPUTED_VALUE"""),"Database Backup, Point-in-Time Recovery &amp; Migration")</f>
        <v>Database Backup, Point-in-Time Recovery &amp; Migration</v>
      </c>
    </row>
    <row r="1452">
      <c r="A1452" s="7" t="str">
        <f>IFERROR(__xludf.DUMMYFUNCTION("""COMPUTED_VALUE"""),"R37")</f>
        <v>R37</v>
      </c>
      <c r="B1452" s="7" t="str">
        <f>IFERROR(__xludf.DUMMYFUNCTION("""COMPUTED_VALUE"""),"Release Manager")</f>
        <v>Release Manager</v>
      </c>
      <c r="C1452" s="7" t="str">
        <f>IFERROR(__xludf.DUMMYFUNCTION("""COMPUTED_VALUE"""),"S171")</f>
        <v>S171</v>
      </c>
      <c r="D1452" s="7" t="str">
        <f>IFERROR(__xludf.DUMMYFUNCTION("""COMPUTED_VALUE"""),"Containerization with Docker")</f>
        <v>Containerization with Docker</v>
      </c>
    </row>
    <row r="1453">
      <c r="A1453" s="7" t="str">
        <f>IFERROR(__xludf.DUMMYFUNCTION("""COMPUTED_VALUE"""),"R37")</f>
        <v>R37</v>
      </c>
      <c r="B1453" s="7" t="str">
        <f>IFERROR(__xludf.DUMMYFUNCTION("""COMPUTED_VALUE"""),"Release Manager")</f>
        <v>Release Manager</v>
      </c>
      <c r="C1453" s="7" t="str">
        <f>IFERROR(__xludf.DUMMYFUNCTION("""COMPUTED_VALUE"""),"S172")</f>
        <v>S172</v>
      </c>
      <c r="D1453" s="7" t="str">
        <f>IFERROR(__xludf.DUMMYFUNCTION("""COMPUTED_VALUE"""),"Kubernetes Cluster Orchestration (K8s)")</f>
        <v>Kubernetes Cluster Orchestration (K8s)</v>
      </c>
    </row>
    <row r="1454">
      <c r="A1454" s="7" t="str">
        <f>IFERROR(__xludf.DUMMYFUNCTION("""COMPUTED_VALUE"""),"R37")</f>
        <v>R37</v>
      </c>
      <c r="B1454" s="7" t="str">
        <f>IFERROR(__xludf.DUMMYFUNCTION("""COMPUTED_VALUE"""),"Release Manager")</f>
        <v>Release Manager</v>
      </c>
      <c r="C1454" s="7" t="str">
        <f>IFERROR(__xludf.DUMMYFUNCTION("""COMPUTED_VALUE"""),"S173")</f>
        <v>S173</v>
      </c>
      <c r="D1454" s="7" t="str">
        <f>IFERROR(__xludf.DUMMYFUNCTION("""COMPUTED_VALUE"""),"Kubernetes Package Management (Helm &amp; Kustomize)")</f>
        <v>Kubernetes Package Management (Helm &amp; Kustomize)</v>
      </c>
    </row>
    <row r="1455">
      <c r="A1455" s="7" t="str">
        <f>IFERROR(__xludf.DUMMYFUNCTION("""COMPUTED_VALUE"""),"R37")</f>
        <v>R37</v>
      </c>
      <c r="B1455" s="7" t="str">
        <f>IFERROR(__xludf.DUMMYFUNCTION("""COMPUTED_VALUE"""),"Release Manager")</f>
        <v>Release Manager</v>
      </c>
      <c r="C1455" s="7" t="str">
        <f>IFERROR(__xludf.DUMMYFUNCTION("""COMPUTED_VALUE"""),"S174")</f>
        <v>S174</v>
      </c>
      <c r="D1455" s="7" t="str">
        <f>IFERROR(__xludf.DUMMYFUNCTION("""COMPUTED_VALUE"""),"Amazon Web Services Core (EC2, S3, RDS, IAM, VPC)")</f>
        <v>Amazon Web Services Core (EC2, S3, RDS, IAM, VPC)</v>
      </c>
    </row>
    <row r="1456">
      <c r="A1456" s="7" t="str">
        <f>IFERROR(__xludf.DUMMYFUNCTION("""COMPUTED_VALUE"""),"R37")</f>
        <v>R37</v>
      </c>
      <c r="B1456" s="7" t="str">
        <f>IFERROR(__xludf.DUMMYFUNCTION("""COMPUTED_VALUE"""),"Release Manager")</f>
        <v>Release Manager</v>
      </c>
      <c r="C1456" s="7" t="str">
        <f>IFERROR(__xludf.DUMMYFUNCTION("""COMPUTED_VALUE"""),"S178")</f>
        <v>S178</v>
      </c>
      <c r="D1456" s="7" t="str">
        <f>IFERROR(__xludf.DUMMYFUNCTION("""COMPUTED_VALUE"""),"Infrastructure as Code (Terraform &amp; OpenTofu)")</f>
        <v>Infrastructure as Code (Terraform &amp; OpenTofu)</v>
      </c>
    </row>
    <row r="1457">
      <c r="A1457" s="7" t="str">
        <f>IFERROR(__xludf.DUMMYFUNCTION("""COMPUTED_VALUE"""),"R37")</f>
        <v>R37</v>
      </c>
      <c r="B1457" s="7" t="str">
        <f>IFERROR(__xludf.DUMMYFUNCTION("""COMPUTED_VALUE"""),"Release Manager")</f>
        <v>Release Manager</v>
      </c>
      <c r="C1457" s="7" t="str">
        <f>IFERROR(__xludf.DUMMYFUNCTION("""COMPUTED_VALUE"""),"S179")</f>
        <v>S179</v>
      </c>
      <c r="D1457" s="7" t="str">
        <f>IFERROR(__xludf.DUMMYFUNCTION("""COMPUTED_VALUE"""),"Configuration Management (Ansible, Chef, Puppet)")</f>
        <v>Configuration Management (Ansible, Chef, Puppet)</v>
      </c>
    </row>
    <row r="1458">
      <c r="A1458" s="7" t="str">
        <f>IFERROR(__xludf.DUMMYFUNCTION("""COMPUTED_VALUE"""),"R37")</f>
        <v>R37</v>
      </c>
      <c r="B1458" s="7" t="str">
        <f>IFERROR(__xludf.DUMMYFUNCTION("""COMPUTED_VALUE"""),"Release Manager")</f>
        <v>Release Manager</v>
      </c>
      <c r="C1458" s="7" t="str">
        <f>IFERROR(__xludf.DUMMYFUNCTION("""COMPUTED_VALUE"""),"S180")</f>
        <v>S180</v>
      </c>
      <c r="D1458" s="7" t="str">
        <f>IFERROR(__xludf.DUMMYFUNCTION("""COMPUTED_VALUE"""),"CI/CD Pipelines with GitHub Actions")</f>
        <v>CI/CD Pipelines with GitHub Actions</v>
      </c>
    </row>
    <row r="1459">
      <c r="A1459" s="7" t="str">
        <f>IFERROR(__xludf.DUMMYFUNCTION("""COMPUTED_VALUE"""),"R37")</f>
        <v>R37</v>
      </c>
      <c r="B1459" s="7" t="str">
        <f>IFERROR(__xludf.DUMMYFUNCTION("""COMPUTED_VALUE"""),"Release Manager")</f>
        <v>Release Manager</v>
      </c>
      <c r="C1459" s="7" t="str">
        <f>IFERROR(__xludf.DUMMYFUNCTION("""COMPUTED_VALUE"""),"S181")</f>
        <v>S181</v>
      </c>
      <c r="D1459" s="7" t="str">
        <f>IFERROR(__xludf.DUMMYFUNCTION("""COMPUTED_VALUE"""),"CI/CD Automation with GitLab CI &amp; Jenkins")</f>
        <v>CI/CD Automation with GitLab CI &amp; Jenkins</v>
      </c>
    </row>
    <row r="1460">
      <c r="A1460" s="7" t="str">
        <f>IFERROR(__xludf.DUMMYFUNCTION("""COMPUTED_VALUE"""),"R37")</f>
        <v>R37</v>
      </c>
      <c r="B1460" s="7" t="str">
        <f>IFERROR(__xludf.DUMMYFUNCTION("""COMPUTED_VALUE"""),"Release Manager")</f>
        <v>Release Manager</v>
      </c>
      <c r="C1460" s="7" t="str">
        <f>IFERROR(__xludf.DUMMYFUNCTION("""COMPUTED_VALUE"""),"S182")</f>
        <v>S182</v>
      </c>
      <c r="D1460" s="7" t="str">
        <f>IFERROR(__xludf.DUMMYFUNCTION("""COMPUTED_VALUE"""),"GitOps &amp; Continuous Delivery (ArgoCD, Flux)")</f>
        <v>GitOps &amp; Continuous Delivery (ArgoCD, Flux)</v>
      </c>
    </row>
    <row r="1461">
      <c r="A1461" s="7" t="str">
        <f>IFERROR(__xludf.DUMMYFUNCTION("""COMPUTED_VALUE"""),"R37")</f>
        <v>R37</v>
      </c>
      <c r="B1461" s="7" t="str">
        <f>IFERROR(__xludf.DUMMYFUNCTION("""COMPUTED_VALUE"""),"Release Manager")</f>
        <v>Release Manager</v>
      </c>
      <c r="C1461" s="7" t="str">
        <f>IFERROR(__xludf.DUMMYFUNCTION("""COMPUTED_VALUE"""),"S184")</f>
        <v>S184</v>
      </c>
      <c r="D1461" s="7" t="str">
        <f>IFERROR(__xludf.DUMMYFUNCTION("""COMPUTED_VALUE"""),"Infrastructure &amp; Metrics Monitoring (Prometheus &amp; Grafana)")</f>
        <v>Infrastructure &amp; Metrics Monitoring (Prometheus &amp; Grafana)</v>
      </c>
    </row>
    <row r="1462">
      <c r="A1462" s="7" t="str">
        <f>IFERROR(__xludf.DUMMYFUNCTION("""COMPUTED_VALUE"""),"R37")</f>
        <v>R37</v>
      </c>
      <c r="B1462" s="7" t="str">
        <f>IFERROR(__xludf.DUMMYFUNCTION("""COMPUTED_VALUE"""),"Release Manager")</f>
        <v>Release Manager</v>
      </c>
      <c r="C1462" s="7" t="str">
        <f>IFERROR(__xludf.DUMMYFUNCTION("""COMPUTED_VALUE"""),"S185")</f>
        <v>S185</v>
      </c>
      <c r="D1462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463">
      <c r="A1463" s="7" t="str">
        <f>IFERROR(__xludf.DUMMYFUNCTION("""COMPUTED_VALUE"""),"R37")</f>
        <v>R37</v>
      </c>
      <c r="B1463" s="7" t="str">
        <f>IFERROR(__xludf.DUMMYFUNCTION("""COMPUTED_VALUE"""),"Release Manager")</f>
        <v>Release Manager</v>
      </c>
      <c r="C1463" s="7" t="str">
        <f>IFERROR(__xludf.DUMMYFUNCTION("""COMPUTED_VALUE"""),"S186")</f>
        <v>S186</v>
      </c>
      <c r="D1463" s="7" t="str">
        <f>IFERROR(__xludf.DUMMYFUNCTION("""COMPUTED_VALUE"""),"Site Reliability Engineering (SLIs, SLOs, SLAs &amp; Error Budgets)")</f>
        <v>Site Reliability Engineering (SLIs, SLOs, SLAs &amp; Error Budgets)</v>
      </c>
    </row>
    <row r="1464">
      <c r="A1464" s="7" t="str">
        <f>IFERROR(__xludf.DUMMYFUNCTION("""COMPUTED_VALUE"""),"R37")</f>
        <v>R37</v>
      </c>
      <c r="B1464" s="7" t="str">
        <f>IFERROR(__xludf.DUMMYFUNCTION("""COMPUTED_VALUE"""),"Release Manager")</f>
        <v>Release Manager</v>
      </c>
      <c r="C1464" s="7" t="str">
        <f>IFERROR(__xludf.DUMMYFUNCTION("""COMPUTED_VALUE"""),"S188")</f>
        <v>S188</v>
      </c>
      <c r="D1464" s="7" t="str">
        <f>IFERROR(__xludf.DUMMYFUNCTION("""COMPUTED_VALUE"""),"High Availability, Failover &amp; Disaster Recovery")</f>
        <v>High Availability, Failover &amp; Disaster Recovery</v>
      </c>
    </row>
    <row r="1465">
      <c r="A1465" s="7" t="str">
        <f>IFERROR(__xludf.DUMMYFUNCTION("""COMPUTED_VALUE"""),"R37")</f>
        <v>R37</v>
      </c>
      <c r="B1465" s="7" t="str">
        <f>IFERROR(__xludf.DUMMYFUNCTION("""COMPUTED_VALUE"""),"Release Manager")</f>
        <v>Release Manager</v>
      </c>
      <c r="C1465" s="7" t="str">
        <f>IFERROR(__xludf.DUMMYFUNCTION("""COMPUTED_VALUE"""),"S214")</f>
        <v>S214</v>
      </c>
      <c r="D1465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1466">
      <c r="A1466" s="7" t="str">
        <f>IFERROR(__xludf.DUMMYFUNCTION("""COMPUTED_VALUE"""),"R37")</f>
        <v>R37</v>
      </c>
      <c r="B1466" s="7" t="str">
        <f>IFERROR(__xludf.DUMMYFUNCTION("""COMPUTED_VALUE"""),"Release Manager")</f>
        <v>Release Manager</v>
      </c>
      <c r="C1466" s="7" t="str">
        <f>IFERROR(__xludf.DUMMYFUNCTION("""COMPUTED_VALUE"""),"S242")</f>
        <v>S242</v>
      </c>
      <c r="D1466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1467">
      <c r="A1467" s="7" t="str">
        <f>IFERROR(__xludf.DUMMYFUNCTION("""COMPUTED_VALUE"""),"R37")</f>
        <v>R37</v>
      </c>
      <c r="B1467" s="7" t="str">
        <f>IFERROR(__xludf.DUMMYFUNCTION("""COMPUTED_VALUE"""),"Release Manager")</f>
        <v>Release Manager</v>
      </c>
      <c r="C1467" s="7" t="str">
        <f>IFERROR(__xludf.DUMMYFUNCTION("""COMPUTED_VALUE"""),"S246")</f>
        <v>S246</v>
      </c>
      <c r="D1467" s="7" t="str">
        <f>IFERROR(__xludf.DUMMYFUNCTION("""COMPUTED_VALUE"""),"Agile Methodologies, Scrum Framework &amp; Kanban")</f>
        <v>Agile Methodologies, Scrum Framework &amp; Kanban</v>
      </c>
    </row>
    <row r="1468">
      <c r="A1468" s="7" t="str">
        <f>IFERROR(__xludf.DUMMYFUNCTION("""COMPUTED_VALUE"""),"R37")</f>
        <v>R37</v>
      </c>
      <c r="B1468" s="7" t="str">
        <f>IFERROR(__xludf.DUMMYFUNCTION("""COMPUTED_VALUE"""),"Release Manager")</f>
        <v>Release Manager</v>
      </c>
      <c r="C1468" s="7" t="str">
        <f>IFERROR(__xludf.DUMMYFUNCTION("""COMPUTED_VALUE"""),"S247")</f>
        <v>S247</v>
      </c>
      <c r="D1468" s="7" t="str">
        <f>IFERROR(__xludf.DUMMYFUNCTION("""COMPUTED_VALUE"""),"Project Tracking &amp; Documentation Tools (Jira, Confluence, Linear)")</f>
        <v>Project Tracking &amp; Documentation Tools (Jira, Confluence, Linear)</v>
      </c>
    </row>
    <row r="1469">
      <c r="A1469" s="7" t="str">
        <f>IFERROR(__xludf.DUMMYFUNCTION("""COMPUTED_VALUE"""),"R37")</f>
        <v>R37</v>
      </c>
      <c r="B1469" s="7" t="str">
        <f>IFERROR(__xludf.DUMMYFUNCTION("""COMPUTED_VALUE"""),"Release Manager")</f>
        <v>Release Manager</v>
      </c>
      <c r="C1469" s="7" t="str">
        <f>IFERROR(__xludf.DUMMYFUNCTION("""COMPUTED_VALUE"""),"S249")</f>
        <v>S249</v>
      </c>
      <c r="D1469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470">
      <c r="A1470" s="7" t="str">
        <f>IFERROR(__xludf.DUMMYFUNCTION("""COMPUTED_VALUE"""),"R37")</f>
        <v>R37</v>
      </c>
      <c r="B1470" s="7" t="str">
        <f>IFERROR(__xludf.DUMMYFUNCTION("""COMPUTED_VALUE"""),"Release Manager")</f>
        <v>Release Manager</v>
      </c>
      <c r="C1470" s="7" t="str">
        <f>IFERROR(__xludf.DUMMYFUNCTION("""COMPUTED_VALUE"""),"S250")</f>
        <v>S250</v>
      </c>
      <c r="D1470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471">
      <c r="A1471" s="7" t="str">
        <f>IFERROR(__xludf.DUMMYFUNCTION("""COMPUTED_VALUE"""),"R38")</f>
        <v>R38</v>
      </c>
      <c r="B1471" s="7" t="str">
        <f>IFERROR(__xludf.DUMMYFUNCTION("""COMPUTED_VALUE"""),"Technical Writer")</f>
        <v>Technical Writer</v>
      </c>
      <c r="C1471" s="7" t="str">
        <f>IFERROR(__xludf.DUMMYFUNCTION("""COMPUTED_VALUE"""),"S013")</f>
        <v>S013</v>
      </c>
      <c r="D1471" s="7" t="str">
        <f>IFERROR(__xludf.DUMMYFUNCTION("""COMPUTED_VALUE"""),"Object-Oriented Programming (OOP)")</f>
        <v>Object-Oriented Programming (OOP)</v>
      </c>
    </row>
    <row r="1472">
      <c r="A1472" s="7" t="str">
        <f>IFERROR(__xludf.DUMMYFUNCTION("""COMPUTED_VALUE"""),"R38")</f>
        <v>R38</v>
      </c>
      <c r="B1472" s="7" t="str">
        <f>IFERROR(__xludf.DUMMYFUNCTION("""COMPUTED_VALUE"""),"Technical Writer")</f>
        <v>Technical Writer</v>
      </c>
      <c r="C1472" s="7" t="str">
        <f>IFERROR(__xludf.DUMMYFUNCTION("""COMPUTED_VALUE"""),"S017")</f>
        <v>S017</v>
      </c>
      <c r="D1472" s="7" t="str">
        <f>IFERROR(__xludf.DUMMYFUNCTION("""COMPUTED_VALUE"""),"Git Version Control Fundamentals")</f>
        <v>Git Version Control Fundamentals</v>
      </c>
    </row>
    <row r="1473">
      <c r="A1473" s="7" t="str">
        <f>IFERROR(__xludf.DUMMYFUNCTION("""COMPUTED_VALUE"""),"R38")</f>
        <v>R38</v>
      </c>
      <c r="B1473" s="7" t="str">
        <f>IFERROR(__xludf.DUMMYFUNCTION("""COMPUTED_VALUE"""),"Technical Writer")</f>
        <v>Technical Writer</v>
      </c>
      <c r="C1473" s="7" t="str">
        <f>IFERROR(__xludf.DUMMYFUNCTION("""COMPUTED_VALUE"""),"S018")</f>
        <v>S018</v>
      </c>
      <c r="D1473" s="7" t="str">
        <f>IFERROR(__xludf.DUMMYFUNCTION("""COMPUTED_VALUE"""),"GitHub / GitLab Workflows &amp; Pull Requests")</f>
        <v>GitHub / GitLab Workflows &amp; Pull Requests</v>
      </c>
    </row>
    <row r="1474">
      <c r="A1474" s="7" t="str">
        <f>IFERROR(__xludf.DUMMYFUNCTION("""COMPUTED_VALUE"""),"R38")</f>
        <v>R38</v>
      </c>
      <c r="B1474" s="7" t="str">
        <f>IFERROR(__xludf.DUMMYFUNCTION("""COMPUTED_VALUE"""),"Technical Writer")</f>
        <v>Technical Writer</v>
      </c>
      <c r="C1474" s="7" t="str">
        <f>IFERROR(__xludf.DUMMYFUNCTION("""COMPUTED_VALUE"""),"S019")</f>
        <v>S019</v>
      </c>
      <c r="D1474" s="7" t="str">
        <f>IFERROR(__xludf.DUMMYFUNCTION("""COMPUTED_VALUE"""),"Linux Command Line &amp; File Permissions")</f>
        <v>Linux Command Line &amp; File Permissions</v>
      </c>
    </row>
    <row r="1475">
      <c r="A1475" s="7" t="str">
        <f>IFERROR(__xludf.DUMMYFUNCTION("""COMPUTED_VALUE"""),"R38")</f>
        <v>R38</v>
      </c>
      <c r="B1475" s="7" t="str">
        <f>IFERROR(__xludf.DUMMYFUNCTION("""COMPUTED_VALUE"""),"Technical Writer")</f>
        <v>Technical Writer</v>
      </c>
      <c r="C1475" s="7" t="str">
        <f>IFERROR(__xludf.DUMMYFUNCTION("""COMPUTED_VALUE"""),"S023")</f>
        <v>S023</v>
      </c>
      <c r="D1475" s="7" t="str">
        <f>IFERROR(__xludf.DUMMYFUNCTION("""COMPUTED_VALUE"""),"HTTP/HTTPS Protocols &amp; Status Codes")</f>
        <v>HTTP/HTTPS Protocols &amp; Status Codes</v>
      </c>
    </row>
    <row r="1476">
      <c r="A1476" s="7" t="str">
        <f>IFERROR(__xludf.DUMMYFUNCTION("""COMPUTED_VALUE"""),"R38")</f>
        <v>R38</v>
      </c>
      <c r="B1476" s="7" t="str">
        <f>IFERROR(__xludf.DUMMYFUNCTION("""COMPUTED_VALUE"""),"Technical Writer")</f>
        <v>Technical Writer</v>
      </c>
      <c r="C1476" s="7" t="str">
        <f>IFERROR(__xludf.DUMMYFUNCTION("""COMPUTED_VALUE"""),"S025")</f>
        <v>S025</v>
      </c>
      <c r="D1476" s="7" t="str">
        <f>IFERROR(__xludf.DUMMYFUNCTION("""COMPUTED_VALUE"""),"Regular Expressions (Regex)")</f>
        <v>Regular Expressions (Regex)</v>
      </c>
    </row>
    <row r="1477">
      <c r="A1477" s="7" t="str">
        <f>IFERROR(__xludf.DUMMYFUNCTION("""COMPUTED_VALUE"""),"R38")</f>
        <v>R38</v>
      </c>
      <c r="B1477" s="7" t="str">
        <f>IFERROR(__xludf.DUMMYFUNCTION("""COMPUTED_VALUE"""),"Technical Writer")</f>
        <v>Technical Writer</v>
      </c>
      <c r="C1477" s="7" t="str">
        <f>IFERROR(__xludf.DUMMYFUNCTION("""COMPUTED_VALUE"""),"S026")</f>
        <v>S026</v>
      </c>
      <c r="D1477" s="7" t="str">
        <f>IFERROR(__xludf.DUMMYFUNCTION("""COMPUTED_VALUE"""),"Data Serialization (JSON, XML, YAML, Protobuf)")</f>
        <v>Data Serialization (JSON, XML, YAML, Protobuf)</v>
      </c>
    </row>
    <row r="1478">
      <c r="A1478" s="7" t="str">
        <f>IFERROR(__xludf.DUMMYFUNCTION("""COMPUTED_VALUE"""),"R38")</f>
        <v>R38</v>
      </c>
      <c r="B1478" s="7" t="str">
        <f>IFERROR(__xludf.DUMMYFUNCTION("""COMPUTED_VALUE"""),"Technical Writer")</f>
        <v>Technical Writer</v>
      </c>
      <c r="C1478" s="7" t="str">
        <f>IFERROR(__xludf.DUMMYFUNCTION("""COMPUTED_VALUE"""),"S027")</f>
        <v>S027</v>
      </c>
      <c r="D1478" s="7" t="str">
        <f>IFERROR(__xludf.DUMMYFUNCTION("""COMPUTED_VALUE"""),"Character Encoding &amp; Unicode (UTF-8)")</f>
        <v>Character Encoding &amp; Unicode (UTF-8)</v>
      </c>
    </row>
    <row r="1479">
      <c r="A1479" s="7" t="str">
        <f>IFERROR(__xludf.DUMMYFUNCTION("""COMPUTED_VALUE"""),"R38")</f>
        <v>R38</v>
      </c>
      <c r="B1479" s="7" t="str">
        <f>IFERROR(__xludf.DUMMYFUNCTION("""COMPUTED_VALUE"""),"Technical Writer")</f>
        <v>Technical Writer</v>
      </c>
      <c r="C1479" s="7" t="str">
        <f>IFERROR(__xludf.DUMMYFUNCTION("""COMPUTED_VALUE"""),"S028")</f>
        <v>S028</v>
      </c>
      <c r="D1479" s="7" t="str">
        <f>IFERROR(__xludf.DUMMYFUNCTION("""COMPUTED_VALUE"""),"Technical Writing &amp; Markdown Documentation")</f>
        <v>Technical Writing &amp; Markdown Documentation</v>
      </c>
    </row>
    <row r="1480">
      <c r="A1480" s="7" t="str">
        <f>IFERROR(__xludf.DUMMYFUNCTION("""COMPUTED_VALUE"""),"R38")</f>
        <v>R38</v>
      </c>
      <c r="B1480" s="7" t="str">
        <f>IFERROR(__xludf.DUMMYFUNCTION("""COMPUTED_VALUE"""),"Technical Writer")</f>
        <v>Technical Writer</v>
      </c>
      <c r="C1480" s="7" t="str">
        <f>IFERROR(__xludf.DUMMYFUNCTION("""COMPUTED_VALUE"""),"S031")</f>
        <v>S031</v>
      </c>
      <c r="D1480" s="7" t="str">
        <f>IFERROR(__xludf.DUMMYFUNCTION("""COMPUTED_VALUE"""),"Semantic HTML5")</f>
        <v>Semantic HTML5</v>
      </c>
    </row>
    <row r="1481">
      <c r="A1481" s="7" t="str">
        <f>IFERROR(__xludf.DUMMYFUNCTION("""COMPUTED_VALUE"""),"R38")</f>
        <v>R38</v>
      </c>
      <c r="B1481" s="7" t="str">
        <f>IFERROR(__xludf.DUMMYFUNCTION("""COMPUTED_VALUE"""),"Technical Writer")</f>
        <v>Technical Writer</v>
      </c>
      <c r="C1481" s="7" t="str">
        <f>IFERROR(__xludf.DUMMYFUNCTION("""COMPUTED_VALUE"""),"S032")</f>
        <v>S032</v>
      </c>
      <c r="D1481" s="7" t="str">
        <f>IFERROR(__xludf.DUMMYFUNCTION("""COMPUTED_VALUE"""),"CSS3 Fundamentals &amp; Box Model")</f>
        <v>CSS3 Fundamentals &amp; Box Model</v>
      </c>
    </row>
    <row r="1482">
      <c r="A1482" s="7" t="str">
        <f>IFERROR(__xludf.DUMMYFUNCTION("""COMPUTED_VALUE"""),"R38")</f>
        <v>R38</v>
      </c>
      <c r="B1482" s="7" t="str">
        <f>IFERROR(__xludf.DUMMYFUNCTION("""COMPUTED_VALUE"""),"Technical Writer")</f>
        <v>Technical Writer</v>
      </c>
      <c r="C1482" s="7" t="str">
        <f>IFERROR(__xludf.DUMMYFUNCTION("""COMPUTED_VALUE"""),"S034")</f>
        <v>S034</v>
      </c>
      <c r="D1482" s="7" t="str">
        <f>IFERROR(__xludf.DUMMYFUNCTION("""COMPUTED_VALUE"""),"JavaScript Fundamentals (ES6+)")</f>
        <v>JavaScript Fundamentals (ES6+)</v>
      </c>
    </row>
    <row r="1483">
      <c r="A1483" s="7" t="str">
        <f>IFERROR(__xludf.DUMMYFUNCTION("""COMPUTED_VALUE"""),"R38")</f>
        <v>R38</v>
      </c>
      <c r="B1483" s="7" t="str">
        <f>IFERROR(__xludf.DUMMYFUNCTION("""COMPUTED_VALUE"""),"Technical Writer")</f>
        <v>Technical Writer</v>
      </c>
      <c r="C1483" s="7" t="str">
        <f>IFERROR(__xludf.DUMMYFUNCTION("""COMPUTED_VALUE"""),"S061")</f>
        <v>S061</v>
      </c>
      <c r="D1483" s="7" t="str">
        <f>IFERROR(__xludf.DUMMYFUNCTION("""COMPUTED_VALUE"""),"UI/UX Design Fundamentals &amp; Color Theory")</f>
        <v>UI/UX Design Fundamentals &amp; Color Theory</v>
      </c>
    </row>
    <row r="1484">
      <c r="A1484" s="7" t="str">
        <f>IFERROR(__xludf.DUMMYFUNCTION("""COMPUTED_VALUE"""),"R38")</f>
        <v>R38</v>
      </c>
      <c r="B1484" s="7" t="str">
        <f>IFERROR(__xludf.DUMMYFUNCTION("""COMPUTED_VALUE"""),"Technical Writer")</f>
        <v>Technical Writer</v>
      </c>
      <c r="C1484" s="7" t="str">
        <f>IFERROR(__xludf.DUMMYFUNCTION("""COMPUTED_VALUE"""),"S062")</f>
        <v>S062</v>
      </c>
      <c r="D1484" s="7" t="str">
        <f>IFERROR(__xludf.DUMMYFUNCTION("""COMPUTED_VALUE"""),"Wireframing &amp; Interactive Prototyping (Figma)")</f>
        <v>Wireframing &amp; Interactive Prototyping (Figma)</v>
      </c>
    </row>
    <row r="1485">
      <c r="A1485" s="7" t="str">
        <f>IFERROR(__xludf.DUMMYFUNCTION("""COMPUTED_VALUE"""),"R38")</f>
        <v>R38</v>
      </c>
      <c r="B1485" s="7" t="str">
        <f>IFERROR(__xludf.DUMMYFUNCTION("""COMPUTED_VALUE"""),"Technical Writer")</f>
        <v>Technical Writer</v>
      </c>
      <c r="C1485" s="7" t="str">
        <f>IFERROR(__xludf.DUMMYFUNCTION("""COMPUTED_VALUE"""),"S064")</f>
        <v>S064</v>
      </c>
      <c r="D1485" s="7" t="str">
        <f>IFERROR(__xludf.DUMMYFUNCTION("""COMPUTED_VALUE"""),"Information Architecture &amp; User Flows")</f>
        <v>Information Architecture &amp; User Flows</v>
      </c>
    </row>
    <row r="1486">
      <c r="A1486" s="7" t="str">
        <f>IFERROR(__xludf.DUMMYFUNCTION("""COMPUTED_VALUE"""),"R38")</f>
        <v>R38</v>
      </c>
      <c r="B1486" s="7" t="str">
        <f>IFERROR(__xludf.DUMMYFUNCTION("""COMPUTED_VALUE"""),"Technical Writer")</f>
        <v>Technical Writer</v>
      </c>
      <c r="C1486" s="7" t="str">
        <f>IFERROR(__xludf.DUMMYFUNCTION("""COMPUTED_VALUE"""),"S065")</f>
        <v>S065</v>
      </c>
      <c r="D1486" s="7" t="str">
        <f>IFERROR(__xludf.DUMMYFUNCTION("""COMPUTED_VALUE"""),"Design Systems &amp; Component Tokens (Storybook)")</f>
        <v>Design Systems &amp; Component Tokens (Storybook)</v>
      </c>
    </row>
    <row r="1487">
      <c r="A1487" s="7" t="str">
        <f>IFERROR(__xludf.DUMMYFUNCTION("""COMPUTED_VALUE"""),"R38")</f>
        <v>R38</v>
      </c>
      <c r="B1487" s="7" t="str">
        <f>IFERROR(__xludf.DUMMYFUNCTION("""COMPUTED_VALUE"""),"Technical Writer")</f>
        <v>Technical Writer</v>
      </c>
      <c r="C1487" s="7" t="str">
        <f>IFERROR(__xludf.DUMMYFUNCTION("""COMPUTED_VALUE"""),"S068")</f>
        <v>S068</v>
      </c>
      <c r="D1487" s="7" t="str">
        <f>IFERROR(__xludf.DUMMYFUNCTION("""COMPUTED_VALUE"""),"Python Programming Fundamentals")</f>
        <v>Python Programming Fundamentals</v>
      </c>
    </row>
    <row r="1488">
      <c r="A1488" s="7" t="str">
        <f>IFERROR(__xludf.DUMMYFUNCTION("""COMPUTED_VALUE"""),"R38")</f>
        <v>R38</v>
      </c>
      <c r="B1488" s="7" t="str">
        <f>IFERROR(__xludf.DUMMYFUNCTION("""COMPUTED_VALUE"""),"Technical Writer")</f>
        <v>Technical Writer</v>
      </c>
      <c r="C1488" s="7" t="str">
        <f>IFERROR(__xludf.DUMMYFUNCTION("""COMPUTED_VALUE"""),"S086")</f>
        <v>S086</v>
      </c>
      <c r="D1488" s="7" t="str">
        <f>IFERROR(__xludf.DUMMYFUNCTION("""COMPUTED_VALUE"""),"RESTful API Design &amp; OpenAPI/Swagger")</f>
        <v>RESTful API Design &amp; OpenAPI/Swagger</v>
      </c>
    </row>
    <row r="1489">
      <c r="A1489" s="7" t="str">
        <f>IFERROR(__xludf.DUMMYFUNCTION("""COMPUTED_VALUE"""),"R38")</f>
        <v>R38</v>
      </c>
      <c r="B1489" s="7" t="str">
        <f>IFERROR(__xludf.DUMMYFUNCTION("""COMPUTED_VALUE"""),"Technical Writer")</f>
        <v>Technical Writer</v>
      </c>
      <c r="C1489" s="7" t="str">
        <f>IFERROR(__xludf.DUMMYFUNCTION("""COMPUTED_VALUE"""),"S087")</f>
        <v>S087</v>
      </c>
      <c r="D1489" s="7" t="str">
        <f>IFERROR(__xludf.DUMMYFUNCTION("""COMPUTED_VALUE"""),"GraphQL Schema &amp; Resolvers (Apollo)")</f>
        <v>GraphQL Schema &amp; Resolvers (Apollo)</v>
      </c>
    </row>
    <row r="1490">
      <c r="A1490" s="7" t="str">
        <f>IFERROR(__xludf.DUMMYFUNCTION("""COMPUTED_VALUE"""),"R38")</f>
        <v>R38</v>
      </c>
      <c r="B1490" s="7" t="str">
        <f>IFERROR(__xludf.DUMMYFUNCTION("""COMPUTED_VALUE"""),"Technical Writer")</f>
        <v>Technical Writer</v>
      </c>
      <c r="C1490" s="7" t="str">
        <f>IFERROR(__xludf.DUMMYFUNCTION("""COMPUTED_VALUE"""),"S103")</f>
        <v>S103</v>
      </c>
      <c r="D1490" s="7" t="str">
        <f>IFERROR(__xludf.DUMMYFUNCTION("""COMPUTED_VALUE"""),"API Testing &amp; Contract Testing (Postman, Pact, Insomnia)")</f>
        <v>API Testing &amp; Contract Testing (Postman, Pact, Insomnia)</v>
      </c>
    </row>
    <row r="1491">
      <c r="A1491" s="7" t="str">
        <f>IFERROR(__xludf.DUMMYFUNCTION("""COMPUTED_VALUE"""),"R38")</f>
        <v>R38</v>
      </c>
      <c r="B1491" s="7" t="str">
        <f>IFERROR(__xludf.DUMMYFUNCTION("""COMPUTED_VALUE"""),"Technical Writer")</f>
        <v>Technical Writer</v>
      </c>
      <c r="C1491" s="7" t="str">
        <f>IFERROR(__xludf.DUMMYFUNCTION("""COMPUTED_VALUE"""),"S107")</f>
        <v>S107</v>
      </c>
      <c r="D1491" s="7" t="str">
        <f>IFERROR(__xludf.DUMMYFUNCTION("""COMPUTED_VALUE"""),"SQL Querying (Joins, Aggregations, Subqueries)")</f>
        <v>SQL Querying (Joins, Aggregations, Subqueries)</v>
      </c>
    </row>
    <row r="1492">
      <c r="A1492" s="7" t="str">
        <f>IFERROR(__xludf.DUMMYFUNCTION("""COMPUTED_VALUE"""),"R38")</f>
        <v>R38</v>
      </c>
      <c r="B1492" s="7" t="str">
        <f>IFERROR(__xludf.DUMMYFUNCTION("""COMPUTED_VALUE"""),"Technical Writer")</f>
        <v>Technical Writer</v>
      </c>
      <c r="C1492" s="7" t="str">
        <f>IFERROR(__xludf.DUMMYFUNCTION("""COMPUTED_VALUE"""),"S180")</f>
        <v>S180</v>
      </c>
      <c r="D1492" s="7" t="str">
        <f>IFERROR(__xludf.DUMMYFUNCTION("""COMPUTED_VALUE"""),"CI/CD Pipelines with GitHub Actions")</f>
        <v>CI/CD Pipelines with GitHub Actions</v>
      </c>
    </row>
    <row r="1493">
      <c r="A1493" s="7" t="str">
        <f>IFERROR(__xludf.DUMMYFUNCTION("""COMPUTED_VALUE"""),"R38")</f>
        <v>R38</v>
      </c>
      <c r="B1493" s="7" t="str">
        <f>IFERROR(__xludf.DUMMYFUNCTION("""COMPUTED_VALUE"""),"Technical Writer")</f>
        <v>Technical Writer</v>
      </c>
      <c r="C1493" s="7" t="str">
        <f>IFERROR(__xludf.DUMMYFUNCTION("""COMPUTED_VALUE"""),"S246")</f>
        <v>S246</v>
      </c>
      <c r="D1493" s="7" t="str">
        <f>IFERROR(__xludf.DUMMYFUNCTION("""COMPUTED_VALUE"""),"Agile Methodologies, Scrum Framework &amp; Kanban")</f>
        <v>Agile Methodologies, Scrum Framework &amp; Kanban</v>
      </c>
    </row>
    <row r="1494">
      <c r="A1494" s="7" t="str">
        <f>IFERROR(__xludf.DUMMYFUNCTION("""COMPUTED_VALUE"""),"R38")</f>
        <v>R38</v>
      </c>
      <c r="B1494" s="7" t="str">
        <f>IFERROR(__xludf.DUMMYFUNCTION("""COMPUTED_VALUE"""),"Technical Writer")</f>
        <v>Technical Writer</v>
      </c>
      <c r="C1494" s="7" t="str">
        <f>IFERROR(__xludf.DUMMYFUNCTION("""COMPUTED_VALUE"""),"S247")</f>
        <v>S247</v>
      </c>
      <c r="D1494" s="7" t="str">
        <f>IFERROR(__xludf.DUMMYFUNCTION("""COMPUTED_VALUE"""),"Project Tracking &amp; Documentation Tools (Jira, Confluence, Linear)")</f>
        <v>Project Tracking &amp; Documentation Tools (Jira, Confluence, Linear)</v>
      </c>
    </row>
    <row r="1495">
      <c r="A1495" s="7" t="str">
        <f>IFERROR(__xludf.DUMMYFUNCTION("""COMPUTED_VALUE"""),"R38")</f>
        <v>R38</v>
      </c>
      <c r="B1495" s="7" t="str">
        <f>IFERROR(__xludf.DUMMYFUNCTION("""COMPUTED_VALUE"""),"Technical Writer")</f>
        <v>Technical Writer</v>
      </c>
      <c r="C1495" s="7" t="str">
        <f>IFERROR(__xludf.DUMMYFUNCTION("""COMPUTED_VALUE"""),"S248")</f>
        <v>S248</v>
      </c>
      <c r="D1495" s="7" t="str">
        <f>IFERROR(__xludf.DUMMYFUNCTION("""COMPUTED_VALUE"""),"Product Management, Roadmapping &amp; User Story Mapping")</f>
        <v>Product Management, Roadmapping &amp; User Story Mapping</v>
      </c>
    </row>
    <row r="1496">
      <c r="A1496" s="7" t="str">
        <f>IFERROR(__xludf.DUMMYFUNCTION("""COMPUTED_VALUE"""),"R38")</f>
        <v>R38</v>
      </c>
      <c r="B1496" s="7" t="str">
        <f>IFERROR(__xludf.DUMMYFUNCTION("""COMPUTED_VALUE"""),"Technical Writer")</f>
        <v>Technical Writer</v>
      </c>
      <c r="C1496" s="7" t="str">
        <f>IFERROR(__xludf.DUMMYFUNCTION("""COMPUTED_VALUE"""),"S249")</f>
        <v>S249</v>
      </c>
      <c r="D1496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497">
      <c r="A1497" s="7" t="str">
        <f>IFERROR(__xludf.DUMMYFUNCTION("""COMPUTED_VALUE"""),"R39")</f>
        <v>R39</v>
      </c>
      <c r="B1497" s="7" t="str">
        <f>IFERROR(__xludf.DUMMYFUNCTION("""COMPUTED_VALUE"""),"Computer Vision Engineer")</f>
        <v>Computer Vision Engineer</v>
      </c>
      <c r="C1497" s="7" t="str">
        <f>IFERROR(__xludf.DUMMYFUNCTION("""COMPUTED_VALUE"""),"S002")</f>
        <v>S002</v>
      </c>
      <c r="D1497" s="7" t="str">
        <f>IFERROR(__xludf.DUMMYFUNCTION("""COMPUTED_VALUE"""),"Operating Systems Concepts")</f>
        <v>Operating Systems Concepts</v>
      </c>
    </row>
    <row r="1498">
      <c r="A1498" s="7" t="str">
        <f>IFERROR(__xludf.DUMMYFUNCTION("""COMPUTED_VALUE"""),"R39")</f>
        <v>R39</v>
      </c>
      <c r="B1498" s="7" t="str">
        <f>IFERROR(__xludf.DUMMYFUNCTION("""COMPUTED_VALUE"""),"Computer Vision Engineer")</f>
        <v>Computer Vision Engineer</v>
      </c>
      <c r="C1498" s="7" t="str">
        <f>IFERROR(__xludf.DUMMYFUNCTION("""COMPUTED_VALUE"""),"S003")</f>
        <v>S003</v>
      </c>
      <c r="D1498" s="7" t="str">
        <f>IFERROR(__xludf.DUMMYFUNCTION("""COMPUTED_VALUE"""),"Process &amp; Thread Management")</f>
        <v>Process &amp; Thread Management</v>
      </c>
    </row>
    <row r="1499">
      <c r="A1499" s="7" t="str">
        <f>IFERROR(__xludf.DUMMYFUNCTION("""COMPUTED_VALUE"""),"R39")</f>
        <v>R39</v>
      </c>
      <c r="B1499" s="7" t="str">
        <f>IFERROR(__xludf.DUMMYFUNCTION("""COMPUTED_VALUE"""),"Computer Vision Engineer")</f>
        <v>Computer Vision Engineer</v>
      </c>
      <c r="C1499" s="7" t="str">
        <f>IFERROR(__xludf.DUMMYFUNCTION("""COMPUTED_VALUE"""),"S006")</f>
        <v>S006</v>
      </c>
      <c r="D1499" s="7" t="str">
        <f>IFERROR(__xludf.DUMMYFUNCTION("""COMPUTED_VALUE"""),"Basic Data Structures (Arrays, Lists, Stacks, Queues)")</f>
        <v>Basic Data Structures (Arrays, Lists, Stacks, Queues)</v>
      </c>
    </row>
    <row r="1500">
      <c r="A1500" s="7" t="str">
        <f>IFERROR(__xludf.DUMMYFUNCTION("""COMPUTED_VALUE"""),"R39")</f>
        <v>R39</v>
      </c>
      <c r="B1500" s="7" t="str">
        <f>IFERROR(__xludf.DUMMYFUNCTION("""COMPUTED_VALUE"""),"Computer Vision Engineer")</f>
        <v>Computer Vision Engineer</v>
      </c>
      <c r="C1500" s="7" t="str">
        <f>IFERROR(__xludf.DUMMYFUNCTION("""COMPUTED_VALUE"""),"S007")</f>
        <v>S007</v>
      </c>
      <c r="D1500" s="7" t="str">
        <f>IFERROR(__xludf.DUMMYFUNCTION("""COMPUTED_VALUE"""),"Trees &amp; Binary Search Trees")</f>
        <v>Trees &amp; Binary Search Trees</v>
      </c>
    </row>
    <row r="1501">
      <c r="A1501" s="7" t="str">
        <f>IFERROR(__xludf.DUMMYFUNCTION("""COMPUTED_VALUE"""),"R39")</f>
        <v>R39</v>
      </c>
      <c r="B1501" s="7" t="str">
        <f>IFERROR(__xludf.DUMMYFUNCTION("""COMPUTED_VALUE"""),"Computer Vision Engineer")</f>
        <v>Computer Vision Engineer</v>
      </c>
      <c r="C1501" s="7" t="str">
        <f>IFERROR(__xludf.DUMMYFUNCTION("""COMPUTED_VALUE"""),"S009")</f>
        <v>S009</v>
      </c>
      <c r="D1501" s="7" t="str">
        <f>IFERROR(__xludf.DUMMYFUNCTION("""COMPUTED_VALUE"""),"Graphs &amp; Graph Traversal (BFS/DFS)")</f>
        <v>Graphs &amp; Graph Traversal (BFS/DFS)</v>
      </c>
    </row>
    <row r="1502">
      <c r="A1502" s="7" t="str">
        <f>IFERROR(__xludf.DUMMYFUNCTION("""COMPUTED_VALUE"""),"R39")</f>
        <v>R39</v>
      </c>
      <c r="B1502" s="7" t="str">
        <f>IFERROR(__xludf.DUMMYFUNCTION("""COMPUTED_VALUE"""),"Computer Vision Engineer")</f>
        <v>Computer Vision Engineer</v>
      </c>
      <c r="C1502" s="7" t="str">
        <f>IFERROR(__xludf.DUMMYFUNCTION("""COMPUTED_VALUE"""),"S010")</f>
        <v>S010</v>
      </c>
      <c r="D1502" s="7" t="str">
        <f>IFERROR(__xludf.DUMMYFUNCTION("""COMPUTED_VALUE"""),"Sorting &amp; Searching Algorithms")</f>
        <v>Sorting &amp; Searching Algorithms</v>
      </c>
    </row>
    <row r="1503">
      <c r="A1503" s="7" t="str">
        <f>IFERROR(__xludf.DUMMYFUNCTION("""COMPUTED_VALUE"""),"R39")</f>
        <v>R39</v>
      </c>
      <c r="B1503" s="7" t="str">
        <f>IFERROR(__xludf.DUMMYFUNCTION("""COMPUTED_VALUE"""),"Computer Vision Engineer")</f>
        <v>Computer Vision Engineer</v>
      </c>
      <c r="C1503" s="7" t="str">
        <f>IFERROR(__xludf.DUMMYFUNCTION("""COMPUTED_VALUE"""),"S011")</f>
        <v>S011</v>
      </c>
      <c r="D1503" s="7" t="str">
        <f>IFERROR(__xludf.DUMMYFUNCTION("""COMPUTED_VALUE"""),"Dynamic Programming &amp; Greedy Algorithms")</f>
        <v>Dynamic Programming &amp; Greedy Algorithms</v>
      </c>
    </row>
    <row r="1504">
      <c r="A1504" s="7" t="str">
        <f>IFERROR(__xludf.DUMMYFUNCTION("""COMPUTED_VALUE"""),"R39")</f>
        <v>R39</v>
      </c>
      <c r="B1504" s="7" t="str">
        <f>IFERROR(__xludf.DUMMYFUNCTION("""COMPUTED_VALUE"""),"Computer Vision Engineer")</f>
        <v>Computer Vision Engineer</v>
      </c>
      <c r="C1504" s="7" t="str">
        <f>IFERROR(__xludf.DUMMYFUNCTION("""COMPUTED_VALUE"""),"S012")</f>
        <v>S012</v>
      </c>
      <c r="D1504" s="7" t="str">
        <f>IFERROR(__xludf.DUMMYFUNCTION("""COMPUTED_VALUE"""),"Time &amp; Space Complexity (Big-O Analysis)")</f>
        <v>Time &amp; Space Complexity (Big-O Analysis)</v>
      </c>
    </row>
    <row r="1505">
      <c r="A1505" s="7" t="str">
        <f>IFERROR(__xludf.DUMMYFUNCTION("""COMPUTED_VALUE"""),"R39")</f>
        <v>R39</v>
      </c>
      <c r="B1505" s="7" t="str">
        <f>IFERROR(__xludf.DUMMYFUNCTION("""COMPUTED_VALUE"""),"Computer Vision Engineer")</f>
        <v>Computer Vision Engineer</v>
      </c>
      <c r="C1505" s="7" t="str">
        <f>IFERROR(__xludf.DUMMYFUNCTION("""COMPUTED_VALUE"""),"S013")</f>
        <v>S013</v>
      </c>
      <c r="D1505" s="7" t="str">
        <f>IFERROR(__xludf.DUMMYFUNCTION("""COMPUTED_VALUE"""),"Object-Oriented Programming (OOP)")</f>
        <v>Object-Oriented Programming (OOP)</v>
      </c>
    </row>
    <row r="1506">
      <c r="A1506" s="7" t="str">
        <f>IFERROR(__xludf.DUMMYFUNCTION("""COMPUTED_VALUE"""),"R39")</f>
        <v>R39</v>
      </c>
      <c r="B1506" s="7" t="str">
        <f>IFERROR(__xludf.DUMMYFUNCTION("""COMPUTED_VALUE"""),"Computer Vision Engineer")</f>
        <v>Computer Vision Engineer</v>
      </c>
      <c r="C1506" s="7" t="str">
        <f>IFERROR(__xludf.DUMMYFUNCTION("""COMPUTED_VALUE"""),"S017")</f>
        <v>S017</v>
      </c>
      <c r="D1506" s="7" t="str">
        <f>IFERROR(__xludf.DUMMYFUNCTION("""COMPUTED_VALUE"""),"Git Version Control Fundamentals")</f>
        <v>Git Version Control Fundamentals</v>
      </c>
    </row>
    <row r="1507">
      <c r="A1507" s="7" t="str">
        <f>IFERROR(__xludf.DUMMYFUNCTION("""COMPUTED_VALUE"""),"R39")</f>
        <v>R39</v>
      </c>
      <c r="B1507" s="7" t="str">
        <f>IFERROR(__xludf.DUMMYFUNCTION("""COMPUTED_VALUE"""),"Computer Vision Engineer")</f>
        <v>Computer Vision Engineer</v>
      </c>
      <c r="C1507" s="7" t="str">
        <f>IFERROR(__xludf.DUMMYFUNCTION("""COMPUTED_VALUE"""),"S018")</f>
        <v>S018</v>
      </c>
      <c r="D1507" s="7" t="str">
        <f>IFERROR(__xludf.DUMMYFUNCTION("""COMPUTED_VALUE"""),"GitHub / GitLab Workflows &amp; Pull Requests")</f>
        <v>GitHub / GitLab Workflows &amp; Pull Requests</v>
      </c>
    </row>
    <row r="1508">
      <c r="A1508" s="7" t="str">
        <f>IFERROR(__xludf.DUMMYFUNCTION("""COMPUTED_VALUE"""),"R39")</f>
        <v>R39</v>
      </c>
      <c r="B1508" s="7" t="str">
        <f>IFERROR(__xludf.DUMMYFUNCTION("""COMPUTED_VALUE"""),"Computer Vision Engineer")</f>
        <v>Computer Vision Engineer</v>
      </c>
      <c r="C1508" s="7" t="str">
        <f>IFERROR(__xludf.DUMMYFUNCTION("""COMPUTED_VALUE"""),"S019")</f>
        <v>S019</v>
      </c>
      <c r="D1508" s="7" t="str">
        <f>IFERROR(__xludf.DUMMYFUNCTION("""COMPUTED_VALUE"""),"Linux Command Line &amp; File Permissions")</f>
        <v>Linux Command Line &amp; File Permissions</v>
      </c>
    </row>
    <row r="1509">
      <c r="A1509" s="7" t="str">
        <f>IFERROR(__xludf.DUMMYFUNCTION("""COMPUTED_VALUE"""),"R39")</f>
        <v>R39</v>
      </c>
      <c r="B1509" s="7" t="str">
        <f>IFERROR(__xludf.DUMMYFUNCTION("""COMPUTED_VALUE"""),"Computer Vision Engineer")</f>
        <v>Computer Vision Engineer</v>
      </c>
      <c r="C1509" s="7" t="str">
        <f>IFERROR(__xludf.DUMMYFUNCTION("""COMPUTED_VALUE"""),"S020")</f>
        <v>S020</v>
      </c>
      <c r="D1509" s="7" t="str">
        <f>IFERROR(__xludf.DUMMYFUNCTION("""COMPUTED_VALUE"""),"Bash &amp; Shell Scripting")</f>
        <v>Bash &amp; Shell Scripting</v>
      </c>
    </row>
    <row r="1510">
      <c r="A1510" s="7" t="str">
        <f>IFERROR(__xludf.DUMMYFUNCTION("""COMPUTED_VALUE"""),"R39")</f>
        <v>R39</v>
      </c>
      <c r="B1510" s="7" t="str">
        <f>IFERROR(__xludf.DUMMYFUNCTION("""COMPUTED_VALUE"""),"Computer Vision Engineer")</f>
        <v>Computer Vision Engineer</v>
      </c>
      <c r="C1510" s="7" t="str">
        <f>IFERROR(__xludf.DUMMYFUNCTION("""COMPUTED_VALUE"""),"S026")</f>
        <v>S026</v>
      </c>
      <c r="D1510" s="7" t="str">
        <f>IFERROR(__xludf.DUMMYFUNCTION("""COMPUTED_VALUE"""),"Data Serialization (JSON, XML, YAML, Protobuf)")</f>
        <v>Data Serialization (JSON, XML, YAML, Protobuf)</v>
      </c>
    </row>
    <row r="1511">
      <c r="A1511" s="7" t="str">
        <f>IFERROR(__xludf.DUMMYFUNCTION("""COMPUTED_VALUE"""),"R39")</f>
        <v>R39</v>
      </c>
      <c r="B1511" s="7" t="str">
        <f>IFERROR(__xludf.DUMMYFUNCTION("""COMPUTED_VALUE"""),"Computer Vision Engineer")</f>
        <v>Computer Vision Engineer</v>
      </c>
      <c r="C1511" s="7" t="str">
        <f>IFERROR(__xludf.DUMMYFUNCTION("""COMPUTED_VALUE"""),"S028")</f>
        <v>S028</v>
      </c>
      <c r="D1511" s="7" t="str">
        <f>IFERROR(__xludf.DUMMYFUNCTION("""COMPUTED_VALUE"""),"Technical Writing &amp; Markdown Documentation")</f>
        <v>Technical Writing &amp; Markdown Documentation</v>
      </c>
    </row>
    <row r="1512">
      <c r="A1512" s="7" t="str">
        <f>IFERROR(__xludf.DUMMYFUNCTION("""COMPUTED_VALUE"""),"R39")</f>
        <v>R39</v>
      </c>
      <c r="B1512" s="7" t="str">
        <f>IFERROR(__xludf.DUMMYFUNCTION("""COMPUTED_VALUE"""),"Computer Vision Engineer")</f>
        <v>Computer Vision Engineer</v>
      </c>
      <c r="C1512" s="7" t="str">
        <f>IFERROR(__xludf.DUMMYFUNCTION("""COMPUTED_VALUE"""),"S030")</f>
        <v>S030</v>
      </c>
      <c r="D1512" s="7" t="str">
        <f>IFERROR(__xludf.DUMMYFUNCTION("""COMPUTED_VALUE"""),"Discrete Mathematics &amp; Boolean Logic")</f>
        <v>Discrete Mathematics &amp; Boolean Logic</v>
      </c>
    </row>
    <row r="1513">
      <c r="A1513" s="7" t="str">
        <f>IFERROR(__xludf.DUMMYFUNCTION("""COMPUTED_VALUE"""),"R39")</f>
        <v>R39</v>
      </c>
      <c r="B1513" s="7" t="str">
        <f>IFERROR(__xludf.DUMMYFUNCTION("""COMPUTED_VALUE"""),"Computer Vision Engineer")</f>
        <v>Computer Vision Engineer</v>
      </c>
      <c r="C1513" s="7" t="str">
        <f>IFERROR(__xludf.DUMMYFUNCTION("""COMPUTED_VALUE"""),"S068")</f>
        <v>S068</v>
      </c>
      <c r="D1513" s="7" t="str">
        <f>IFERROR(__xludf.DUMMYFUNCTION("""COMPUTED_VALUE"""),"Python Programming Fundamentals")</f>
        <v>Python Programming Fundamentals</v>
      </c>
    </row>
    <row r="1514">
      <c r="A1514" s="7" t="str">
        <f>IFERROR(__xludf.DUMMYFUNCTION("""COMPUTED_VALUE"""),"R39")</f>
        <v>R39</v>
      </c>
      <c r="B1514" s="7" t="str">
        <f>IFERROR(__xludf.DUMMYFUNCTION("""COMPUTED_VALUE"""),"Computer Vision Engineer")</f>
        <v>Computer Vision Engineer</v>
      </c>
      <c r="C1514" s="7" t="str">
        <f>IFERROR(__xludf.DUMMYFUNCTION("""COMPUTED_VALUE"""),"S070")</f>
        <v>S070</v>
      </c>
      <c r="D1514" s="7" t="str">
        <f>IFERROR(__xludf.DUMMYFUNCTION("""COMPUTED_VALUE"""),"FastAPI High-Performance APIs")</f>
        <v>FastAPI High-Performance APIs</v>
      </c>
    </row>
    <row r="1515">
      <c r="A1515" s="7" t="str">
        <f>IFERROR(__xludf.DUMMYFUNCTION("""COMPUTED_VALUE"""),"R39")</f>
        <v>R39</v>
      </c>
      <c r="B1515" s="7" t="str">
        <f>IFERROR(__xludf.DUMMYFUNCTION("""COMPUTED_VALUE"""),"Computer Vision Engineer")</f>
        <v>Computer Vision Engineer</v>
      </c>
      <c r="C1515" s="7" t="str">
        <f>IFERROR(__xludf.DUMMYFUNCTION("""COMPUTED_VALUE"""),"S082")</f>
        <v>S082</v>
      </c>
      <c r="D1515" s="7" t="str">
        <f>IFERROR(__xludf.DUMMYFUNCTION("""COMPUTED_VALUE"""),"C Programming &amp; Pointers")</f>
        <v>C Programming &amp; Pointers</v>
      </c>
    </row>
    <row r="1516">
      <c r="A1516" s="7" t="str">
        <f>IFERROR(__xludf.DUMMYFUNCTION("""COMPUTED_VALUE"""),"R39")</f>
        <v>R39</v>
      </c>
      <c r="B1516" s="7" t="str">
        <f>IFERROR(__xludf.DUMMYFUNCTION("""COMPUTED_VALUE"""),"Computer Vision Engineer")</f>
        <v>Computer Vision Engineer</v>
      </c>
      <c r="C1516" s="7" t="str">
        <f>IFERROR(__xludf.DUMMYFUNCTION("""COMPUTED_VALUE"""),"S083")</f>
        <v>S083</v>
      </c>
      <c r="D1516" s="7" t="str">
        <f>IFERROR(__xludf.DUMMYFUNCTION("""COMPUTED_VALUE"""),"C++ &amp; Standard Template Library (STL)")</f>
        <v>C++ &amp; Standard Template Library (STL)</v>
      </c>
    </row>
    <row r="1517">
      <c r="A1517" s="7" t="str">
        <f>IFERROR(__xludf.DUMMYFUNCTION("""COMPUTED_VALUE"""),"R39")</f>
        <v>R39</v>
      </c>
      <c r="B1517" s="7" t="str">
        <f>IFERROR(__xludf.DUMMYFUNCTION("""COMPUTED_VALUE"""),"Computer Vision Engineer")</f>
        <v>Computer Vision Engineer</v>
      </c>
      <c r="C1517" s="7" t="str">
        <f>IFERROR(__xludf.DUMMYFUNCTION("""COMPUTED_VALUE"""),"S086")</f>
        <v>S086</v>
      </c>
      <c r="D1517" s="7" t="str">
        <f>IFERROR(__xludf.DUMMYFUNCTION("""COMPUTED_VALUE"""),"RESTful API Design &amp; OpenAPI/Swagger")</f>
        <v>RESTful API Design &amp; OpenAPI/Swagger</v>
      </c>
    </row>
    <row r="1518">
      <c r="A1518" s="7" t="str">
        <f>IFERROR(__xludf.DUMMYFUNCTION("""COMPUTED_VALUE"""),"R39")</f>
        <v>R39</v>
      </c>
      <c r="B1518" s="7" t="str">
        <f>IFERROR(__xludf.DUMMYFUNCTION("""COMPUTED_VALUE"""),"Computer Vision Engineer")</f>
        <v>Computer Vision Engineer</v>
      </c>
      <c r="C1518" s="7" t="str">
        <f>IFERROR(__xludf.DUMMYFUNCTION("""COMPUTED_VALUE"""),"S100")</f>
        <v>S100</v>
      </c>
      <c r="D1518" s="7" t="str">
        <f>IFERROR(__xludf.DUMMYFUNCTION("""COMPUTED_VALUE"""),"Multithreading, Concurrency &amp; Parallel Processing")</f>
        <v>Multithreading, Concurrency &amp; Parallel Processing</v>
      </c>
    </row>
    <row r="1519">
      <c r="A1519" s="7" t="str">
        <f>IFERROR(__xludf.DUMMYFUNCTION("""COMPUTED_VALUE"""),"R39")</f>
        <v>R39</v>
      </c>
      <c r="B1519" s="7" t="str">
        <f>IFERROR(__xludf.DUMMYFUNCTION("""COMPUTED_VALUE"""),"Computer Vision Engineer")</f>
        <v>Computer Vision Engineer</v>
      </c>
      <c r="C1519" s="7" t="str">
        <f>IFERROR(__xludf.DUMMYFUNCTION("""COMPUTED_VALUE"""),"S136")</f>
        <v>S136</v>
      </c>
      <c r="D1519" s="7" t="str">
        <f>IFERROR(__xludf.DUMMYFUNCTION("""COMPUTED_VALUE"""),"Probability Theory &amp; Descriptive Statistics")</f>
        <v>Probability Theory &amp; Descriptive Statistics</v>
      </c>
    </row>
    <row r="1520">
      <c r="A1520" s="7" t="str">
        <f>IFERROR(__xludf.DUMMYFUNCTION("""COMPUTED_VALUE"""),"R39")</f>
        <v>R39</v>
      </c>
      <c r="B1520" s="7" t="str">
        <f>IFERROR(__xludf.DUMMYFUNCTION("""COMPUTED_VALUE"""),"Computer Vision Engineer")</f>
        <v>Computer Vision Engineer</v>
      </c>
      <c r="C1520" s="7" t="str">
        <f>IFERROR(__xludf.DUMMYFUNCTION("""COMPUTED_VALUE"""),"S137")</f>
        <v>S137</v>
      </c>
      <c r="D1520" s="7" t="str">
        <f>IFERROR(__xludf.DUMMYFUNCTION("""COMPUTED_VALUE"""),"Inferential Statistics, Hypothesis Testing &amp; A/B Testing")</f>
        <v>Inferential Statistics, Hypothesis Testing &amp; A/B Testing</v>
      </c>
    </row>
    <row r="1521">
      <c r="A1521" s="7" t="str">
        <f>IFERROR(__xludf.DUMMYFUNCTION("""COMPUTED_VALUE"""),"R39")</f>
        <v>R39</v>
      </c>
      <c r="B1521" s="7" t="str">
        <f>IFERROR(__xludf.DUMMYFUNCTION("""COMPUTED_VALUE"""),"Computer Vision Engineer")</f>
        <v>Computer Vision Engineer</v>
      </c>
      <c r="C1521" s="7" t="str">
        <f>IFERROR(__xludf.DUMMYFUNCTION("""COMPUTED_VALUE"""),"S138")</f>
        <v>S138</v>
      </c>
      <c r="D1521" s="7" t="str">
        <f>IFERROR(__xludf.DUMMYFUNCTION("""COMPUTED_VALUE"""),"Linear Algebra, Calculus &amp; Optimization for ML")</f>
        <v>Linear Algebra, Calculus &amp; Optimization for ML</v>
      </c>
    </row>
    <row r="1522">
      <c r="A1522" s="7" t="str">
        <f>IFERROR(__xludf.DUMMYFUNCTION("""COMPUTED_VALUE"""),"R39")</f>
        <v>R39</v>
      </c>
      <c r="B1522" s="7" t="str">
        <f>IFERROR(__xludf.DUMMYFUNCTION("""COMPUTED_VALUE"""),"Computer Vision Engineer")</f>
        <v>Computer Vision Engineer</v>
      </c>
      <c r="C1522" s="7" t="str">
        <f>IFERROR(__xludf.DUMMYFUNCTION("""COMPUTED_VALUE"""),"S139")</f>
        <v>S139</v>
      </c>
      <c r="D1522" s="7" t="str">
        <f>IFERROR(__xludf.DUMMYFUNCTION("""COMPUTED_VALUE"""),"Scientific Computing with NumPy &amp; SciPy")</f>
        <v>Scientific Computing with NumPy &amp; SciPy</v>
      </c>
    </row>
    <row r="1523">
      <c r="A1523" s="7" t="str">
        <f>IFERROR(__xludf.DUMMYFUNCTION("""COMPUTED_VALUE"""),"R39")</f>
        <v>R39</v>
      </c>
      <c r="B1523" s="7" t="str">
        <f>IFERROR(__xludf.DUMMYFUNCTION("""COMPUTED_VALUE"""),"Computer Vision Engineer")</f>
        <v>Computer Vision Engineer</v>
      </c>
      <c r="C1523" s="7" t="str">
        <f>IFERROR(__xludf.DUMMYFUNCTION("""COMPUTED_VALUE"""),"S140")</f>
        <v>S140</v>
      </c>
      <c r="D1523" s="7" t="str">
        <f>IFERROR(__xludf.DUMMYFUNCTION("""COMPUTED_VALUE"""),"Data Manipulation &amp; Analysis with Pandas / Polars")</f>
        <v>Data Manipulation &amp; Analysis with Pandas / Polars</v>
      </c>
    </row>
    <row r="1524">
      <c r="A1524" s="7" t="str">
        <f>IFERROR(__xludf.DUMMYFUNCTION("""COMPUTED_VALUE"""),"R39")</f>
        <v>R39</v>
      </c>
      <c r="B1524" s="7" t="str">
        <f>IFERROR(__xludf.DUMMYFUNCTION("""COMPUTED_VALUE"""),"Computer Vision Engineer")</f>
        <v>Computer Vision Engineer</v>
      </c>
      <c r="C1524" s="7" t="str">
        <f>IFERROR(__xludf.DUMMYFUNCTION("""COMPUTED_VALUE"""),"S143")</f>
        <v>S143</v>
      </c>
      <c r="D1524" s="7" t="str">
        <f>IFERROR(__xludf.DUMMYFUNCTION("""COMPUTED_VALUE"""),"Python Data Visualization (Matplotlib, Seaborn, Plotly)")</f>
        <v>Python Data Visualization (Matplotlib, Seaborn, Plotly)</v>
      </c>
    </row>
    <row r="1525">
      <c r="A1525" s="7" t="str">
        <f>IFERROR(__xludf.DUMMYFUNCTION("""COMPUTED_VALUE"""),"R39")</f>
        <v>R39</v>
      </c>
      <c r="B1525" s="7" t="str">
        <f>IFERROR(__xludf.DUMMYFUNCTION("""COMPUTED_VALUE"""),"Computer Vision Engineer")</f>
        <v>Computer Vision Engineer</v>
      </c>
      <c r="C1525" s="7" t="str">
        <f>IFERROR(__xludf.DUMMYFUNCTION("""COMPUTED_VALUE"""),"S147")</f>
        <v>S147</v>
      </c>
      <c r="D1525" s="7" t="str">
        <f>IFERROR(__xludf.DUMMYFUNCTION("""COMPUTED_VALUE"""),"Feature Engineering, Selection &amp; Dimensionality Reduction (PCA)")</f>
        <v>Feature Engineering, Selection &amp; Dimensionality Reduction (PCA)</v>
      </c>
    </row>
    <row r="1526">
      <c r="A1526" s="7" t="str">
        <f>IFERROR(__xludf.DUMMYFUNCTION("""COMPUTED_VALUE"""),"R39")</f>
        <v>R39</v>
      </c>
      <c r="B1526" s="7" t="str">
        <f>IFERROR(__xludf.DUMMYFUNCTION("""COMPUTED_VALUE"""),"Computer Vision Engineer")</f>
        <v>Computer Vision Engineer</v>
      </c>
      <c r="C1526" s="7" t="str">
        <f>IFERROR(__xludf.DUMMYFUNCTION("""COMPUTED_VALUE"""),"S148")</f>
        <v>S148</v>
      </c>
      <c r="D1526" s="7" t="str">
        <f>IFERROR(__xludf.DUMMYFUNCTION("""COMPUTED_VALUE"""),"Supervised Machine Learning (Regression, Classification, SVM)")</f>
        <v>Supervised Machine Learning (Regression, Classification, SVM)</v>
      </c>
    </row>
    <row r="1527">
      <c r="A1527" s="7" t="str">
        <f>IFERROR(__xludf.DUMMYFUNCTION("""COMPUTED_VALUE"""),"R39")</f>
        <v>R39</v>
      </c>
      <c r="B1527" s="7" t="str">
        <f>IFERROR(__xludf.DUMMYFUNCTION("""COMPUTED_VALUE"""),"Computer Vision Engineer")</f>
        <v>Computer Vision Engineer</v>
      </c>
      <c r="C1527" s="7" t="str">
        <f>IFERROR(__xludf.DUMMYFUNCTION("""COMPUTED_VALUE"""),"S150")</f>
        <v>S150</v>
      </c>
      <c r="D1527" s="7" t="str">
        <f>IFERROR(__xludf.DUMMYFUNCTION("""COMPUTED_VALUE"""),"Unsupervised Learning (K-Means, Hierarchical Clustering, Anomaly Detection)")</f>
        <v>Unsupervised Learning (K-Means, Hierarchical Clustering, Anomaly Detection)</v>
      </c>
    </row>
    <row r="1528">
      <c r="A1528" s="7" t="str">
        <f>IFERROR(__xludf.DUMMYFUNCTION("""COMPUTED_VALUE"""),"R39")</f>
        <v>R39</v>
      </c>
      <c r="B1528" s="7" t="str">
        <f>IFERROR(__xludf.DUMMYFUNCTION("""COMPUTED_VALUE"""),"Computer Vision Engineer")</f>
        <v>Computer Vision Engineer</v>
      </c>
      <c r="C1528" s="7" t="str">
        <f>IFERROR(__xludf.DUMMYFUNCTION("""COMPUTED_VALUE"""),"S151")</f>
        <v>S151</v>
      </c>
      <c r="D1528" s="7" t="str">
        <f>IFERROR(__xludf.DUMMYFUNCTION("""COMPUTED_VALUE"""),"Model Evaluation Metrics, Cross-Validation &amp; Hyperparameter Tuning")</f>
        <v>Model Evaluation Metrics, Cross-Validation &amp; Hyperparameter Tuning</v>
      </c>
    </row>
    <row r="1529">
      <c r="A1529" s="7" t="str">
        <f>IFERROR(__xludf.DUMMYFUNCTION("""COMPUTED_VALUE"""),"R39")</f>
        <v>R39</v>
      </c>
      <c r="B1529" s="7" t="str">
        <f>IFERROR(__xludf.DUMMYFUNCTION("""COMPUTED_VALUE"""),"Computer Vision Engineer")</f>
        <v>Computer Vision Engineer</v>
      </c>
      <c r="C1529" s="7" t="str">
        <f>IFERROR(__xludf.DUMMYFUNCTION("""COMPUTED_VALUE"""),"S154")</f>
        <v>S154</v>
      </c>
      <c r="D1529" s="7" t="str">
        <f>IFERROR(__xludf.DUMMYFUNCTION("""COMPUTED_VALUE"""),"Neural Networks &amp; Deep Learning Fundamentals")</f>
        <v>Neural Networks &amp; Deep Learning Fundamentals</v>
      </c>
    </row>
    <row r="1530">
      <c r="A1530" s="7" t="str">
        <f>IFERROR(__xludf.DUMMYFUNCTION("""COMPUTED_VALUE"""),"R39")</f>
        <v>R39</v>
      </c>
      <c r="B1530" s="7" t="str">
        <f>IFERROR(__xludf.DUMMYFUNCTION("""COMPUTED_VALUE"""),"Computer Vision Engineer")</f>
        <v>Computer Vision Engineer</v>
      </c>
      <c r="C1530" s="7" t="str">
        <f>IFERROR(__xludf.DUMMYFUNCTION("""COMPUTED_VALUE"""),"S155")</f>
        <v>S155</v>
      </c>
      <c r="D1530" s="7" t="str">
        <f>IFERROR(__xludf.DUMMYFUNCTION("""COMPUTED_VALUE"""),"Deep Learning with PyTorch")</f>
        <v>Deep Learning with PyTorch</v>
      </c>
    </row>
    <row r="1531">
      <c r="A1531" s="7" t="str">
        <f>IFERROR(__xludf.DUMMYFUNCTION("""COMPUTED_VALUE"""),"R39")</f>
        <v>R39</v>
      </c>
      <c r="B1531" s="7" t="str">
        <f>IFERROR(__xludf.DUMMYFUNCTION("""COMPUTED_VALUE"""),"Computer Vision Engineer")</f>
        <v>Computer Vision Engineer</v>
      </c>
      <c r="C1531" s="7" t="str">
        <f>IFERROR(__xludf.DUMMYFUNCTION("""COMPUTED_VALUE"""),"S156")</f>
        <v>S156</v>
      </c>
      <c r="D1531" s="7" t="str">
        <f>IFERROR(__xludf.DUMMYFUNCTION("""COMPUTED_VALUE"""),"Deep Learning with TensorFlow &amp; Keras")</f>
        <v>Deep Learning with TensorFlow &amp; Keras</v>
      </c>
    </row>
    <row r="1532">
      <c r="A1532" s="7" t="str">
        <f>IFERROR(__xludf.DUMMYFUNCTION("""COMPUTED_VALUE"""),"R39")</f>
        <v>R39</v>
      </c>
      <c r="B1532" s="7" t="str">
        <f>IFERROR(__xludf.DUMMYFUNCTION("""COMPUTED_VALUE"""),"Computer Vision Engineer")</f>
        <v>Computer Vision Engineer</v>
      </c>
      <c r="C1532" s="7" t="str">
        <f>IFERROR(__xludf.DUMMYFUNCTION("""COMPUTED_VALUE"""),"S158")</f>
        <v>S158</v>
      </c>
      <c r="D1532" s="7" t="str">
        <f>IFERROR(__xludf.DUMMYFUNCTION("""COMPUTED_VALUE"""),"Transformer Architecture &amp; Attention Mechanisms (Hugging Face)")</f>
        <v>Transformer Architecture &amp; Attention Mechanisms (Hugging Face)</v>
      </c>
    </row>
    <row r="1533">
      <c r="A1533" s="7" t="str">
        <f>IFERROR(__xludf.DUMMYFUNCTION("""COMPUTED_VALUE"""),"R39")</f>
        <v>R39</v>
      </c>
      <c r="B1533" s="7" t="str">
        <f>IFERROR(__xludf.DUMMYFUNCTION("""COMPUTED_VALUE"""),"Computer Vision Engineer")</f>
        <v>Computer Vision Engineer</v>
      </c>
      <c r="C1533" s="7" t="str">
        <f>IFERROR(__xludf.DUMMYFUNCTION("""COMPUTED_VALUE"""),"S161")</f>
        <v>S161</v>
      </c>
      <c r="D1533" s="7" t="str">
        <f>IFERROR(__xludf.DUMMYFUNCTION("""COMPUTED_VALUE"""),"Computer Vision &amp; Image Processing (OpenCV)")</f>
        <v>Computer Vision &amp; Image Processing (OpenCV)</v>
      </c>
    </row>
    <row r="1534">
      <c r="A1534" s="7" t="str">
        <f>IFERROR(__xludf.DUMMYFUNCTION("""COMPUTED_VALUE"""),"R39")</f>
        <v>R39</v>
      </c>
      <c r="B1534" s="7" t="str">
        <f>IFERROR(__xludf.DUMMYFUNCTION("""COMPUTED_VALUE"""),"Computer Vision Engineer")</f>
        <v>Computer Vision Engineer</v>
      </c>
      <c r="C1534" s="7" t="str">
        <f>IFERROR(__xludf.DUMMYFUNCTION("""COMPUTED_VALUE"""),"S162")</f>
        <v>S162</v>
      </c>
      <c r="D1534" s="7" t="str">
        <f>IFERROR(__xludf.DUMMYFUNCTION("""COMPUTED_VALUE"""),"Convolutional Neural Networks (CNNs) &amp; Object Detection (YOLO)")</f>
        <v>Convolutional Neural Networks (CNNs) &amp; Object Detection (YOLO)</v>
      </c>
    </row>
    <row r="1535">
      <c r="A1535" s="7" t="str">
        <f>IFERROR(__xludf.DUMMYFUNCTION("""COMPUTED_VALUE"""),"R39")</f>
        <v>R39</v>
      </c>
      <c r="B1535" s="7" t="str">
        <f>IFERROR(__xludf.DUMMYFUNCTION("""COMPUTED_VALUE"""),"Computer Vision Engineer")</f>
        <v>Computer Vision Engineer</v>
      </c>
      <c r="C1535" s="7" t="str">
        <f>IFERROR(__xludf.DUMMYFUNCTION("""COMPUTED_VALUE"""),"S163")</f>
        <v>S163</v>
      </c>
      <c r="D1535" s="7" t="str">
        <f>IFERROR(__xludf.DUMMYFUNCTION("""COMPUTED_VALUE"""),"Generative AI &amp; Diffusion Models")</f>
        <v>Generative AI &amp; Diffusion Models</v>
      </c>
    </row>
    <row r="1536">
      <c r="A1536" s="7" t="str">
        <f>IFERROR(__xludf.DUMMYFUNCTION("""COMPUTED_VALUE"""),"R39")</f>
        <v>R39</v>
      </c>
      <c r="B1536" s="7" t="str">
        <f>IFERROR(__xludf.DUMMYFUNCTION("""COMPUTED_VALUE"""),"Computer Vision Engineer")</f>
        <v>Computer Vision Engineer</v>
      </c>
      <c r="C1536" s="7" t="str">
        <f>IFERROR(__xludf.DUMMYFUNCTION("""COMPUTED_VALUE"""),"S165")</f>
        <v>S165</v>
      </c>
      <c r="D1536" s="7" t="str">
        <f>IFERROR(__xludf.DUMMYFUNCTION("""COMPUTED_VALUE"""),"MLOps &amp; Experiment Tracking (MLflow, Weights &amp; Biases, Kubeflow)")</f>
        <v>MLOps &amp; Experiment Tracking (MLflow, Weights &amp; Biases, Kubeflow)</v>
      </c>
    </row>
    <row r="1537">
      <c r="A1537" s="7" t="str">
        <f>IFERROR(__xludf.DUMMYFUNCTION("""COMPUTED_VALUE"""),"R39")</f>
        <v>R39</v>
      </c>
      <c r="B1537" s="7" t="str">
        <f>IFERROR(__xludf.DUMMYFUNCTION("""COMPUTED_VALUE"""),"Computer Vision Engineer")</f>
        <v>Computer Vision Engineer</v>
      </c>
      <c r="C1537" s="7" t="str">
        <f>IFERROR(__xludf.DUMMYFUNCTION("""COMPUTED_VALUE"""),"S166")</f>
        <v>S166</v>
      </c>
      <c r="D1537" s="7" t="str">
        <f>IFERROR(__xludf.DUMMYFUNCTION("""COMPUTED_VALUE"""),"Model Serving &amp; Inference Optimization (ONNX, TensorRT, Triton, BentoML)")</f>
        <v>Model Serving &amp; Inference Optimization (ONNX, TensorRT, Triton, BentoML)</v>
      </c>
    </row>
    <row r="1538">
      <c r="A1538" s="7" t="str">
        <f>IFERROR(__xludf.DUMMYFUNCTION("""COMPUTED_VALUE"""),"R39")</f>
        <v>R39</v>
      </c>
      <c r="B1538" s="7" t="str">
        <f>IFERROR(__xludf.DUMMYFUNCTION("""COMPUTED_VALUE"""),"Computer Vision Engineer")</f>
        <v>Computer Vision Engineer</v>
      </c>
      <c r="C1538" s="7" t="str">
        <f>IFERROR(__xludf.DUMMYFUNCTION("""COMPUTED_VALUE"""),"S171")</f>
        <v>S171</v>
      </c>
      <c r="D1538" s="7" t="str">
        <f>IFERROR(__xludf.DUMMYFUNCTION("""COMPUTED_VALUE"""),"Containerization with Docker")</f>
        <v>Containerization with Docker</v>
      </c>
    </row>
    <row r="1539">
      <c r="A1539" s="7" t="str">
        <f>IFERROR(__xludf.DUMMYFUNCTION("""COMPUTED_VALUE"""),"R39")</f>
        <v>R39</v>
      </c>
      <c r="B1539" s="7" t="str">
        <f>IFERROR(__xludf.DUMMYFUNCTION("""COMPUTED_VALUE"""),"Computer Vision Engineer")</f>
        <v>Computer Vision Engineer</v>
      </c>
      <c r="C1539" s="7" t="str">
        <f>IFERROR(__xludf.DUMMYFUNCTION("""COMPUTED_VALUE"""),"S174")</f>
        <v>S174</v>
      </c>
      <c r="D1539" s="7" t="str">
        <f>IFERROR(__xludf.DUMMYFUNCTION("""COMPUTED_VALUE"""),"Amazon Web Services Core (EC2, S3, RDS, IAM, VPC)")</f>
        <v>Amazon Web Services Core (EC2, S3, RDS, IAM, VPC)</v>
      </c>
    </row>
    <row r="1540">
      <c r="A1540" s="7" t="str">
        <f>IFERROR(__xludf.DUMMYFUNCTION("""COMPUTED_VALUE"""),"R39")</f>
        <v>R39</v>
      </c>
      <c r="B1540" s="7" t="str">
        <f>IFERROR(__xludf.DUMMYFUNCTION("""COMPUTED_VALUE"""),"Computer Vision Engineer")</f>
        <v>Computer Vision Engineer</v>
      </c>
      <c r="C1540" s="7" t="str">
        <f>IFERROR(__xludf.DUMMYFUNCTION("""COMPUTED_VALUE"""),"S230")</f>
        <v>S230</v>
      </c>
      <c r="D1540" s="7" t="str">
        <f>IFERROR(__xludf.DUMMYFUNCTION("""COMPUTED_VALUE"""),"3D Mathematics, Physics Engines &amp; Shader Programming (HLSL/GLSL)")</f>
        <v>3D Mathematics, Physics Engines &amp; Shader Programming (HLSL/GLSL)</v>
      </c>
    </row>
    <row r="1541">
      <c r="A1541" s="7" t="str">
        <f>IFERROR(__xludf.DUMMYFUNCTION("""COMPUTED_VALUE"""),"R39")</f>
        <v>R39</v>
      </c>
      <c r="B1541" s="7" t="str">
        <f>IFERROR(__xludf.DUMMYFUNCTION("""COMPUTED_VALUE"""),"Computer Vision Engineer")</f>
        <v>Computer Vision Engineer</v>
      </c>
      <c r="C1541" s="7" t="str">
        <f>IFERROR(__xludf.DUMMYFUNCTION("""COMPUTED_VALUE"""),"S231")</f>
        <v>S231</v>
      </c>
      <c r="D1541" s="7" t="str">
        <f>IFERROR(__xludf.DUMMYFUNCTION("""COMPUTED_VALUE"""),"Extended Reality Development (AR/VR, OpenXR, ARKit, ARCore)")</f>
        <v>Extended Reality Development (AR/VR, OpenXR, ARKit, ARCore)</v>
      </c>
    </row>
    <row r="1542">
      <c r="A1542" s="7" t="str">
        <f>IFERROR(__xludf.DUMMYFUNCTION("""COMPUTED_VALUE"""),"R39")</f>
        <v>R39</v>
      </c>
      <c r="B1542" s="7" t="str">
        <f>IFERROR(__xludf.DUMMYFUNCTION("""COMPUTED_VALUE"""),"Computer Vision Engineer")</f>
        <v>Computer Vision Engineer</v>
      </c>
      <c r="C1542" s="7" t="str">
        <f>IFERROR(__xludf.DUMMYFUNCTION("""COMPUTED_VALUE"""),"S246")</f>
        <v>S246</v>
      </c>
      <c r="D1542" s="7" t="str">
        <f>IFERROR(__xludf.DUMMYFUNCTION("""COMPUTED_VALUE"""),"Agile Methodologies, Scrum Framework &amp; Kanban")</f>
        <v>Agile Methodologies, Scrum Framework &amp; Kanban</v>
      </c>
    </row>
    <row r="1543">
      <c r="A1543" s="7" t="str">
        <f>IFERROR(__xludf.DUMMYFUNCTION("""COMPUTED_VALUE"""),"R39")</f>
        <v>R39</v>
      </c>
      <c r="B1543" s="7" t="str">
        <f>IFERROR(__xludf.DUMMYFUNCTION("""COMPUTED_VALUE"""),"Computer Vision Engineer")</f>
        <v>Computer Vision Engineer</v>
      </c>
      <c r="C1543" s="7" t="str">
        <f>IFERROR(__xludf.DUMMYFUNCTION("""COMPUTED_VALUE"""),"S247")</f>
        <v>S247</v>
      </c>
      <c r="D1543" s="7" t="str">
        <f>IFERROR(__xludf.DUMMYFUNCTION("""COMPUTED_VALUE"""),"Project Tracking &amp; Documentation Tools (Jira, Confluence, Linear)")</f>
        <v>Project Tracking &amp; Documentation Tools (Jira, Confluence, Linear)</v>
      </c>
    </row>
    <row r="1544">
      <c r="A1544" s="7" t="str">
        <f>IFERROR(__xludf.DUMMYFUNCTION("""COMPUTED_VALUE"""),"R40")</f>
        <v>R40</v>
      </c>
      <c r="B1544" s="7" t="str">
        <f>IFERROR(__xludf.DUMMYFUNCTION("""COMPUTED_VALUE"""),"Natural Language Processing (NLP) Engineer")</f>
        <v>Natural Language Processing (NLP) Engineer</v>
      </c>
      <c r="C1544" s="7" t="str">
        <f>IFERROR(__xludf.DUMMYFUNCTION("""COMPUTED_VALUE"""),"S006")</f>
        <v>S006</v>
      </c>
      <c r="D1544" s="7" t="str">
        <f>IFERROR(__xludf.DUMMYFUNCTION("""COMPUTED_VALUE"""),"Basic Data Structures (Arrays, Lists, Stacks, Queues)")</f>
        <v>Basic Data Structures (Arrays, Lists, Stacks, Queues)</v>
      </c>
    </row>
    <row r="1545">
      <c r="A1545" s="7" t="str">
        <f>IFERROR(__xludf.DUMMYFUNCTION("""COMPUTED_VALUE"""),"R40")</f>
        <v>R40</v>
      </c>
      <c r="B1545" s="7" t="str">
        <f>IFERROR(__xludf.DUMMYFUNCTION("""COMPUTED_VALUE"""),"Natural Language Processing (NLP) Engineer")</f>
        <v>Natural Language Processing (NLP) Engineer</v>
      </c>
      <c r="C1545" s="7" t="str">
        <f>IFERROR(__xludf.DUMMYFUNCTION("""COMPUTED_VALUE"""),"S007")</f>
        <v>S007</v>
      </c>
      <c r="D1545" s="7" t="str">
        <f>IFERROR(__xludf.DUMMYFUNCTION("""COMPUTED_VALUE"""),"Trees &amp; Binary Search Trees")</f>
        <v>Trees &amp; Binary Search Trees</v>
      </c>
    </row>
    <row r="1546">
      <c r="A1546" s="7" t="str">
        <f>IFERROR(__xludf.DUMMYFUNCTION("""COMPUTED_VALUE"""),"R40")</f>
        <v>R40</v>
      </c>
      <c r="B1546" s="7" t="str">
        <f>IFERROR(__xludf.DUMMYFUNCTION("""COMPUTED_VALUE"""),"Natural Language Processing (NLP) Engineer")</f>
        <v>Natural Language Processing (NLP) Engineer</v>
      </c>
      <c r="C1546" s="7" t="str">
        <f>IFERROR(__xludf.DUMMYFUNCTION("""COMPUTED_VALUE"""),"S008")</f>
        <v>S008</v>
      </c>
      <c r="D1546" s="7" t="str">
        <f>IFERROR(__xludf.DUMMYFUNCTION("""COMPUTED_VALUE"""),"Heaps, Priority Queues &amp; Hashing")</f>
        <v>Heaps, Priority Queues &amp; Hashing</v>
      </c>
    </row>
    <row r="1547">
      <c r="A1547" s="7" t="str">
        <f>IFERROR(__xludf.DUMMYFUNCTION("""COMPUTED_VALUE"""),"R40")</f>
        <v>R40</v>
      </c>
      <c r="B1547" s="7" t="str">
        <f>IFERROR(__xludf.DUMMYFUNCTION("""COMPUTED_VALUE"""),"Natural Language Processing (NLP) Engineer")</f>
        <v>Natural Language Processing (NLP) Engineer</v>
      </c>
      <c r="C1547" s="7" t="str">
        <f>IFERROR(__xludf.DUMMYFUNCTION("""COMPUTED_VALUE"""),"S009")</f>
        <v>S009</v>
      </c>
      <c r="D1547" s="7" t="str">
        <f>IFERROR(__xludf.DUMMYFUNCTION("""COMPUTED_VALUE"""),"Graphs &amp; Graph Traversal (BFS/DFS)")</f>
        <v>Graphs &amp; Graph Traversal (BFS/DFS)</v>
      </c>
    </row>
    <row r="1548">
      <c r="A1548" s="7" t="str">
        <f>IFERROR(__xludf.DUMMYFUNCTION("""COMPUTED_VALUE"""),"R40")</f>
        <v>R40</v>
      </c>
      <c r="B1548" s="7" t="str">
        <f>IFERROR(__xludf.DUMMYFUNCTION("""COMPUTED_VALUE"""),"Natural Language Processing (NLP) Engineer")</f>
        <v>Natural Language Processing (NLP) Engineer</v>
      </c>
      <c r="C1548" s="7" t="str">
        <f>IFERROR(__xludf.DUMMYFUNCTION("""COMPUTED_VALUE"""),"S010")</f>
        <v>S010</v>
      </c>
      <c r="D1548" s="7" t="str">
        <f>IFERROR(__xludf.DUMMYFUNCTION("""COMPUTED_VALUE"""),"Sorting &amp; Searching Algorithms")</f>
        <v>Sorting &amp; Searching Algorithms</v>
      </c>
    </row>
    <row r="1549">
      <c r="A1549" s="7" t="str">
        <f>IFERROR(__xludf.DUMMYFUNCTION("""COMPUTED_VALUE"""),"R40")</f>
        <v>R40</v>
      </c>
      <c r="B1549" s="7" t="str">
        <f>IFERROR(__xludf.DUMMYFUNCTION("""COMPUTED_VALUE"""),"Natural Language Processing (NLP) Engineer")</f>
        <v>Natural Language Processing (NLP) Engineer</v>
      </c>
      <c r="C1549" s="7" t="str">
        <f>IFERROR(__xludf.DUMMYFUNCTION("""COMPUTED_VALUE"""),"S011")</f>
        <v>S011</v>
      </c>
      <c r="D1549" s="7" t="str">
        <f>IFERROR(__xludf.DUMMYFUNCTION("""COMPUTED_VALUE"""),"Dynamic Programming &amp; Greedy Algorithms")</f>
        <v>Dynamic Programming &amp; Greedy Algorithms</v>
      </c>
    </row>
    <row r="1550">
      <c r="A1550" s="7" t="str">
        <f>IFERROR(__xludf.DUMMYFUNCTION("""COMPUTED_VALUE"""),"R40")</f>
        <v>R40</v>
      </c>
      <c r="B1550" s="7" t="str">
        <f>IFERROR(__xludf.DUMMYFUNCTION("""COMPUTED_VALUE"""),"Natural Language Processing (NLP) Engineer")</f>
        <v>Natural Language Processing (NLP) Engineer</v>
      </c>
      <c r="C1550" s="7" t="str">
        <f>IFERROR(__xludf.DUMMYFUNCTION("""COMPUTED_VALUE"""),"S012")</f>
        <v>S012</v>
      </c>
      <c r="D1550" s="7" t="str">
        <f>IFERROR(__xludf.DUMMYFUNCTION("""COMPUTED_VALUE"""),"Time &amp; Space Complexity (Big-O Analysis)")</f>
        <v>Time &amp; Space Complexity (Big-O Analysis)</v>
      </c>
    </row>
    <row r="1551">
      <c r="A1551" s="7" t="str">
        <f>IFERROR(__xludf.DUMMYFUNCTION("""COMPUTED_VALUE"""),"R40")</f>
        <v>R40</v>
      </c>
      <c r="B1551" s="7" t="str">
        <f>IFERROR(__xludf.DUMMYFUNCTION("""COMPUTED_VALUE"""),"Natural Language Processing (NLP) Engineer")</f>
        <v>Natural Language Processing (NLP) Engineer</v>
      </c>
      <c r="C1551" s="7" t="str">
        <f>IFERROR(__xludf.DUMMYFUNCTION("""COMPUTED_VALUE"""),"S013")</f>
        <v>S013</v>
      </c>
      <c r="D1551" s="7" t="str">
        <f>IFERROR(__xludf.DUMMYFUNCTION("""COMPUTED_VALUE"""),"Object-Oriented Programming (OOP)")</f>
        <v>Object-Oriented Programming (OOP)</v>
      </c>
    </row>
    <row r="1552">
      <c r="A1552" s="7" t="str">
        <f>IFERROR(__xludf.DUMMYFUNCTION("""COMPUTED_VALUE"""),"R40")</f>
        <v>R40</v>
      </c>
      <c r="B1552" s="7" t="str">
        <f>IFERROR(__xludf.DUMMYFUNCTION("""COMPUTED_VALUE"""),"Natural Language Processing (NLP) Engineer")</f>
        <v>Natural Language Processing (NLP) Engineer</v>
      </c>
      <c r="C1552" s="7" t="str">
        <f>IFERROR(__xludf.DUMMYFUNCTION("""COMPUTED_VALUE"""),"S017")</f>
        <v>S017</v>
      </c>
      <c r="D1552" s="7" t="str">
        <f>IFERROR(__xludf.DUMMYFUNCTION("""COMPUTED_VALUE"""),"Git Version Control Fundamentals")</f>
        <v>Git Version Control Fundamentals</v>
      </c>
    </row>
    <row r="1553">
      <c r="A1553" s="7" t="str">
        <f>IFERROR(__xludf.DUMMYFUNCTION("""COMPUTED_VALUE"""),"R40")</f>
        <v>R40</v>
      </c>
      <c r="B1553" s="7" t="str">
        <f>IFERROR(__xludf.DUMMYFUNCTION("""COMPUTED_VALUE"""),"Natural Language Processing (NLP) Engineer")</f>
        <v>Natural Language Processing (NLP) Engineer</v>
      </c>
      <c r="C1553" s="7" t="str">
        <f>IFERROR(__xludf.DUMMYFUNCTION("""COMPUTED_VALUE"""),"S018")</f>
        <v>S018</v>
      </c>
      <c r="D1553" s="7" t="str">
        <f>IFERROR(__xludf.DUMMYFUNCTION("""COMPUTED_VALUE"""),"GitHub / GitLab Workflows &amp; Pull Requests")</f>
        <v>GitHub / GitLab Workflows &amp; Pull Requests</v>
      </c>
    </row>
    <row r="1554">
      <c r="A1554" s="7" t="str">
        <f>IFERROR(__xludf.DUMMYFUNCTION("""COMPUTED_VALUE"""),"R40")</f>
        <v>R40</v>
      </c>
      <c r="B1554" s="7" t="str">
        <f>IFERROR(__xludf.DUMMYFUNCTION("""COMPUTED_VALUE"""),"Natural Language Processing (NLP) Engineer")</f>
        <v>Natural Language Processing (NLP) Engineer</v>
      </c>
      <c r="C1554" s="7" t="str">
        <f>IFERROR(__xludf.DUMMYFUNCTION("""COMPUTED_VALUE"""),"S019")</f>
        <v>S019</v>
      </c>
      <c r="D1554" s="7" t="str">
        <f>IFERROR(__xludf.DUMMYFUNCTION("""COMPUTED_VALUE"""),"Linux Command Line &amp; File Permissions")</f>
        <v>Linux Command Line &amp; File Permissions</v>
      </c>
    </row>
    <row r="1555">
      <c r="A1555" s="7" t="str">
        <f>IFERROR(__xludf.DUMMYFUNCTION("""COMPUTED_VALUE"""),"R40")</f>
        <v>R40</v>
      </c>
      <c r="B1555" s="7" t="str">
        <f>IFERROR(__xludf.DUMMYFUNCTION("""COMPUTED_VALUE"""),"Natural Language Processing (NLP) Engineer")</f>
        <v>Natural Language Processing (NLP) Engineer</v>
      </c>
      <c r="C1555" s="7" t="str">
        <f>IFERROR(__xludf.DUMMYFUNCTION("""COMPUTED_VALUE"""),"S025")</f>
        <v>S025</v>
      </c>
      <c r="D1555" s="7" t="str">
        <f>IFERROR(__xludf.DUMMYFUNCTION("""COMPUTED_VALUE"""),"Regular Expressions (Regex)")</f>
        <v>Regular Expressions (Regex)</v>
      </c>
    </row>
    <row r="1556">
      <c r="A1556" s="7" t="str">
        <f>IFERROR(__xludf.DUMMYFUNCTION("""COMPUTED_VALUE"""),"R40")</f>
        <v>R40</v>
      </c>
      <c r="B1556" s="7" t="str">
        <f>IFERROR(__xludf.DUMMYFUNCTION("""COMPUTED_VALUE"""),"Natural Language Processing (NLP) Engineer")</f>
        <v>Natural Language Processing (NLP) Engineer</v>
      </c>
      <c r="C1556" s="7" t="str">
        <f>IFERROR(__xludf.DUMMYFUNCTION("""COMPUTED_VALUE"""),"S026")</f>
        <v>S026</v>
      </c>
      <c r="D1556" s="7" t="str">
        <f>IFERROR(__xludf.DUMMYFUNCTION("""COMPUTED_VALUE"""),"Data Serialization (JSON, XML, YAML, Protobuf)")</f>
        <v>Data Serialization (JSON, XML, YAML, Protobuf)</v>
      </c>
    </row>
    <row r="1557">
      <c r="A1557" s="7" t="str">
        <f>IFERROR(__xludf.DUMMYFUNCTION("""COMPUTED_VALUE"""),"R40")</f>
        <v>R40</v>
      </c>
      <c r="B1557" s="7" t="str">
        <f>IFERROR(__xludf.DUMMYFUNCTION("""COMPUTED_VALUE"""),"Natural Language Processing (NLP) Engineer")</f>
        <v>Natural Language Processing (NLP) Engineer</v>
      </c>
      <c r="C1557" s="7" t="str">
        <f>IFERROR(__xludf.DUMMYFUNCTION("""COMPUTED_VALUE"""),"S027")</f>
        <v>S027</v>
      </c>
      <c r="D1557" s="7" t="str">
        <f>IFERROR(__xludf.DUMMYFUNCTION("""COMPUTED_VALUE"""),"Character Encoding &amp; Unicode (UTF-8)")</f>
        <v>Character Encoding &amp; Unicode (UTF-8)</v>
      </c>
    </row>
    <row r="1558">
      <c r="A1558" s="7" t="str">
        <f>IFERROR(__xludf.DUMMYFUNCTION("""COMPUTED_VALUE"""),"R40")</f>
        <v>R40</v>
      </c>
      <c r="B1558" s="7" t="str">
        <f>IFERROR(__xludf.DUMMYFUNCTION("""COMPUTED_VALUE"""),"Natural Language Processing (NLP) Engineer")</f>
        <v>Natural Language Processing (NLP) Engineer</v>
      </c>
      <c r="C1558" s="7" t="str">
        <f>IFERROR(__xludf.DUMMYFUNCTION("""COMPUTED_VALUE"""),"S028")</f>
        <v>S028</v>
      </c>
      <c r="D1558" s="7" t="str">
        <f>IFERROR(__xludf.DUMMYFUNCTION("""COMPUTED_VALUE"""),"Technical Writing &amp; Markdown Documentation")</f>
        <v>Technical Writing &amp; Markdown Documentation</v>
      </c>
    </row>
    <row r="1559">
      <c r="A1559" s="7" t="str">
        <f>IFERROR(__xludf.DUMMYFUNCTION("""COMPUTED_VALUE"""),"R40")</f>
        <v>R40</v>
      </c>
      <c r="B1559" s="7" t="str">
        <f>IFERROR(__xludf.DUMMYFUNCTION("""COMPUTED_VALUE"""),"Natural Language Processing (NLP) Engineer")</f>
        <v>Natural Language Processing (NLP) Engineer</v>
      </c>
      <c r="C1559" s="7" t="str">
        <f>IFERROR(__xludf.DUMMYFUNCTION("""COMPUTED_VALUE"""),"S068")</f>
        <v>S068</v>
      </c>
      <c r="D1559" s="7" t="str">
        <f>IFERROR(__xludf.DUMMYFUNCTION("""COMPUTED_VALUE"""),"Python Programming Fundamentals")</f>
        <v>Python Programming Fundamentals</v>
      </c>
    </row>
    <row r="1560">
      <c r="A1560" s="7" t="str">
        <f>IFERROR(__xludf.DUMMYFUNCTION("""COMPUTED_VALUE"""),"R40")</f>
        <v>R40</v>
      </c>
      <c r="B1560" s="7" t="str">
        <f>IFERROR(__xludf.DUMMYFUNCTION("""COMPUTED_VALUE"""),"Natural Language Processing (NLP) Engineer")</f>
        <v>Natural Language Processing (NLP) Engineer</v>
      </c>
      <c r="C1560" s="7" t="str">
        <f>IFERROR(__xludf.DUMMYFUNCTION("""COMPUTED_VALUE"""),"S070")</f>
        <v>S070</v>
      </c>
      <c r="D1560" s="7" t="str">
        <f>IFERROR(__xludf.DUMMYFUNCTION("""COMPUTED_VALUE"""),"FastAPI High-Performance APIs")</f>
        <v>FastAPI High-Performance APIs</v>
      </c>
    </row>
    <row r="1561">
      <c r="A1561" s="7" t="str">
        <f>IFERROR(__xludf.DUMMYFUNCTION("""COMPUTED_VALUE"""),"R40")</f>
        <v>R40</v>
      </c>
      <c r="B1561" s="7" t="str">
        <f>IFERROR(__xludf.DUMMYFUNCTION("""COMPUTED_VALUE"""),"Natural Language Processing (NLP) Engineer")</f>
        <v>Natural Language Processing (NLP) Engineer</v>
      </c>
      <c r="C1561" s="7" t="str">
        <f>IFERROR(__xludf.DUMMYFUNCTION("""COMPUTED_VALUE"""),"S086")</f>
        <v>S086</v>
      </c>
      <c r="D1561" s="7" t="str">
        <f>IFERROR(__xludf.DUMMYFUNCTION("""COMPUTED_VALUE"""),"RESTful API Design &amp; OpenAPI/Swagger")</f>
        <v>RESTful API Design &amp; OpenAPI/Swagger</v>
      </c>
    </row>
    <row r="1562">
      <c r="A1562" s="7" t="str">
        <f>IFERROR(__xludf.DUMMYFUNCTION("""COMPUTED_VALUE"""),"R40")</f>
        <v>R40</v>
      </c>
      <c r="B1562" s="7" t="str">
        <f>IFERROR(__xludf.DUMMYFUNCTION("""COMPUTED_VALUE"""),"Natural Language Processing (NLP) Engineer")</f>
        <v>Natural Language Processing (NLP) Engineer</v>
      </c>
      <c r="C1562" s="7" t="str">
        <f>IFERROR(__xludf.DUMMYFUNCTION("""COMPUTED_VALUE"""),"S105")</f>
        <v>S105</v>
      </c>
      <c r="D1562" s="7" t="str">
        <f>IFERROR(__xludf.DUMMYFUNCTION("""COMPUTED_VALUE"""),"Search Engines &amp; Full-Text Search (Elasticsearch, Algolia)")</f>
        <v>Search Engines &amp; Full-Text Search (Elasticsearch, Algolia)</v>
      </c>
    </row>
    <row r="1563">
      <c r="A1563" s="7" t="str">
        <f>IFERROR(__xludf.DUMMYFUNCTION("""COMPUTED_VALUE"""),"R40")</f>
        <v>R40</v>
      </c>
      <c r="B1563" s="7" t="str">
        <f>IFERROR(__xludf.DUMMYFUNCTION("""COMPUTED_VALUE"""),"Natural Language Processing (NLP) Engineer")</f>
        <v>Natural Language Processing (NLP) Engineer</v>
      </c>
      <c r="C1563" s="7" t="str">
        <f>IFERROR(__xludf.DUMMYFUNCTION("""COMPUTED_VALUE"""),"S107")</f>
        <v>S107</v>
      </c>
      <c r="D1563" s="7" t="str">
        <f>IFERROR(__xludf.DUMMYFUNCTION("""COMPUTED_VALUE"""),"SQL Querying (Joins, Aggregations, Subqueries)")</f>
        <v>SQL Querying (Joins, Aggregations, Subqueries)</v>
      </c>
    </row>
    <row r="1564">
      <c r="A1564" s="7" t="str">
        <f>IFERROR(__xludf.DUMMYFUNCTION("""COMPUTED_VALUE"""),"R40")</f>
        <v>R40</v>
      </c>
      <c r="B1564" s="7" t="str">
        <f>IFERROR(__xludf.DUMMYFUNCTION("""COMPUTED_VALUE"""),"Natural Language Processing (NLP) Engineer")</f>
        <v>Natural Language Processing (NLP) Engineer</v>
      </c>
      <c r="C1564" s="7" t="str">
        <f>IFERROR(__xludf.DUMMYFUNCTION("""COMPUTED_VALUE"""),"S125")</f>
        <v>S125</v>
      </c>
      <c r="D1564" s="7" t="str">
        <f>IFERROR(__xludf.DUMMYFUNCTION("""COMPUTED_VALUE"""),"Vector Databases (Pinecone, Milvus, Weaviate, pgvector)")</f>
        <v>Vector Databases (Pinecone, Milvus, Weaviate, pgvector)</v>
      </c>
    </row>
    <row r="1565">
      <c r="A1565" s="7" t="str">
        <f>IFERROR(__xludf.DUMMYFUNCTION("""COMPUTED_VALUE"""),"R40")</f>
        <v>R40</v>
      </c>
      <c r="B1565" s="7" t="str">
        <f>IFERROR(__xludf.DUMMYFUNCTION("""COMPUTED_VALUE"""),"Natural Language Processing (NLP) Engineer")</f>
        <v>Natural Language Processing (NLP) Engineer</v>
      </c>
      <c r="C1565" s="7" t="str">
        <f>IFERROR(__xludf.DUMMYFUNCTION("""COMPUTED_VALUE"""),"S128")</f>
        <v>S128</v>
      </c>
      <c r="D1565" s="7" t="str">
        <f>IFERROR(__xludf.DUMMYFUNCTION("""COMPUTED_VALUE"""),"Distributed Data Processing (Apache Spark, PySpark)")</f>
        <v>Distributed Data Processing (Apache Spark, PySpark)</v>
      </c>
    </row>
    <row r="1566">
      <c r="A1566" s="7" t="str">
        <f>IFERROR(__xludf.DUMMYFUNCTION("""COMPUTED_VALUE"""),"R40")</f>
        <v>R40</v>
      </c>
      <c r="B1566" s="7" t="str">
        <f>IFERROR(__xludf.DUMMYFUNCTION("""COMPUTED_VALUE"""),"Natural Language Processing (NLP) Engineer")</f>
        <v>Natural Language Processing (NLP) Engineer</v>
      </c>
      <c r="C1566" s="7" t="str">
        <f>IFERROR(__xludf.DUMMYFUNCTION("""COMPUTED_VALUE"""),"S136")</f>
        <v>S136</v>
      </c>
      <c r="D1566" s="7" t="str">
        <f>IFERROR(__xludf.DUMMYFUNCTION("""COMPUTED_VALUE"""),"Probability Theory &amp; Descriptive Statistics")</f>
        <v>Probability Theory &amp; Descriptive Statistics</v>
      </c>
    </row>
    <row r="1567">
      <c r="A1567" s="7" t="str">
        <f>IFERROR(__xludf.DUMMYFUNCTION("""COMPUTED_VALUE"""),"R40")</f>
        <v>R40</v>
      </c>
      <c r="B1567" s="7" t="str">
        <f>IFERROR(__xludf.DUMMYFUNCTION("""COMPUTED_VALUE"""),"Natural Language Processing (NLP) Engineer")</f>
        <v>Natural Language Processing (NLP) Engineer</v>
      </c>
      <c r="C1567" s="7" t="str">
        <f>IFERROR(__xludf.DUMMYFUNCTION("""COMPUTED_VALUE"""),"S137")</f>
        <v>S137</v>
      </c>
      <c r="D1567" s="7" t="str">
        <f>IFERROR(__xludf.DUMMYFUNCTION("""COMPUTED_VALUE"""),"Inferential Statistics, Hypothesis Testing &amp; A/B Testing")</f>
        <v>Inferential Statistics, Hypothesis Testing &amp; A/B Testing</v>
      </c>
    </row>
    <row r="1568">
      <c r="A1568" s="7" t="str">
        <f>IFERROR(__xludf.DUMMYFUNCTION("""COMPUTED_VALUE"""),"R40")</f>
        <v>R40</v>
      </c>
      <c r="B1568" s="7" t="str">
        <f>IFERROR(__xludf.DUMMYFUNCTION("""COMPUTED_VALUE"""),"Natural Language Processing (NLP) Engineer")</f>
        <v>Natural Language Processing (NLP) Engineer</v>
      </c>
      <c r="C1568" s="7" t="str">
        <f>IFERROR(__xludf.DUMMYFUNCTION("""COMPUTED_VALUE"""),"S138")</f>
        <v>S138</v>
      </c>
      <c r="D1568" s="7" t="str">
        <f>IFERROR(__xludf.DUMMYFUNCTION("""COMPUTED_VALUE"""),"Linear Algebra, Calculus &amp; Optimization for ML")</f>
        <v>Linear Algebra, Calculus &amp; Optimization for ML</v>
      </c>
    </row>
    <row r="1569">
      <c r="A1569" s="7" t="str">
        <f>IFERROR(__xludf.DUMMYFUNCTION("""COMPUTED_VALUE"""),"R40")</f>
        <v>R40</v>
      </c>
      <c r="B1569" s="7" t="str">
        <f>IFERROR(__xludf.DUMMYFUNCTION("""COMPUTED_VALUE"""),"Natural Language Processing (NLP) Engineer")</f>
        <v>Natural Language Processing (NLP) Engineer</v>
      </c>
      <c r="C1569" s="7" t="str">
        <f>IFERROR(__xludf.DUMMYFUNCTION("""COMPUTED_VALUE"""),"S139")</f>
        <v>S139</v>
      </c>
      <c r="D1569" s="7" t="str">
        <f>IFERROR(__xludf.DUMMYFUNCTION("""COMPUTED_VALUE"""),"Scientific Computing with NumPy &amp; SciPy")</f>
        <v>Scientific Computing with NumPy &amp; SciPy</v>
      </c>
    </row>
    <row r="1570">
      <c r="A1570" s="7" t="str">
        <f>IFERROR(__xludf.DUMMYFUNCTION("""COMPUTED_VALUE"""),"R40")</f>
        <v>R40</v>
      </c>
      <c r="B1570" s="7" t="str">
        <f>IFERROR(__xludf.DUMMYFUNCTION("""COMPUTED_VALUE"""),"Natural Language Processing (NLP) Engineer")</f>
        <v>Natural Language Processing (NLP) Engineer</v>
      </c>
      <c r="C1570" s="7" t="str">
        <f>IFERROR(__xludf.DUMMYFUNCTION("""COMPUTED_VALUE"""),"S140")</f>
        <v>S140</v>
      </c>
      <c r="D1570" s="7" t="str">
        <f>IFERROR(__xludf.DUMMYFUNCTION("""COMPUTED_VALUE"""),"Data Manipulation &amp; Analysis with Pandas / Polars")</f>
        <v>Data Manipulation &amp; Analysis with Pandas / Polars</v>
      </c>
    </row>
    <row r="1571">
      <c r="A1571" s="7" t="str">
        <f>IFERROR(__xludf.DUMMYFUNCTION("""COMPUTED_VALUE"""),"R40")</f>
        <v>R40</v>
      </c>
      <c r="B1571" s="7" t="str">
        <f>IFERROR(__xludf.DUMMYFUNCTION("""COMPUTED_VALUE"""),"Natural Language Processing (NLP) Engineer")</f>
        <v>Natural Language Processing (NLP) Engineer</v>
      </c>
      <c r="C1571" s="7" t="str">
        <f>IFERROR(__xludf.DUMMYFUNCTION("""COMPUTED_VALUE"""),"S141")</f>
        <v>S141</v>
      </c>
      <c r="D1571" s="7" t="str">
        <f>IFERROR(__xludf.DUMMYFUNCTION("""COMPUTED_VALUE"""),"Exploratory Data Analysis (EDA) &amp; Data Wrangling")</f>
        <v>Exploratory Data Analysis (EDA) &amp; Data Wrangling</v>
      </c>
    </row>
    <row r="1572">
      <c r="A1572" s="7" t="str">
        <f>IFERROR(__xludf.DUMMYFUNCTION("""COMPUTED_VALUE"""),"R40")</f>
        <v>R40</v>
      </c>
      <c r="B1572" s="7" t="str">
        <f>IFERROR(__xludf.DUMMYFUNCTION("""COMPUTED_VALUE"""),"Natural Language Processing (NLP) Engineer")</f>
        <v>Natural Language Processing (NLP) Engineer</v>
      </c>
      <c r="C1572" s="7" t="str">
        <f>IFERROR(__xludf.DUMMYFUNCTION("""COMPUTED_VALUE"""),"S143")</f>
        <v>S143</v>
      </c>
      <c r="D1572" s="7" t="str">
        <f>IFERROR(__xludf.DUMMYFUNCTION("""COMPUTED_VALUE"""),"Python Data Visualization (Matplotlib, Seaborn, Plotly)")</f>
        <v>Python Data Visualization (Matplotlib, Seaborn, Plotly)</v>
      </c>
    </row>
    <row r="1573">
      <c r="A1573" s="7" t="str">
        <f>IFERROR(__xludf.DUMMYFUNCTION("""COMPUTED_VALUE"""),"R40")</f>
        <v>R40</v>
      </c>
      <c r="B1573" s="7" t="str">
        <f>IFERROR(__xludf.DUMMYFUNCTION("""COMPUTED_VALUE"""),"Natural Language Processing (NLP) Engineer")</f>
        <v>Natural Language Processing (NLP) Engineer</v>
      </c>
      <c r="C1573" s="7" t="str">
        <f>IFERROR(__xludf.DUMMYFUNCTION("""COMPUTED_VALUE"""),"S147")</f>
        <v>S147</v>
      </c>
      <c r="D1573" s="7" t="str">
        <f>IFERROR(__xludf.DUMMYFUNCTION("""COMPUTED_VALUE"""),"Feature Engineering, Selection &amp; Dimensionality Reduction (PCA)")</f>
        <v>Feature Engineering, Selection &amp; Dimensionality Reduction (PCA)</v>
      </c>
    </row>
    <row r="1574">
      <c r="A1574" s="7" t="str">
        <f>IFERROR(__xludf.DUMMYFUNCTION("""COMPUTED_VALUE"""),"R40")</f>
        <v>R40</v>
      </c>
      <c r="B1574" s="7" t="str">
        <f>IFERROR(__xludf.DUMMYFUNCTION("""COMPUTED_VALUE"""),"Natural Language Processing (NLP) Engineer")</f>
        <v>Natural Language Processing (NLP) Engineer</v>
      </c>
      <c r="C1574" s="7" t="str">
        <f>IFERROR(__xludf.DUMMYFUNCTION("""COMPUTED_VALUE"""),"S148")</f>
        <v>S148</v>
      </c>
      <c r="D1574" s="7" t="str">
        <f>IFERROR(__xludf.DUMMYFUNCTION("""COMPUTED_VALUE"""),"Supervised Machine Learning (Regression, Classification, SVM)")</f>
        <v>Supervised Machine Learning (Regression, Classification, SVM)</v>
      </c>
    </row>
    <row r="1575">
      <c r="A1575" s="7" t="str">
        <f>IFERROR(__xludf.DUMMYFUNCTION("""COMPUTED_VALUE"""),"R40")</f>
        <v>R40</v>
      </c>
      <c r="B1575" s="7" t="str">
        <f>IFERROR(__xludf.DUMMYFUNCTION("""COMPUTED_VALUE"""),"Natural Language Processing (NLP) Engineer")</f>
        <v>Natural Language Processing (NLP) Engineer</v>
      </c>
      <c r="C1575" s="7" t="str">
        <f>IFERROR(__xludf.DUMMYFUNCTION("""COMPUTED_VALUE"""),"S149")</f>
        <v>S149</v>
      </c>
      <c r="D1575" s="7" t="str">
        <f>IFERROR(__xludf.DUMMYFUNCTION("""COMPUTED_VALUE"""),"Ensemble Methods (Random Forests, XGBoost, LightGBM)")</f>
        <v>Ensemble Methods (Random Forests, XGBoost, LightGBM)</v>
      </c>
    </row>
    <row r="1576">
      <c r="A1576" s="7" t="str">
        <f>IFERROR(__xludf.DUMMYFUNCTION("""COMPUTED_VALUE"""),"R40")</f>
        <v>R40</v>
      </c>
      <c r="B1576" s="7" t="str">
        <f>IFERROR(__xludf.DUMMYFUNCTION("""COMPUTED_VALUE"""),"Natural Language Processing (NLP) Engineer")</f>
        <v>Natural Language Processing (NLP) Engineer</v>
      </c>
      <c r="C1576" s="7" t="str">
        <f>IFERROR(__xludf.DUMMYFUNCTION("""COMPUTED_VALUE"""),"S150")</f>
        <v>S150</v>
      </c>
      <c r="D1576" s="7" t="str">
        <f>IFERROR(__xludf.DUMMYFUNCTION("""COMPUTED_VALUE"""),"Unsupervised Learning (K-Means, Hierarchical Clustering, Anomaly Detection)")</f>
        <v>Unsupervised Learning (K-Means, Hierarchical Clustering, Anomaly Detection)</v>
      </c>
    </row>
    <row r="1577">
      <c r="A1577" s="7" t="str">
        <f>IFERROR(__xludf.DUMMYFUNCTION("""COMPUTED_VALUE"""),"R40")</f>
        <v>R40</v>
      </c>
      <c r="B1577" s="7" t="str">
        <f>IFERROR(__xludf.DUMMYFUNCTION("""COMPUTED_VALUE"""),"Natural Language Processing (NLP) Engineer")</f>
        <v>Natural Language Processing (NLP) Engineer</v>
      </c>
      <c r="C1577" s="7" t="str">
        <f>IFERROR(__xludf.DUMMYFUNCTION("""COMPUTED_VALUE"""),"S151")</f>
        <v>S151</v>
      </c>
      <c r="D1577" s="7" t="str">
        <f>IFERROR(__xludf.DUMMYFUNCTION("""COMPUTED_VALUE"""),"Model Evaluation Metrics, Cross-Validation &amp; Hyperparameter Tuning")</f>
        <v>Model Evaluation Metrics, Cross-Validation &amp; Hyperparameter Tuning</v>
      </c>
    </row>
    <row r="1578">
      <c r="A1578" s="7" t="str">
        <f>IFERROR(__xludf.DUMMYFUNCTION("""COMPUTED_VALUE"""),"R40")</f>
        <v>R40</v>
      </c>
      <c r="B1578" s="7" t="str">
        <f>IFERROR(__xludf.DUMMYFUNCTION("""COMPUTED_VALUE"""),"Natural Language Processing (NLP) Engineer")</f>
        <v>Natural Language Processing (NLP) Engineer</v>
      </c>
      <c r="C1578" s="7" t="str">
        <f>IFERROR(__xludf.DUMMYFUNCTION("""COMPUTED_VALUE"""),"S153")</f>
        <v>S153</v>
      </c>
      <c r="D1578" s="7" t="str">
        <f>IFERROR(__xludf.DUMMYFUNCTION("""COMPUTED_VALUE"""),"Recommendation Systems (Collaborative &amp; Content-Based Filtering)")</f>
        <v>Recommendation Systems (Collaborative &amp; Content-Based Filtering)</v>
      </c>
    </row>
    <row r="1579">
      <c r="A1579" s="7" t="str">
        <f>IFERROR(__xludf.DUMMYFUNCTION("""COMPUTED_VALUE"""),"R40")</f>
        <v>R40</v>
      </c>
      <c r="B1579" s="7" t="str">
        <f>IFERROR(__xludf.DUMMYFUNCTION("""COMPUTED_VALUE"""),"Natural Language Processing (NLP) Engineer")</f>
        <v>Natural Language Processing (NLP) Engineer</v>
      </c>
      <c r="C1579" s="7" t="str">
        <f>IFERROR(__xludf.DUMMYFUNCTION("""COMPUTED_VALUE"""),"S154")</f>
        <v>S154</v>
      </c>
      <c r="D1579" s="7" t="str">
        <f>IFERROR(__xludf.DUMMYFUNCTION("""COMPUTED_VALUE"""),"Neural Networks &amp; Deep Learning Fundamentals")</f>
        <v>Neural Networks &amp; Deep Learning Fundamentals</v>
      </c>
    </row>
    <row r="1580">
      <c r="A1580" s="7" t="str">
        <f>IFERROR(__xludf.DUMMYFUNCTION("""COMPUTED_VALUE"""),"R40")</f>
        <v>R40</v>
      </c>
      <c r="B1580" s="7" t="str">
        <f>IFERROR(__xludf.DUMMYFUNCTION("""COMPUTED_VALUE"""),"Natural Language Processing (NLP) Engineer")</f>
        <v>Natural Language Processing (NLP) Engineer</v>
      </c>
      <c r="C1580" s="7" t="str">
        <f>IFERROR(__xludf.DUMMYFUNCTION("""COMPUTED_VALUE"""),"S155")</f>
        <v>S155</v>
      </c>
      <c r="D1580" s="7" t="str">
        <f>IFERROR(__xludf.DUMMYFUNCTION("""COMPUTED_VALUE"""),"Deep Learning with PyTorch")</f>
        <v>Deep Learning with PyTorch</v>
      </c>
    </row>
    <row r="1581">
      <c r="A1581" s="7" t="str">
        <f>IFERROR(__xludf.DUMMYFUNCTION("""COMPUTED_VALUE"""),"R40")</f>
        <v>R40</v>
      </c>
      <c r="B1581" s="7" t="str">
        <f>IFERROR(__xludf.DUMMYFUNCTION("""COMPUTED_VALUE"""),"Natural Language Processing (NLP) Engineer")</f>
        <v>Natural Language Processing (NLP) Engineer</v>
      </c>
      <c r="C1581" s="7" t="str">
        <f>IFERROR(__xludf.DUMMYFUNCTION("""COMPUTED_VALUE"""),"S156")</f>
        <v>S156</v>
      </c>
      <c r="D1581" s="7" t="str">
        <f>IFERROR(__xludf.DUMMYFUNCTION("""COMPUTED_VALUE"""),"Deep Learning with TensorFlow &amp; Keras")</f>
        <v>Deep Learning with TensorFlow &amp; Keras</v>
      </c>
    </row>
    <row r="1582">
      <c r="A1582" s="7" t="str">
        <f>IFERROR(__xludf.DUMMYFUNCTION("""COMPUTED_VALUE"""),"R40")</f>
        <v>R40</v>
      </c>
      <c r="B1582" s="7" t="str">
        <f>IFERROR(__xludf.DUMMYFUNCTION("""COMPUTED_VALUE"""),"Natural Language Processing (NLP) Engineer")</f>
        <v>Natural Language Processing (NLP) Engineer</v>
      </c>
      <c r="C1582" s="7" t="str">
        <f>IFERROR(__xludf.DUMMYFUNCTION("""COMPUTED_VALUE"""),"S157")</f>
        <v>S157</v>
      </c>
      <c r="D1582" s="7" t="str">
        <f>IFERROR(__xludf.DUMMYFUNCTION("""COMPUTED_VALUE"""),"Natural Language Processing (Tokenization, Embeddings, SpaCy, NLTK)")</f>
        <v>Natural Language Processing (Tokenization, Embeddings, SpaCy, NLTK)</v>
      </c>
    </row>
    <row r="1583">
      <c r="A1583" s="7" t="str">
        <f>IFERROR(__xludf.DUMMYFUNCTION("""COMPUTED_VALUE"""),"R40")</f>
        <v>R40</v>
      </c>
      <c r="B1583" s="7" t="str">
        <f>IFERROR(__xludf.DUMMYFUNCTION("""COMPUTED_VALUE"""),"Natural Language Processing (NLP) Engineer")</f>
        <v>Natural Language Processing (NLP) Engineer</v>
      </c>
      <c r="C1583" s="7" t="str">
        <f>IFERROR(__xludf.DUMMYFUNCTION("""COMPUTED_VALUE"""),"S158")</f>
        <v>S158</v>
      </c>
      <c r="D1583" s="7" t="str">
        <f>IFERROR(__xludf.DUMMYFUNCTION("""COMPUTED_VALUE"""),"Transformer Architecture &amp; Attention Mechanisms (Hugging Face)")</f>
        <v>Transformer Architecture &amp; Attention Mechanisms (Hugging Face)</v>
      </c>
    </row>
    <row r="1584">
      <c r="A1584" s="7" t="str">
        <f>IFERROR(__xludf.DUMMYFUNCTION("""COMPUTED_VALUE"""),"R40")</f>
        <v>R40</v>
      </c>
      <c r="B1584" s="7" t="str">
        <f>IFERROR(__xludf.DUMMYFUNCTION("""COMPUTED_VALUE"""),"Natural Language Processing (NLP) Engineer")</f>
        <v>Natural Language Processing (NLP) Engineer</v>
      </c>
      <c r="C1584" s="7" t="str">
        <f>IFERROR(__xludf.DUMMYFUNCTION("""COMPUTED_VALUE"""),"S159")</f>
        <v>S159</v>
      </c>
      <c r="D1584" s="7" t="str">
        <f>IFERROR(__xludf.DUMMYFUNCTION("""COMPUTED_VALUE"""),"Large Language Models (LLMs), Fine-Tuning (LoRA/QLoRA) &amp; Evaluation")</f>
        <v>Large Language Models (LLMs), Fine-Tuning (LoRA/QLoRA) &amp; Evaluation</v>
      </c>
    </row>
    <row r="1585">
      <c r="A1585" s="7" t="str">
        <f>IFERROR(__xludf.DUMMYFUNCTION("""COMPUTED_VALUE"""),"R40")</f>
        <v>R40</v>
      </c>
      <c r="B1585" s="7" t="str">
        <f>IFERROR(__xludf.DUMMYFUNCTION("""COMPUTED_VALUE"""),"Natural Language Processing (NLP) Engineer")</f>
        <v>Natural Language Processing (NLP) Engineer</v>
      </c>
      <c r="C1585" s="7" t="str">
        <f>IFERROR(__xludf.DUMMYFUNCTION("""COMPUTED_VALUE"""),"S160")</f>
        <v>S160</v>
      </c>
      <c r="D1585" s="7" t="str">
        <f>IFERROR(__xludf.DUMMYFUNCTION("""COMPUTED_VALUE"""),"Prompt Engineering, RAG &amp; AI Agents (LangChain, LlamaIndex)")</f>
        <v>Prompt Engineering, RAG &amp; AI Agents (LangChain, LlamaIndex)</v>
      </c>
    </row>
    <row r="1586">
      <c r="A1586" s="7" t="str">
        <f>IFERROR(__xludf.DUMMYFUNCTION("""COMPUTED_VALUE"""),"R40")</f>
        <v>R40</v>
      </c>
      <c r="B1586" s="7" t="str">
        <f>IFERROR(__xludf.DUMMYFUNCTION("""COMPUTED_VALUE"""),"Natural Language Processing (NLP) Engineer")</f>
        <v>Natural Language Processing (NLP) Engineer</v>
      </c>
      <c r="C1586" s="7" t="str">
        <f>IFERROR(__xludf.DUMMYFUNCTION("""COMPUTED_VALUE"""),"S165")</f>
        <v>S165</v>
      </c>
      <c r="D1586" s="7" t="str">
        <f>IFERROR(__xludf.DUMMYFUNCTION("""COMPUTED_VALUE"""),"MLOps &amp; Experiment Tracking (MLflow, Weights &amp; Biases, Kubeflow)")</f>
        <v>MLOps &amp; Experiment Tracking (MLflow, Weights &amp; Biases, Kubeflow)</v>
      </c>
    </row>
    <row r="1587">
      <c r="A1587" s="7" t="str">
        <f>IFERROR(__xludf.DUMMYFUNCTION("""COMPUTED_VALUE"""),"R40")</f>
        <v>R40</v>
      </c>
      <c r="B1587" s="7" t="str">
        <f>IFERROR(__xludf.DUMMYFUNCTION("""COMPUTED_VALUE"""),"Natural Language Processing (NLP) Engineer")</f>
        <v>Natural Language Processing (NLP) Engineer</v>
      </c>
      <c r="C1587" s="7" t="str">
        <f>IFERROR(__xludf.DUMMYFUNCTION("""COMPUTED_VALUE"""),"S166")</f>
        <v>S166</v>
      </c>
      <c r="D1587" s="7" t="str">
        <f>IFERROR(__xludf.DUMMYFUNCTION("""COMPUTED_VALUE"""),"Model Serving &amp; Inference Optimization (ONNX, TensorRT, Triton, BentoML)")</f>
        <v>Model Serving &amp; Inference Optimization (ONNX, TensorRT, Triton, BentoML)</v>
      </c>
    </row>
    <row r="1588">
      <c r="A1588" s="7" t="str">
        <f>IFERROR(__xludf.DUMMYFUNCTION("""COMPUTED_VALUE"""),"R40")</f>
        <v>R40</v>
      </c>
      <c r="B1588" s="7" t="str">
        <f>IFERROR(__xludf.DUMMYFUNCTION("""COMPUTED_VALUE"""),"Natural Language Processing (NLP) Engineer")</f>
        <v>Natural Language Processing (NLP) Engineer</v>
      </c>
      <c r="C1588" s="7" t="str">
        <f>IFERROR(__xludf.DUMMYFUNCTION("""COMPUTED_VALUE"""),"S167")</f>
        <v>S167</v>
      </c>
      <c r="D1588" s="7" t="str">
        <f>IFERROR(__xludf.DUMMYFUNCTION("""COMPUTED_VALUE"""),"AI Ethics, Bias Mitigation &amp; Explainable AI (SHAP, LIME)")</f>
        <v>AI Ethics, Bias Mitigation &amp; Explainable AI (SHAP, LIME)</v>
      </c>
    </row>
    <row r="1589">
      <c r="A1589" s="7" t="str">
        <f>IFERROR(__xludf.DUMMYFUNCTION("""COMPUTED_VALUE"""),"R40")</f>
        <v>R40</v>
      </c>
      <c r="B1589" s="7" t="str">
        <f>IFERROR(__xludf.DUMMYFUNCTION("""COMPUTED_VALUE"""),"Natural Language Processing (NLP) Engineer")</f>
        <v>Natural Language Processing (NLP) Engineer</v>
      </c>
      <c r="C1589" s="7" t="str">
        <f>IFERROR(__xludf.DUMMYFUNCTION("""COMPUTED_VALUE"""),"S168")</f>
        <v>S168</v>
      </c>
      <c r="D1589" s="7" t="str">
        <f>IFERROR(__xludf.DUMMYFUNCTION("""COMPUTED_VALUE"""),"Speech Recognition &amp; Audio Processing (Whisper, Librosa)")</f>
        <v>Speech Recognition &amp; Audio Processing (Whisper, Librosa)</v>
      </c>
    </row>
    <row r="1590">
      <c r="A1590" s="7" t="str">
        <f>IFERROR(__xludf.DUMMYFUNCTION("""COMPUTED_VALUE"""),"R40")</f>
        <v>R40</v>
      </c>
      <c r="B1590" s="7" t="str">
        <f>IFERROR(__xludf.DUMMYFUNCTION("""COMPUTED_VALUE"""),"Natural Language Processing (NLP) Engineer")</f>
        <v>Natural Language Processing (NLP) Engineer</v>
      </c>
      <c r="C1590" s="7" t="str">
        <f>IFERROR(__xludf.DUMMYFUNCTION("""COMPUTED_VALUE"""),"S171")</f>
        <v>S171</v>
      </c>
      <c r="D1590" s="7" t="str">
        <f>IFERROR(__xludf.DUMMYFUNCTION("""COMPUTED_VALUE"""),"Containerization with Docker")</f>
        <v>Containerization with Docker</v>
      </c>
    </row>
    <row r="1591">
      <c r="A1591" s="7" t="str">
        <f>IFERROR(__xludf.DUMMYFUNCTION("""COMPUTED_VALUE"""),"R40")</f>
        <v>R40</v>
      </c>
      <c r="B1591" s="7" t="str">
        <f>IFERROR(__xludf.DUMMYFUNCTION("""COMPUTED_VALUE"""),"Natural Language Processing (NLP) Engineer")</f>
        <v>Natural Language Processing (NLP) Engineer</v>
      </c>
      <c r="C1591" s="7" t="str">
        <f>IFERROR(__xludf.DUMMYFUNCTION("""COMPUTED_VALUE"""),"S174")</f>
        <v>S174</v>
      </c>
      <c r="D1591" s="7" t="str">
        <f>IFERROR(__xludf.DUMMYFUNCTION("""COMPUTED_VALUE"""),"Amazon Web Services Core (EC2, S3, RDS, IAM, VPC)")</f>
        <v>Amazon Web Services Core (EC2, S3, RDS, IAM, VPC)</v>
      </c>
    </row>
    <row r="1592">
      <c r="A1592" s="7" t="str">
        <f>IFERROR(__xludf.DUMMYFUNCTION("""COMPUTED_VALUE"""),"R40")</f>
        <v>R40</v>
      </c>
      <c r="B1592" s="7" t="str">
        <f>IFERROR(__xludf.DUMMYFUNCTION("""COMPUTED_VALUE"""),"Natural Language Processing (NLP) Engineer")</f>
        <v>Natural Language Processing (NLP) Engineer</v>
      </c>
      <c r="C1592" s="7" t="str">
        <f>IFERROR(__xludf.DUMMYFUNCTION("""COMPUTED_VALUE"""),"S246")</f>
        <v>S246</v>
      </c>
      <c r="D1592" s="7" t="str">
        <f>IFERROR(__xludf.DUMMYFUNCTION("""COMPUTED_VALUE"""),"Agile Methodologies, Scrum Framework &amp; Kanban")</f>
        <v>Agile Methodologies, Scrum Framework &amp; Kanban</v>
      </c>
    </row>
    <row r="1593">
      <c r="A1593" s="7" t="str">
        <f>IFERROR(__xludf.DUMMYFUNCTION("""COMPUTED_VALUE"""),"R40")</f>
        <v>R40</v>
      </c>
      <c r="B1593" s="7" t="str">
        <f>IFERROR(__xludf.DUMMYFUNCTION("""COMPUTED_VALUE"""),"Natural Language Processing (NLP) Engineer")</f>
        <v>Natural Language Processing (NLP) Engineer</v>
      </c>
      <c r="C1593" s="7" t="str">
        <f>IFERROR(__xludf.DUMMYFUNCTION("""COMPUTED_VALUE"""),"S247")</f>
        <v>S247</v>
      </c>
      <c r="D1593" s="7" t="str">
        <f>IFERROR(__xludf.DUMMYFUNCTION("""COMPUTED_VALUE"""),"Project Tracking &amp; Documentation Tools (Jira, Confluence, Linear)")</f>
        <v>Project Tracking &amp; Documentation Tools (Jira, Confluence, Linear)</v>
      </c>
    </row>
    <row r="1594">
      <c r="A1594" s="7" t="str">
        <f>IFERROR(__xludf.DUMMYFUNCTION("""COMPUTED_VALUE"""),"R41")</f>
        <v>R41</v>
      </c>
      <c r="B1594" s="7" t="str">
        <f>IFERROR(__xludf.DUMMYFUNCTION("""COMPUTED_VALUE"""),"Junior Frontend Developer")</f>
        <v>Junior Frontend Developer</v>
      </c>
      <c r="C1594" s="7" t="str">
        <f>IFERROR(__xludf.DUMMYFUNCTION("""COMPUTED_VALUE"""),"S006")</f>
        <v>S006</v>
      </c>
      <c r="D1594" s="7" t="str">
        <f>IFERROR(__xludf.DUMMYFUNCTION("""COMPUTED_VALUE"""),"Basic Data Structures (Arrays, Lists, Stacks, Queues)")</f>
        <v>Basic Data Structures (Arrays, Lists, Stacks, Queues)</v>
      </c>
    </row>
    <row r="1595">
      <c r="A1595" s="7" t="str">
        <f>IFERROR(__xludf.DUMMYFUNCTION("""COMPUTED_VALUE"""),"R41")</f>
        <v>R41</v>
      </c>
      <c r="B1595" s="7" t="str">
        <f>IFERROR(__xludf.DUMMYFUNCTION("""COMPUTED_VALUE"""),"Junior Frontend Developer")</f>
        <v>Junior Frontend Developer</v>
      </c>
      <c r="C1595" s="7" t="str">
        <f>IFERROR(__xludf.DUMMYFUNCTION("""COMPUTED_VALUE"""),"S010")</f>
        <v>S010</v>
      </c>
      <c r="D1595" s="7" t="str">
        <f>IFERROR(__xludf.DUMMYFUNCTION("""COMPUTED_VALUE"""),"Sorting &amp; Searching Algorithms")</f>
        <v>Sorting &amp; Searching Algorithms</v>
      </c>
    </row>
    <row r="1596">
      <c r="A1596" s="7" t="str">
        <f>IFERROR(__xludf.DUMMYFUNCTION("""COMPUTED_VALUE"""),"R41")</f>
        <v>R41</v>
      </c>
      <c r="B1596" s="7" t="str">
        <f>IFERROR(__xludf.DUMMYFUNCTION("""COMPUTED_VALUE"""),"Junior Frontend Developer")</f>
        <v>Junior Frontend Developer</v>
      </c>
      <c r="C1596" s="7" t="str">
        <f>IFERROR(__xludf.DUMMYFUNCTION("""COMPUTED_VALUE"""),"S012")</f>
        <v>S012</v>
      </c>
      <c r="D1596" s="7" t="str">
        <f>IFERROR(__xludf.DUMMYFUNCTION("""COMPUTED_VALUE"""),"Time &amp; Space Complexity (Big-O Analysis)")</f>
        <v>Time &amp; Space Complexity (Big-O Analysis)</v>
      </c>
    </row>
    <row r="1597">
      <c r="A1597" s="7" t="str">
        <f>IFERROR(__xludf.DUMMYFUNCTION("""COMPUTED_VALUE"""),"R41")</f>
        <v>R41</v>
      </c>
      <c r="B1597" s="7" t="str">
        <f>IFERROR(__xludf.DUMMYFUNCTION("""COMPUTED_VALUE"""),"Junior Frontend Developer")</f>
        <v>Junior Frontend Developer</v>
      </c>
      <c r="C1597" s="7" t="str">
        <f>IFERROR(__xludf.DUMMYFUNCTION("""COMPUTED_VALUE"""),"S013")</f>
        <v>S013</v>
      </c>
      <c r="D1597" s="7" t="str">
        <f>IFERROR(__xludf.DUMMYFUNCTION("""COMPUTED_VALUE"""),"Object-Oriented Programming (OOP)")</f>
        <v>Object-Oriented Programming (OOP)</v>
      </c>
    </row>
    <row r="1598">
      <c r="A1598" s="7" t="str">
        <f>IFERROR(__xludf.DUMMYFUNCTION("""COMPUTED_VALUE"""),"R41")</f>
        <v>R41</v>
      </c>
      <c r="B1598" s="7" t="str">
        <f>IFERROR(__xludf.DUMMYFUNCTION("""COMPUTED_VALUE"""),"Junior Frontend Developer")</f>
        <v>Junior Frontend Developer</v>
      </c>
      <c r="C1598" s="7" t="str">
        <f>IFERROR(__xludf.DUMMYFUNCTION("""COMPUTED_VALUE"""),"S017")</f>
        <v>S017</v>
      </c>
      <c r="D1598" s="7" t="str">
        <f>IFERROR(__xludf.DUMMYFUNCTION("""COMPUTED_VALUE"""),"Git Version Control Fundamentals")</f>
        <v>Git Version Control Fundamentals</v>
      </c>
    </row>
    <row r="1599">
      <c r="A1599" s="7" t="str">
        <f>IFERROR(__xludf.DUMMYFUNCTION("""COMPUTED_VALUE"""),"R41")</f>
        <v>R41</v>
      </c>
      <c r="B1599" s="7" t="str">
        <f>IFERROR(__xludf.DUMMYFUNCTION("""COMPUTED_VALUE"""),"Junior Frontend Developer")</f>
        <v>Junior Frontend Developer</v>
      </c>
      <c r="C1599" s="7" t="str">
        <f>IFERROR(__xludf.DUMMYFUNCTION("""COMPUTED_VALUE"""),"S018")</f>
        <v>S018</v>
      </c>
      <c r="D1599" s="7" t="str">
        <f>IFERROR(__xludf.DUMMYFUNCTION("""COMPUTED_VALUE"""),"GitHub / GitLab Workflows &amp; Pull Requests")</f>
        <v>GitHub / GitLab Workflows &amp; Pull Requests</v>
      </c>
    </row>
    <row r="1600">
      <c r="A1600" s="7" t="str">
        <f>IFERROR(__xludf.DUMMYFUNCTION("""COMPUTED_VALUE"""),"R41")</f>
        <v>R41</v>
      </c>
      <c r="B1600" s="7" t="str">
        <f>IFERROR(__xludf.DUMMYFUNCTION("""COMPUTED_VALUE"""),"Junior Frontend Developer")</f>
        <v>Junior Frontend Developer</v>
      </c>
      <c r="C1600" s="7" t="str">
        <f>IFERROR(__xludf.DUMMYFUNCTION("""COMPUTED_VALUE"""),"S023")</f>
        <v>S023</v>
      </c>
      <c r="D1600" s="7" t="str">
        <f>IFERROR(__xludf.DUMMYFUNCTION("""COMPUTED_VALUE"""),"HTTP/HTTPS Protocols &amp; Status Codes")</f>
        <v>HTTP/HTTPS Protocols &amp; Status Codes</v>
      </c>
    </row>
    <row r="1601">
      <c r="A1601" s="7" t="str">
        <f>IFERROR(__xludf.DUMMYFUNCTION("""COMPUTED_VALUE"""),"R41")</f>
        <v>R41</v>
      </c>
      <c r="B1601" s="7" t="str">
        <f>IFERROR(__xludf.DUMMYFUNCTION("""COMPUTED_VALUE"""),"Junior Frontend Developer")</f>
        <v>Junior Frontend Developer</v>
      </c>
      <c r="C1601" s="7" t="str">
        <f>IFERROR(__xludf.DUMMYFUNCTION("""COMPUTED_VALUE"""),"S025")</f>
        <v>S025</v>
      </c>
      <c r="D1601" s="7" t="str">
        <f>IFERROR(__xludf.DUMMYFUNCTION("""COMPUTED_VALUE"""),"Regular Expressions (Regex)")</f>
        <v>Regular Expressions (Regex)</v>
      </c>
    </row>
    <row r="1602">
      <c r="A1602" s="7" t="str">
        <f>IFERROR(__xludf.DUMMYFUNCTION("""COMPUTED_VALUE"""),"R41")</f>
        <v>R41</v>
      </c>
      <c r="B1602" s="7" t="str">
        <f>IFERROR(__xludf.DUMMYFUNCTION("""COMPUTED_VALUE"""),"Junior Frontend Developer")</f>
        <v>Junior Frontend Developer</v>
      </c>
      <c r="C1602" s="7" t="str">
        <f>IFERROR(__xludf.DUMMYFUNCTION("""COMPUTED_VALUE"""),"S026")</f>
        <v>S026</v>
      </c>
      <c r="D1602" s="7" t="str">
        <f>IFERROR(__xludf.DUMMYFUNCTION("""COMPUTED_VALUE"""),"Data Serialization (JSON, XML, YAML, Protobuf)")</f>
        <v>Data Serialization (JSON, XML, YAML, Protobuf)</v>
      </c>
    </row>
    <row r="1603">
      <c r="A1603" s="7" t="str">
        <f>IFERROR(__xludf.DUMMYFUNCTION("""COMPUTED_VALUE"""),"R41")</f>
        <v>R41</v>
      </c>
      <c r="B1603" s="7" t="str">
        <f>IFERROR(__xludf.DUMMYFUNCTION("""COMPUTED_VALUE"""),"Junior Frontend Developer")</f>
        <v>Junior Frontend Developer</v>
      </c>
      <c r="C1603" s="7" t="str">
        <f>IFERROR(__xludf.DUMMYFUNCTION("""COMPUTED_VALUE"""),"S028")</f>
        <v>S028</v>
      </c>
      <c r="D1603" s="7" t="str">
        <f>IFERROR(__xludf.DUMMYFUNCTION("""COMPUTED_VALUE"""),"Technical Writing &amp; Markdown Documentation")</f>
        <v>Technical Writing &amp; Markdown Documentation</v>
      </c>
    </row>
    <row r="1604">
      <c r="A1604" s="7" t="str">
        <f>IFERROR(__xludf.DUMMYFUNCTION("""COMPUTED_VALUE"""),"R41")</f>
        <v>R41</v>
      </c>
      <c r="B1604" s="7" t="str">
        <f>IFERROR(__xludf.DUMMYFUNCTION("""COMPUTED_VALUE"""),"Junior Frontend Developer")</f>
        <v>Junior Frontend Developer</v>
      </c>
      <c r="C1604" s="7" t="str">
        <f>IFERROR(__xludf.DUMMYFUNCTION("""COMPUTED_VALUE"""),"S029")</f>
        <v>S029</v>
      </c>
      <c r="D1604" s="7" t="str">
        <f>IFERROR(__xludf.DUMMYFUNCTION("""COMPUTED_VALUE"""),"Debugging, Profiling &amp; Root Cause Analysis")</f>
        <v>Debugging, Profiling &amp; Root Cause Analysis</v>
      </c>
    </row>
    <row r="1605">
      <c r="A1605" s="7" t="str">
        <f>IFERROR(__xludf.DUMMYFUNCTION("""COMPUTED_VALUE"""),"R41")</f>
        <v>R41</v>
      </c>
      <c r="B1605" s="7" t="str">
        <f>IFERROR(__xludf.DUMMYFUNCTION("""COMPUTED_VALUE"""),"Junior Frontend Developer")</f>
        <v>Junior Frontend Developer</v>
      </c>
      <c r="C1605" s="7" t="str">
        <f>IFERROR(__xludf.DUMMYFUNCTION("""COMPUTED_VALUE"""),"S031")</f>
        <v>S031</v>
      </c>
      <c r="D1605" s="7" t="str">
        <f>IFERROR(__xludf.DUMMYFUNCTION("""COMPUTED_VALUE"""),"Semantic HTML5")</f>
        <v>Semantic HTML5</v>
      </c>
    </row>
    <row r="1606">
      <c r="A1606" s="7" t="str">
        <f>IFERROR(__xludf.DUMMYFUNCTION("""COMPUTED_VALUE"""),"R41")</f>
        <v>R41</v>
      </c>
      <c r="B1606" s="7" t="str">
        <f>IFERROR(__xludf.DUMMYFUNCTION("""COMPUTED_VALUE"""),"Junior Frontend Developer")</f>
        <v>Junior Frontend Developer</v>
      </c>
      <c r="C1606" s="7" t="str">
        <f>IFERROR(__xludf.DUMMYFUNCTION("""COMPUTED_VALUE"""),"S032")</f>
        <v>S032</v>
      </c>
      <c r="D1606" s="7" t="str">
        <f>IFERROR(__xludf.DUMMYFUNCTION("""COMPUTED_VALUE"""),"CSS3 Fundamentals &amp; Box Model")</f>
        <v>CSS3 Fundamentals &amp; Box Model</v>
      </c>
    </row>
    <row r="1607">
      <c r="A1607" s="7" t="str">
        <f>IFERROR(__xludf.DUMMYFUNCTION("""COMPUTED_VALUE"""),"R41")</f>
        <v>R41</v>
      </c>
      <c r="B1607" s="7" t="str">
        <f>IFERROR(__xludf.DUMMYFUNCTION("""COMPUTED_VALUE"""),"Junior Frontend Developer")</f>
        <v>Junior Frontend Developer</v>
      </c>
      <c r="C1607" s="7" t="str">
        <f>IFERROR(__xludf.DUMMYFUNCTION("""COMPUTED_VALUE"""),"S033")</f>
        <v>S033</v>
      </c>
      <c r="D1607" s="7" t="str">
        <f>IFERROR(__xludf.DUMMYFUNCTION("""COMPUTED_VALUE"""),"Responsive Web Design (Flexbox &amp; CSS Grid)")</f>
        <v>Responsive Web Design (Flexbox &amp; CSS Grid)</v>
      </c>
    </row>
    <row r="1608">
      <c r="A1608" s="7" t="str">
        <f>IFERROR(__xludf.DUMMYFUNCTION("""COMPUTED_VALUE"""),"R41")</f>
        <v>R41</v>
      </c>
      <c r="B1608" s="7" t="str">
        <f>IFERROR(__xludf.DUMMYFUNCTION("""COMPUTED_VALUE"""),"Junior Frontend Developer")</f>
        <v>Junior Frontend Developer</v>
      </c>
      <c r="C1608" s="7" t="str">
        <f>IFERROR(__xludf.DUMMYFUNCTION("""COMPUTED_VALUE"""),"S034")</f>
        <v>S034</v>
      </c>
      <c r="D1608" s="7" t="str">
        <f>IFERROR(__xludf.DUMMYFUNCTION("""COMPUTED_VALUE"""),"JavaScript Fundamentals (ES6+)")</f>
        <v>JavaScript Fundamentals (ES6+)</v>
      </c>
    </row>
    <row r="1609">
      <c r="A1609" s="7" t="str">
        <f>IFERROR(__xludf.DUMMYFUNCTION("""COMPUTED_VALUE"""),"R41")</f>
        <v>R41</v>
      </c>
      <c r="B1609" s="7" t="str">
        <f>IFERROR(__xludf.DUMMYFUNCTION("""COMPUTED_VALUE"""),"Junior Frontend Developer")</f>
        <v>Junior Frontend Developer</v>
      </c>
      <c r="C1609" s="7" t="str">
        <f>IFERROR(__xludf.DUMMYFUNCTION("""COMPUTED_VALUE"""),"S035")</f>
        <v>S035</v>
      </c>
      <c r="D1609" s="7" t="str">
        <f>IFERROR(__xludf.DUMMYFUNCTION("""COMPUTED_VALUE"""),"Asynchronous JavaScript (Promises, Async/Await)")</f>
        <v>Asynchronous JavaScript (Promises, Async/Await)</v>
      </c>
    </row>
    <row r="1610">
      <c r="A1610" s="7" t="str">
        <f>IFERROR(__xludf.DUMMYFUNCTION("""COMPUTED_VALUE"""),"R41")</f>
        <v>R41</v>
      </c>
      <c r="B1610" s="7" t="str">
        <f>IFERROR(__xludf.DUMMYFUNCTION("""COMPUTED_VALUE"""),"Junior Frontend Developer")</f>
        <v>Junior Frontend Developer</v>
      </c>
      <c r="C1610" s="7" t="str">
        <f>IFERROR(__xludf.DUMMYFUNCTION("""COMPUTED_VALUE"""),"S036")</f>
        <v>S036</v>
      </c>
      <c r="D1610" s="7" t="str">
        <f>IFERROR(__xludf.DUMMYFUNCTION("""COMPUTED_VALUE"""),"DOM Manipulation &amp; Browser Events")</f>
        <v>DOM Manipulation &amp; Browser Events</v>
      </c>
    </row>
    <row r="1611">
      <c r="A1611" s="7" t="str">
        <f>IFERROR(__xludf.DUMMYFUNCTION("""COMPUTED_VALUE"""),"R41")</f>
        <v>R41</v>
      </c>
      <c r="B1611" s="7" t="str">
        <f>IFERROR(__xludf.DUMMYFUNCTION("""COMPUTED_VALUE"""),"Junior Frontend Developer")</f>
        <v>Junior Frontend Developer</v>
      </c>
      <c r="C1611" s="7" t="str">
        <f>IFERROR(__xludf.DUMMYFUNCTION("""COMPUTED_VALUE"""),"S037")</f>
        <v>S037</v>
      </c>
      <c r="D1611" s="7" t="str">
        <f>IFERROR(__xludf.DUMMYFUNCTION("""COMPUTED_VALUE"""),"Browser Storage (LocalStorage, SessionStorage, IndexedDB)")</f>
        <v>Browser Storage (LocalStorage, SessionStorage, IndexedDB)</v>
      </c>
    </row>
    <row r="1612">
      <c r="A1612" s="7" t="str">
        <f>IFERROR(__xludf.DUMMYFUNCTION("""COMPUTED_VALUE"""),"R41")</f>
        <v>R41</v>
      </c>
      <c r="B1612" s="7" t="str">
        <f>IFERROR(__xludf.DUMMYFUNCTION("""COMPUTED_VALUE"""),"Junior Frontend Developer")</f>
        <v>Junior Frontend Developer</v>
      </c>
      <c r="C1612" s="7" t="str">
        <f>IFERROR(__xludf.DUMMYFUNCTION("""COMPUTED_VALUE"""),"S038")</f>
        <v>S038</v>
      </c>
      <c r="D1612" s="7" t="str">
        <f>IFERROR(__xludf.DUMMYFUNCTION("""COMPUTED_VALUE"""),"TypeScript &amp; Static Typing")</f>
        <v>TypeScript &amp; Static Typing</v>
      </c>
    </row>
    <row r="1613">
      <c r="A1613" s="7" t="str">
        <f>IFERROR(__xludf.DUMMYFUNCTION("""COMPUTED_VALUE"""),"R41")</f>
        <v>R41</v>
      </c>
      <c r="B1613" s="7" t="str">
        <f>IFERROR(__xludf.DUMMYFUNCTION("""COMPUTED_VALUE"""),"Junior Frontend Developer")</f>
        <v>Junior Frontend Developer</v>
      </c>
      <c r="C1613" s="7" t="str">
        <f>IFERROR(__xludf.DUMMYFUNCTION("""COMPUTED_VALUE"""),"S039")</f>
        <v>S039</v>
      </c>
      <c r="D1613" s="7" t="str">
        <f>IFERROR(__xludf.DUMMYFUNCTION("""COMPUTED_VALUE"""),"React.js &amp; Hooks Architecture")</f>
        <v>React.js &amp; Hooks Architecture</v>
      </c>
    </row>
    <row r="1614">
      <c r="A1614" s="7" t="str">
        <f>IFERROR(__xludf.DUMMYFUNCTION("""COMPUTED_VALUE"""),"R41")</f>
        <v>R41</v>
      </c>
      <c r="B1614" s="7" t="str">
        <f>IFERROR(__xludf.DUMMYFUNCTION("""COMPUTED_VALUE"""),"Junior Frontend Developer")</f>
        <v>Junior Frontend Developer</v>
      </c>
      <c r="C1614" s="7" t="str">
        <f>IFERROR(__xludf.DUMMYFUNCTION("""COMPUTED_VALUE"""),"S047")</f>
        <v>S047</v>
      </c>
      <c r="D1614" s="7" t="str">
        <f>IFERROR(__xludf.DUMMYFUNCTION("""COMPUTED_VALUE"""),"Tailwind CSS Utility Styling")</f>
        <v>Tailwind CSS Utility Styling</v>
      </c>
    </row>
    <row r="1615">
      <c r="A1615" s="7" t="str">
        <f>IFERROR(__xludf.DUMMYFUNCTION("""COMPUTED_VALUE"""),"R41")</f>
        <v>R41</v>
      </c>
      <c r="B1615" s="7" t="str">
        <f>IFERROR(__xludf.DUMMYFUNCTION("""COMPUTED_VALUE"""),"Junior Frontend Developer")</f>
        <v>Junior Frontend Developer</v>
      </c>
      <c r="C1615" s="7" t="str">
        <f>IFERROR(__xludf.DUMMYFUNCTION("""COMPUTED_VALUE"""),"S049")</f>
        <v>S049</v>
      </c>
      <c r="D1615" s="7" t="str">
        <f>IFERROR(__xludf.DUMMYFUNCTION("""COMPUTED_VALUE"""),"Component Libraries (Material UI, Shadcn UI, Bootstrap)")</f>
        <v>Component Libraries (Material UI, Shadcn UI, Bootstrap)</v>
      </c>
    </row>
    <row r="1616">
      <c r="A1616" s="7" t="str">
        <f>IFERROR(__xludf.DUMMYFUNCTION("""COMPUTED_VALUE"""),"R41")</f>
        <v>R41</v>
      </c>
      <c r="B1616" s="7" t="str">
        <f>IFERROR(__xludf.DUMMYFUNCTION("""COMPUTED_VALUE"""),"Junior Frontend Developer")</f>
        <v>Junior Frontend Developer</v>
      </c>
      <c r="C1616" s="7" t="str">
        <f>IFERROR(__xludf.DUMMYFUNCTION("""COMPUTED_VALUE"""),"S050")</f>
        <v>S050</v>
      </c>
      <c r="D1616" s="7" t="str">
        <f>IFERROR(__xludf.DUMMYFUNCTION("""COMPUTED_VALUE"""),"Module Bundlers &amp; Build Tools (Vite, Webpack, Rollup)")</f>
        <v>Module Bundlers &amp; Build Tools (Vite, Webpack, Rollup)</v>
      </c>
    </row>
    <row r="1617">
      <c r="A1617" s="7" t="str">
        <f>IFERROR(__xludf.DUMMYFUNCTION("""COMPUTED_VALUE"""),"R41")</f>
        <v>R41</v>
      </c>
      <c r="B1617" s="7" t="str">
        <f>IFERROR(__xludf.DUMMYFUNCTION("""COMPUTED_VALUE"""),"Junior Frontend Developer")</f>
        <v>Junior Frontend Developer</v>
      </c>
      <c r="C1617" s="7" t="str">
        <f>IFERROR(__xludf.DUMMYFUNCTION("""COMPUTED_VALUE"""),"S051")</f>
        <v>S051</v>
      </c>
      <c r="D1617" s="7" t="str">
        <f>IFERROR(__xludf.DUMMYFUNCTION("""COMPUTED_VALUE"""),"Package Managers (npm, yarn, pnpm)")</f>
        <v>Package Managers (npm, yarn, pnpm)</v>
      </c>
    </row>
    <row r="1618">
      <c r="A1618" s="7" t="str">
        <f>IFERROR(__xludf.DUMMYFUNCTION("""COMPUTED_VALUE"""),"R41")</f>
        <v>R41</v>
      </c>
      <c r="B1618" s="7" t="str">
        <f>IFERROR(__xludf.DUMMYFUNCTION("""COMPUTED_VALUE"""),"Junior Frontend Developer")</f>
        <v>Junior Frontend Developer</v>
      </c>
      <c r="C1618" s="7" t="str">
        <f>IFERROR(__xludf.DUMMYFUNCTION("""COMPUTED_VALUE"""),"S061")</f>
        <v>S061</v>
      </c>
      <c r="D1618" s="7" t="str">
        <f>IFERROR(__xludf.DUMMYFUNCTION("""COMPUTED_VALUE"""),"UI/UX Design Fundamentals &amp; Color Theory")</f>
        <v>UI/UX Design Fundamentals &amp; Color Theory</v>
      </c>
    </row>
    <row r="1619">
      <c r="A1619" s="7" t="str">
        <f>IFERROR(__xludf.DUMMYFUNCTION("""COMPUTED_VALUE"""),"R41")</f>
        <v>R41</v>
      </c>
      <c r="B1619" s="7" t="str">
        <f>IFERROR(__xludf.DUMMYFUNCTION("""COMPUTED_VALUE"""),"Junior Frontend Developer")</f>
        <v>Junior Frontend Developer</v>
      </c>
      <c r="C1619" s="7" t="str">
        <f>IFERROR(__xludf.DUMMYFUNCTION("""COMPUTED_VALUE"""),"S062")</f>
        <v>S062</v>
      </c>
      <c r="D1619" s="7" t="str">
        <f>IFERROR(__xludf.DUMMYFUNCTION("""COMPUTED_VALUE"""),"Wireframing &amp; Interactive Prototyping (Figma)")</f>
        <v>Wireframing &amp; Interactive Prototyping (Figma)</v>
      </c>
    </row>
    <row r="1620">
      <c r="A1620" s="7" t="str">
        <f>IFERROR(__xludf.DUMMYFUNCTION("""COMPUTED_VALUE"""),"R41")</f>
        <v>R41</v>
      </c>
      <c r="B1620" s="7" t="str">
        <f>IFERROR(__xludf.DUMMYFUNCTION("""COMPUTED_VALUE"""),"Junior Frontend Developer")</f>
        <v>Junior Frontend Developer</v>
      </c>
      <c r="C1620" s="7" t="str">
        <f>IFERROR(__xludf.DUMMYFUNCTION("""COMPUTED_VALUE"""),"S086")</f>
        <v>S086</v>
      </c>
      <c r="D1620" s="7" t="str">
        <f>IFERROR(__xludf.DUMMYFUNCTION("""COMPUTED_VALUE"""),"RESTful API Design &amp; OpenAPI/Swagger")</f>
        <v>RESTful API Design &amp; OpenAPI/Swagger</v>
      </c>
    </row>
    <row r="1621">
      <c r="A1621" s="7" t="str">
        <f>IFERROR(__xludf.DUMMYFUNCTION("""COMPUTED_VALUE"""),"R41")</f>
        <v>R41</v>
      </c>
      <c r="B1621" s="7" t="str">
        <f>IFERROR(__xludf.DUMMYFUNCTION("""COMPUTED_VALUE"""),"Junior Frontend Developer")</f>
        <v>Junior Frontend Developer</v>
      </c>
      <c r="C1621" s="7" t="str">
        <f>IFERROR(__xludf.DUMMYFUNCTION("""COMPUTED_VALUE"""),"S246")</f>
        <v>S246</v>
      </c>
      <c r="D1621" s="7" t="str">
        <f>IFERROR(__xludf.DUMMYFUNCTION("""COMPUTED_VALUE"""),"Agile Methodologies, Scrum Framework &amp; Kanban")</f>
        <v>Agile Methodologies, Scrum Framework &amp; Kanban</v>
      </c>
    </row>
    <row r="1622">
      <c r="A1622" s="7" t="str">
        <f>IFERROR(__xludf.DUMMYFUNCTION("""COMPUTED_VALUE"""),"R41")</f>
        <v>R41</v>
      </c>
      <c r="B1622" s="7" t="str">
        <f>IFERROR(__xludf.DUMMYFUNCTION("""COMPUTED_VALUE"""),"Junior Frontend Developer")</f>
        <v>Junior Frontend Developer</v>
      </c>
      <c r="C1622" s="7" t="str">
        <f>IFERROR(__xludf.DUMMYFUNCTION("""COMPUTED_VALUE"""),"S247")</f>
        <v>S247</v>
      </c>
      <c r="D1622" s="7" t="str">
        <f>IFERROR(__xludf.DUMMYFUNCTION("""COMPUTED_VALUE"""),"Project Tracking &amp; Documentation Tools (Jira, Confluence, Linear)")</f>
        <v>Project Tracking &amp; Documentation Tools (Jira, Confluence, Linear)</v>
      </c>
    </row>
    <row r="1623">
      <c r="A1623" s="7" t="str">
        <f>IFERROR(__xludf.DUMMYFUNCTION("""COMPUTED_VALUE"""),"R42")</f>
        <v>R42</v>
      </c>
      <c r="B1623" s="7" t="str">
        <f>IFERROR(__xludf.DUMMYFUNCTION("""COMPUTED_VALUE"""),"Senior Frontend Developer")</f>
        <v>Senior Frontend Developer</v>
      </c>
      <c r="C1623" s="7" t="str">
        <f>IFERROR(__xludf.DUMMYFUNCTION("""COMPUTED_VALUE"""),"S006")</f>
        <v>S006</v>
      </c>
      <c r="D1623" s="7" t="str">
        <f>IFERROR(__xludf.DUMMYFUNCTION("""COMPUTED_VALUE"""),"Basic Data Structures (Arrays, Lists, Stacks, Queues)")</f>
        <v>Basic Data Structures (Arrays, Lists, Stacks, Queues)</v>
      </c>
    </row>
    <row r="1624">
      <c r="A1624" s="7" t="str">
        <f>IFERROR(__xludf.DUMMYFUNCTION("""COMPUTED_VALUE"""),"R42")</f>
        <v>R42</v>
      </c>
      <c r="B1624" s="7" t="str">
        <f>IFERROR(__xludf.DUMMYFUNCTION("""COMPUTED_VALUE"""),"Senior Frontend Developer")</f>
        <v>Senior Frontend Developer</v>
      </c>
      <c r="C1624" s="7" t="str">
        <f>IFERROR(__xludf.DUMMYFUNCTION("""COMPUTED_VALUE"""),"S007")</f>
        <v>S007</v>
      </c>
      <c r="D1624" s="7" t="str">
        <f>IFERROR(__xludf.DUMMYFUNCTION("""COMPUTED_VALUE"""),"Trees &amp; Binary Search Trees")</f>
        <v>Trees &amp; Binary Search Trees</v>
      </c>
    </row>
    <row r="1625">
      <c r="A1625" s="7" t="str">
        <f>IFERROR(__xludf.DUMMYFUNCTION("""COMPUTED_VALUE"""),"R42")</f>
        <v>R42</v>
      </c>
      <c r="B1625" s="7" t="str">
        <f>IFERROR(__xludf.DUMMYFUNCTION("""COMPUTED_VALUE"""),"Senior Frontend Developer")</f>
        <v>Senior Frontend Developer</v>
      </c>
      <c r="C1625" s="7" t="str">
        <f>IFERROR(__xludf.DUMMYFUNCTION("""COMPUTED_VALUE"""),"S008")</f>
        <v>S008</v>
      </c>
      <c r="D1625" s="7" t="str">
        <f>IFERROR(__xludf.DUMMYFUNCTION("""COMPUTED_VALUE"""),"Heaps, Priority Queues &amp; Hashing")</f>
        <v>Heaps, Priority Queues &amp; Hashing</v>
      </c>
    </row>
    <row r="1626">
      <c r="A1626" s="7" t="str">
        <f>IFERROR(__xludf.DUMMYFUNCTION("""COMPUTED_VALUE"""),"R42")</f>
        <v>R42</v>
      </c>
      <c r="B1626" s="7" t="str">
        <f>IFERROR(__xludf.DUMMYFUNCTION("""COMPUTED_VALUE"""),"Senior Frontend Developer")</f>
        <v>Senior Frontend Developer</v>
      </c>
      <c r="C1626" s="7" t="str">
        <f>IFERROR(__xludf.DUMMYFUNCTION("""COMPUTED_VALUE"""),"S009")</f>
        <v>S009</v>
      </c>
      <c r="D1626" s="7" t="str">
        <f>IFERROR(__xludf.DUMMYFUNCTION("""COMPUTED_VALUE"""),"Graphs &amp; Graph Traversal (BFS/DFS)")</f>
        <v>Graphs &amp; Graph Traversal (BFS/DFS)</v>
      </c>
    </row>
    <row r="1627">
      <c r="A1627" s="7" t="str">
        <f>IFERROR(__xludf.DUMMYFUNCTION("""COMPUTED_VALUE"""),"R42")</f>
        <v>R42</v>
      </c>
      <c r="B1627" s="7" t="str">
        <f>IFERROR(__xludf.DUMMYFUNCTION("""COMPUTED_VALUE"""),"Senior Frontend Developer")</f>
        <v>Senior Frontend Developer</v>
      </c>
      <c r="C1627" s="7" t="str">
        <f>IFERROR(__xludf.DUMMYFUNCTION("""COMPUTED_VALUE"""),"S010")</f>
        <v>S010</v>
      </c>
      <c r="D1627" s="7" t="str">
        <f>IFERROR(__xludf.DUMMYFUNCTION("""COMPUTED_VALUE"""),"Sorting &amp; Searching Algorithms")</f>
        <v>Sorting &amp; Searching Algorithms</v>
      </c>
    </row>
    <row r="1628">
      <c r="A1628" s="7" t="str">
        <f>IFERROR(__xludf.DUMMYFUNCTION("""COMPUTED_VALUE"""),"R42")</f>
        <v>R42</v>
      </c>
      <c r="B1628" s="7" t="str">
        <f>IFERROR(__xludf.DUMMYFUNCTION("""COMPUTED_VALUE"""),"Senior Frontend Developer")</f>
        <v>Senior Frontend Developer</v>
      </c>
      <c r="C1628" s="7" t="str">
        <f>IFERROR(__xludf.DUMMYFUNCTION("""COMPUTED_VALUE"""),"S012")</f>
        <v>S012</v>
      </c>
      <c r="D1628" s="7" t="str">
        <f>IFERROR(__xludf.DUMMYFUNCTION("""COMPUTED_VALUE"""),"Time &amp; Space Complexity (Big-O Analysis)")</f>
        <v>Time &amp; Space Complexity (Big-O Analysis)</v>
      </c>
    </row>
    <row r="1629">
      <c r="A1629" s="7" t="str">
        <f>IFERROR(__xludf.DUMMYFUNCTION("""COMPUTED_VALUE"""),"R42")</f>
        <v>R42</v>
      </c>
      <c r="B1629" s="7" t="str">
        <f>IFERROR(__xludf.DUMMYFUNCTION("""COMPUTED_VALUE"""),"Senior Frontend Developer")</f>
        <v>Senior Frontend Developer</v>
      </c>
      <c r="C1629" s="7" t="str">
        <f>IFERROR(__xludf.DUMMYFUNCTION("""COMPUTED_VALUE"""),"S013")</f>
        <v>S013</v>
      </c>
      <c r="D1629" s="7" t="str">
        <f>IFERROR(__xludf.DUMMYFUNCTION("""COMPUTED_VALUE"""),"Object-Oriented Programming (OOP)")</f>
        <v>Object-Oriented Programming (OOP)</v>
      </c>
    </row>
    <row r="1630">
      <c r="A1630" s="7" t="str">
        <f>IFERROR(__xludf.DUMMYFUNCTION("""COMPUTED_VALUE"""),"R42")</f>
        <v>R42</v>
      </c>
      <c r="B1630" s="7" t="str">
        <f>IFERROR(__xludf.DUMMYFUNCTION("""COMPUTED_VALUE"""),"Senior Frontend Developer")</f>
        <v>Senior Frontend Developer</v>
      </c>
      <c r="C1630" s="7" t="str">
        <f>IFERROR(__xludf.DUMMYFUNCTION("""COMPUTED_VALUE"""),"S014")</f>
        <v>S014</v>
      </c>
      <c r="D1630" s="7" t="str">
        <f>IFERROR(__xludf.DUMMYFUNCTION("""COMPUTED_VALUE"""),"Functional Programming Concepts")</f>
        <v>Functional Programming Concepts</v>
      </c>
    </row>
    <row r="1631">
      <c r="A1631" s="7" t="str">
        <f>IFERROR(__xludf.DUMMYFUNCTION("""COMPUTED_VALUE"""),"R42")</f>
        <v>R42</v>
      </c>
      <c r="B1631" s="7" t="str">
        <f>IFERROR(__xludf.DUMMYFUNCTION("""COMPUTED_VALUE"""),"Senior Frontend Developer")</f>
        <v>Senior Frontend Developer</v>
      </c>
      <c r="C1631" s="7" t="str">
        <f>IFERROR(__xludf.DUMMYFUNCTION("""COMPUTED_VALUE"""),"S015")</f>
        <v>S015</v>
      </c>
      <c r="D1631" s="7" t="str">
        <f>IFERROR(__xludf.DUMMYFUNCTION("""COMPUTED_VALUE"""),"Software Design Patterns (GoF)")</f>
        <v>Software Design Patterns (GoF)</v>
      </c>
    </row>
    <row r="1632">
      <c r="A1632" s="7" t="str">
        <f>IFERROR(__xludf.DUMMYFUNCTION("""COMPUTED_VALUE"""),"R42")</f>
        <v>R42</v>
      </c>
      <c r="B1632" s="7" t="str">
        <f>IFERROR(__xludf.DUMMYFUNCTION("""COMPUTED_VALUE"""),"Senior Frontend Developer")</f>
        <v>Senior Frontend Developer</v>
      </c>
      <c r="C1632" s="7" t="str">
        <f>IFERROR(__xludf.DUMMYFUNCTION("""COMPUTED_VALUE"""),"S016")</f>
        <v>S016</v>
      </c>
      <c r="D1632" s="7" t="str">
        <f>IFERROR(__xludf.DUMMYFUNCTION("""COMPUTED_VALUE"""),"SOLID Principles &amp; Clean Code")</f>
        <v>SOLID Principles &amp; Clean Code</v>
      </c>
    </row>
    <row r="1633">
      <c r="A1633" s="7" t="str">
        <f>IFERROR(__xludf.DUMMYFUNCTION("""COMPUTED_VALUE"""),"R42")</f>
        <v>R42</v>
      </c>
      <c r="B1633" s="7" t="str">
        <f>IFERROR(__xludf.DUMMYFUNCTION("""COMPUTED_VALUE"""),"Senior Frontend Developer")</f>
        <v>Senior Frontend Developer</v>
      </c>
      <c r="C1633" s="7" t="str">
        <f>IFERROR(__xludf.DUMMYFUNCTION("""COMPUTED_VALUE"""),"S017")</f>
        <v>S017</v>
      </c>
      <c r="D1633" s="7" t="str">
        <f>IFERROR(__xludf.DUMMYFUNCTION("""COMPUTED_VALUE"""),"Git Version Control Fundamentals")</f>
        <v>Git Version Control Fundamentals</v>
      </c>
    </row>
    <row r="1634">
      <c r="A1634" s="7" t="str">
        <f>IFERROR(__xludf.DUMMYFUNCTION("""COMPUTED_VALUE"""),"R42")</f>
        <v>R42</v>
      </c>
      <c r="B1634" s="7" t="str">
        <f>IFERROR(__xludf.DUMMYFUNCTION("""COMPUTED_VALUE"""),"Senior Frontend Developer")</f>
        <v>Senior Frontend Developer</v>
      </c>
      <c r="C1634" s="7" t="str">
        <f>IFERROR(__xludf.DUMMYFUNCTION("""COMPUTED_VALUE"""),"S018")</f>
        <v>S018</v>
      </c>
      <c r="D1634" s="7" t="str">
        <f>IFERROR(__xludf.DUMMYFUNCTION("""COMPUTED_VALUE"""),"GitHub / GitLab Workflows &amp; Pull Requests")</f>
        <v>GitHub / GitLab Workflows &amp; Pull Requests</v>
      </c>
    </row>
    <row r="1635">
      <c r="A1635" s="7" t="str">
        <f>IFERROR(__xludf.DUMMYFUNCTION("""COMPUTED_VALUE"""),"R42")</f>
        <v>R42</v>
      </c>
      <c r="B1635" s="7" t="str">
        <f>IFERROR(__xludf.DUMMYFUNCTION("""COMPUTED_VALUE"""),"Senior Frontend Developer")</f>
        <v>Senior Frontend Developer</v>
      </c>
      <c r="C1635" s="7" t="str">
        <f>IFERROR(__xludf.DUMMYFUNCTION("""COMPUTED_VALUE"""),"S019")</f>
        <v>S019</v>
      </c>
      <c r="D1635" s="7" t="str">
        <f>IFERROR(__xludf.DUMMYFUNCTION("""COMPUTED_VALUE"""),"Linux Command Line &amp; File Permissions")</f>
        <v>Linux Command Line &amp; File Permissions</v>
      </c>
    </row>
    <row r="1636">
      <c r="A1636" s="7" t="str">
        <f>IFERROR(__xludf.DUMMYFUNCTION("""COMPUTED_VALUE"""),"R42")</f>
        <v>R42</v>
      </c>
      <c r="B1636" s="7" t="str">
        <f>IFERROR(__xludf.DUMMYFUNCTION("""COMPUTED_VALUE"""),"Senior Frontend Developer")</f>
        <v>Senior Frontend Developer</v>
      </c>
      <c r="C1636" s="7" t="str">
        <f>IFERROR(__xludf.DUMMYFUNCTION("""COMPUTED_VALUE"""),"S023")</f>
        <v>S023</v>
      </c>
      <c r="D1636" s="7" t="str">
        <f>IFERROR(__xludf.DUMMYFUNCTION("""COMPUTED_VALUE"""),"HTTP/HTTPS Protocols &amp; Status Codes")</f>
        <v>HTTP/HTTPS Protocols &amp; Status Codes</v>
      </c>
    </row>
    <row r="1637">
      <c r="A1637" s="7" t="str">
        <f>IFERROR(__xludf.DUMMYFUNCTION("""COMPUTED_VALUE"""),"R42")</f>
        <v>R42</v>
      </c>
      <c r="B1637" s="7" t="str">
        <f>IFERROR(__xludf.DUMMYFUNCTION("""COMPUTED_VALUE"""),"Senior Frontend Developer")</f>
        <v>Senior Frontend Developer</v>
      </c>
      <c r="C1637" s="7" t="str">
        <f>IFERROR(__xludf.DUMMYFUNCTION("""COMPUTED_VALUE"""),"S024")</f>
        <v>S024</v>
      </c>
      <c r="D1637" s="7" t="str">
        <f>IFERROR(__xludf.DUMMYFUNCTION("""COMPUTED_VALUE"""),"DNS, Domain Routing &amp; SSL/TLS")</f>
        <v>DNS, Domain Routing &amp; SSL/TLS</v>
      </c>
    </row>
    <row r="1638">
      <c r="A1638" s="7" t="str">
        <f>IFERROR(__xludf.DUMMYFUNCTION("""COMPUTED_VALUE"""),"R42")</f>
        <v>R42</v>
      </c>
      <c r="B1638" s="7" t="str">
        <f>IFERROR(__xludf.DUMMYFUNCTION("""COMPUTED_VALUE"""),"Senior Frontend Developer")</f>
        <v>Senior Frontend Developer</v>
      </c>
      <c r="C1638" s="7" t="str">
        <f>IFERROR(__xludf.DUMMYFUNCTION("""COMPUTED_VALUE"""),"S025")</f>
        <v>S025</v>
      </c>
      <c r="D1638" s="7" t="str">
        <f>IFERROR(__xludf.DUMMYFUNCTION("""COMPUTED_VALUE"""),"Regular Expressions (Regex)")</f>
        <v>Regular Expressions (Regex)</v>
      </c>
    </row>
    <row r="1639">
      <c r="A1639" s="7" t="str">
        <f>IFERROR(__xludf.DUMMYFUNCTION("""COMPUTED_VALUE"""),"R42")</f>
        <v>R42</v>
      </c>
      <c r="B1639" s="7" t="str">
        <f>IFERROR(__xludf.DUMMYFUNCTION("""COMPUTED_VALUE"""),"Senior Frontend Developer")</f>
        <v>Senior Frontend Developer</v>
      </c>
      <c r="C1639" s="7" t="str">
        <f>IFERROR(__xludf.DUMMYFUNCTION("""COMPUTED_VALUE"""),"S026")</f>
        <v>S026</v>
      </c>
      <c r="D1639" s="7" t="str">
        <f>IFERROR(__xludf.DUMMYFUNCTION("""COMPUTED_VALUE"""),"Data Serialization (JSON, XML, YAML, Protobuf)")</f>
        <v>Data Serialization (JSON, XML, YAML, Protobuf)</v>
      </c>
    </row>
    <row r="1640">
      <c r="A1640" s="7" t="str">
        <f>IFERROR(__xludf.DUMMYFUNCTION("""COMPUTED_VALUE"""),"R42")</f>
        <v>R42</v>
      </c>
      <c r="B1640" s="7" t="str">
        <f>IFERROR(__xludf.DUMMYFUNCTION("""COMPUTED_VALUE"""),"Senior Frontend Developer")</f>
        <v>Senior Frontend Developer</v>
      </c>
      <c r="C1640" s="7" t="str">
        <f>IFERROR(__xludf.DUMMYFUNCTION("""COMPUTED_VALUE"""),"S028")</f>
        <v>S028</v>
      </c>
      <c r="D1640" s="7" t="str">
        <f>IFERROR(__xludf.DUMMYFUNCTION("""COMPUTED_VALUE"""),"Technical Writing &amp; Markdown Documentation")</f>
        <v>Technical Writing &amp; Markdown Documentation</v>
      </c>
    </row>
    <row r="1641">
      <c r="A1641" s="7" t="str">
        <f>IFERROR(__xludf.DUMMYFUNCTION("""COMPUTED_VALUE"""),"R42")</f>
        <v>R42</v>
      </c>
      <c r="B1641" s="7" t="str">
        <f>IFERROR(__xludf.DUMMYFUNCTION("""COMPUTED_VALUE"""),"Senior Frontend Developer")</f>
        <v>Senior Frontend Developer</v>
      </c>
      <c r="C1641" s="7" t="str">
        <f>IFERROR(__xludf.DUMMYFUNCTION("""COMPUTED_VALUE"""),"S029")</f>
        <v>S029</v>
      </c>
      <c r="D1641" s="7" t="str">
        <f>IFERROR(__xludf.DUMMYFUNCTION("""COMPUTED_VALUE"""),"Debugging, Profiling &amp; Root Cause Analysis")</f>
        <v>Debugging, Profiling &amp; Root Cause Analysis</v>
      </c>
    </row>
    <row r="1642">
      <c r="A1642" s="7" t="str">
        <f>IFERROR(__xludf.DUMMYFUNCTION("""COMPUTED_VALUE"""),"R42")</f>
        <v>R42</v>
      </c>
      <c r="B1642" s="7" t="str">
        <f>IFERROR(__xludf.DUMMYFUNCTION("""COMPUTED_VALUE"""),"Senior Frontend Developer")</f>
        <v>Senior Frontend Developer</v>
      </c>
      <c r="C1642" s="7" t="str">
        <f>IFERROR(__xludf.DUMMYFUNCTION("""COMPUTED_VALUE"""),"S031")</f>
        <v>S031</v>
      </c>
      <c r="D1642" s="7" t="str">
        <f>IFERROR(__xludf.DUMMYFUNCTION("""COMPUTED_VALUE"""),"Semantic HTML5")</f>
        <v>Semantic HTML5</v>
      </c>
    </row>
    <row r="1643">
      <c r="A1643" s="7" t="str">
        <f>IFERROR(__xludf.DUMMYFUNCTION("""COMPUTED_VALUE"""),"R42")</f>
        <v>R42</v>
      </c>
      <c r="B1643" s="7" t="str">
        <f>IFERROR(__xludf.DUMMYFUNCTION("""COMPUTED_VALUE"""),"Senior Frontend Developer")</f>
        <v>Senior Frontend Developer</v>
      </c>
      <c r="C1643" s="7" t="str">
        <f>IFERROR(__xludf.DUMMYFUNCTION("""COMPUTED_VALUE"""),"S032")</f>
        <v>S032</v>
      </c>
      <c r="D1643" s="7" t="str">
        <f>IFERROR(__xludf.DUMMYFUNCTION("""COMPUTED_VALUE"""),"CSS3 Fundamentals &amp; Box Model")</f>
        <v>CSS3 Fundamentals &amp; Box Model</v>
      </c>
    </row>
    <row r="1644">
      <c r="A1644" s="7" t="str">
        <f>IFERROR(__xludf.DUMMYFUNCTION("""COMPUTED_VALUE"""),"R42")</f>
        <v>R42</v>
      </c>
      <c r="B1644" s="7" t="str">
        <f>IFERROR(__xludf.DUMMYFUNCTION("""COMPUTED_VALUE"""),"Senior Frontend Developer")</f>
        <v>Senior Frontend Developer</v>
      </c>
      <c r="C1644" s="7" t="str">
        <f>IFERROR(__xludf.DUMMYFUNCTION("""COMPUTED_VALUE"""),"S033")</f>
        <v>S033</v>
      </c>
      <c r="D1644" s="7" t="str">
        <f>IFERROR(__xludf.DUMMYFUNCTION("""COMPUTED_VALUE"""),"Responsive Web Design (Flexbox &amp; CSS Grid)")</f>
        <v>Responsive Web Design (Flexbox &amp; CSS Grid)</v>
      </c>
    </row>
    <row r="1645">
      <c r="A1645" s="7" t="str">
        <f>IFERROR(__xludf.DUMMYFUNCTION("""COMPUTED_VALUE"""),"R42")</f>
        <v>R42</v>
      </c>
      <c r="B1645" s="7" t="str">
        <f>IFERROR(__xludf.DUMMYFUNCTION("""COMPUTED_VALUE"""),"Senior Frontend Developer")</f>
        <v>Senior Frontend Developer</v>
      </c>
      <c r="C1645" s="7" t="str">
        <f>IFERROR(__xludf.DUMMYFUNCTION("""COMPUTED_VALUE"""),"S034")</f>
        <v>S034</v>
      </c>
      <c r="D1645" s="7" t="str">
        <f>IFERROR(__xludf.DUMMYFUNCTION("""COMPUTED_VALUE"""),"JavaScript Fundamentals (ES6+)")</f>
        <v>JavaScript Fundamentals (ES6+)</v>
      </c>
    </row>
    <row r="1646">
      <c r="A1646" s="7" t="str">
        <f>IFERROR(__xludf.DUMMYFUNCTION("""COMPUTED_VALUE"""),"R42")</f>
        <v>R42</v>
      </c>
      <c r="B1646" s="7" t="str">
        <f>IFERROR(__xludf.DUMMYFUNCTION("""COMPUTED_VALUE"""),"Senior Frontend Developer")</f>
        <v>Senior Frontend Developer</v>
      </c>
      <c r="C1646" s="7" t="str">
        <f>IFERROR(__xludf.DUMMYFUNCTION("""COMPUTED_VALUE"""),"S035")</f>
        <v>S035</v>
      </c>
      <c r="D1646" s="7" t="str">
        <f>IFERROR(__xludf.DUMMYFUNCTION("""COMPUTED_VALUE"""),"Asynchronous JavaScript (Promises, Async/Await)")</f>
        <v>Asynchronous JavaScript (Promises, Async/Await)</v>
      </c>
    </row>
    <row r="1647">
      <c r="A1647" s="7" t="str">
        <f>IFERROR(__xludf.DUMMYFUNCTION("""COMPUTED_VALUE"""),"R42")</f>
        <v>R42</v>
      </c>
      <c r="B1647" s="7" t="str">
        <f>IFERROR(__xludf.DUMMYFUNCTION("""COMPUTED_VALUE"""),"Senior Frontend Developer")</f>
        <v>Senior Frontend Developer</v>
      </c>
      <c r="C1647" s="7" t="str">
        <f>IFERROR(__xludf.DUMMYFUNCTION("""COMPUTED_VALUE"""),"S036")</f>
        <v>S036</v>
      </c>
      <c r="D1647" s="7" t="str">
        <f>IFERROR(__xludf.DUMMYFUNCTION("""COMPUTED_VALUE"""),"DOM Manipulation &amp; Browser Events")</f>
        <v>DOM Manipulation &amp; Browser Events</v>
      </c>
    </row>
    <row r="1648">
      <c r="A1648" s="7" t="str">
        <f>IFERROR(__xludf.DUMMYFUNCTION("""COMPUTED_VALUE"""),"R42")</f>
        <v>R42</v>
      </c>
      <c r="B1648" s="7" t="str">
        <f>IFERROR(__xludf.DUMMYFUNCTION("""COMPUTED_VALUE"""),"Senior Frontend Developer")</f>
        <v>Senior Frontend Developer</v>
      </c>
      <c r="C1648" s="7" t="str">
        <f>IFERROR(__xludf.DUMMYFUNCTION("""COMPUTED_VALUE"""),"S037")</f>
        <v>S037</v>
      </c>
      <c r="D1648" s="7" t="str">
        <f>IFERROR(__xludf.DUMMYFUNCTION("""COMPUTED_VALUE"""),"Browser Storage (LocalStorage, SessionStorage, IndexedDB)")</f>
        <v>Browser Storage (LocalStorage, SessionStorage, IndexedDB)</v>
      </c>
    </row>
    <row r="1649">
      <c r="A1649" s="7" t="str">
        <f>IFERROR(__xludf.DUMMYFUNCTION("""COMPUTED_VALUE"""),"R42")</f>
        <v>R42</v>
      </c>
      <c r="B1649" s="7" t="str">
        <f>IFERROR(__xludf.DUMMYFUNCTION("""COMPUTED_VALUE"""),"Senior Frontend Developer")</f>
        <v>Senior Frontend Developer</v>
      </c>
      <c r="C1649" s="7" t="str">
        <f>IFERROR(__xludf.DUMMYFUNCTION("""COMPUTED_VALUE"""),"S038")</f>
        <v>S038</v>
      </c>
      <c r="D1649" s="7" t="str">
        <f>IFERROR(__xludf.DUMMYFUNCTION("""COMPUTED_VALUE"""),"TypeScript &amp; Static Typing")</f>
        <v>TypeScript &amp; Static Typing</v>
      </c>
    </row>
    <row r="1650">
      <c r="A1650" s="7" t="str">
        <f>IFERROR(__xludf.DUMMYFUNCTION("""COMPUTED_VALUE"""),"R42")</f>
        <v>R42</v>
      </c>
      <c r="B1650" s="7" t="str">
        <f>IFERROR(__xludf.DUMMYFUNCTION("""COMPUTED_VALUE"""),"Senior Frontend Developer")</f>
        <v>Senior Frontend Developer</v>
      </c>
      <c r="C1650" s="7" t="str">
        <f>IFERROR(__xludf.DUMMYFUNCTION("""COMPUTED_VALUE"""),"S039")</f>
        <v>S039</v>
      </c>
      <c r="D1650" s="7" t="str">
        <f>IFERROR(__xludf.DUMMYFUNCTION("""COMPUTED_VALUE"""),"React.js &amp; Hooks Architecture")</f>
        <v>React.js &amp; Hooks Architecture</v>
      </c>
    </row>
    <row r="1651">
      <c r="A1651" s="7" t="str">
        <f>IFERROR(__xludf.DUMMYFUNCTION("""COMPUTED_VALUE"""),"R42")</f>
        <v>R42</v>
      </c>
      <c r="B1651" s="7" t="str">
        <f>IFERROR(__xludf.DUMMYFUNCTION("""COMPUTED_VALUE"""),"Senior Frontend Developer")</f>
        <v>Senior Frontend Developer</v>
      </c>
      <c r="C1651" s="7" t="str">
        <f>IFERROR(__xludf.DUMMYFUNCTION("""COMPUTED_VALUE"""),"S040")</f>
        <v>S040</v>
      </c>
      <c r="D1651" s="7" t="str">
        <f>IFERROR(__xludf.DUMMYFUNCTION("""COMPUTED_VALUE"""),"Angular Framework &amp; RxJS")</f>
        <v>Angular Framework &amp; RxJS</v>
      </c>
    </row>
    <row r="1652">
      <c r="A1652" s="7" t="str">
        <f>IFERROR(__xludf.DUMMYFUNCTION("""COMPUTED_VALUE"""),"R42")</f>
        <v>R42</v>
      </c>
      <c r="B1652" s="7" t="str">
        <f>IFERROR(__xludf.DUMMYFUNCTION("""COMPUTED_VALUE"""),"Senior Frontend Developer")</f>
        <v>Senior Frontend Developer</v>
      </c>
      <c r="C1652" s="7" t="str">
        <f>IFERROR(__xludf.DUMMYFUNCTION("""COMPUTED_VALUE"""),"S041")</f>
        <v>S041</v>
      </c>
      <c r="D1652" s="7" t="str">
        <f>IFERROR(__xludf.DUMMYFUNCTION("""COMPUTED_VALUE"""),"Vue.js &amp; Composition API")</f>
        <v>Vue.js &amp; Composition API</v>
      </c>
    </row>
    <row r="1653">
      <c r="A1653" s="7" t="str">
        <f>IFERROR(__xludf.DUMMYFUNCTION("""COMPUTED_VALUE"""),"R42")</f>
        <v>R42</v>
      </c>
      <c r="B1653" s="7" t="str">
        <f>IFERROR(__xludf.DUMMYFUNCTION("""COMPUTED_VALUE"""),"Senior Frontend Developer")</f>
        <v>Senior Frontend Developer</v>
      </c>
      <c r="C1653" s="7" t="str">
        <f>IFERROR(__xludf.DUMMYFUNCTION("""COMPUTED_VALUE"""),"S042")</f>
        <v>S042</v>
      </c>
      <c r="D1653" s="7" t="str">
        <f>IFERROR(__xludf.DUMMYFUNCTION("""COMPUTED_VALUE"""),"Svelte &amp; SvelteKit")</f>
        <v>Svelte &amp; SvelteKit</v>
      </c>
    </row>
    <row r="1654">
      <c r="A1654" s="7" t="str">
        <f>IFERROR(__xludf.DUMMYFUNCTION("""COMPUTED_VALUE"""),"R42")</f>
        <v>R42</v>
      </c>
      <c r="B1654" s="7" t="str">
        <f>IFERROR(__xludf.DUMMYFUNCTION("""COMPUTED_VALUE"""),"Senior Frontend Developer")</f>
        <v>Senior Frontend Developer</v>
      </c>
      <c r="C1654" s="7" t="str">
        <f>IFERROR(__xludf.DUMMYFUNCTION("""COMPUTED_VALUE"""),"S043")</f>
        <v>S043</v>
      </c>
      <c r="D1654" s="7" t="str">
        <f>IFERROR(__xludf.DUMMYFUNCTION("""COMPUTED_VALUE"""),"Next.js (SSR, SSG &amp; App Router)")</f>
        <v>Next.js (SSR, SSG &amp; App Router)</v>
      </c>
    </row>
    <row r="1655">
      <c r="A1655" s="7" t="str">
        <f>IFERROR(__xludf.DUMMYFUNCTION("""COMPUTED_VALUE"""),"R42")</f>
        <v>R42</v>
      </c>
      <c r="B1655" s="7" t="str">
        <f>IFERROR(__xludf.DUMMYFUNCTION("""COMPUTED_VALUE"""),"Senior Frontend Developer")</f>
        <v>Senior Frontend Developer</v>
      </c>
      <c r="C1655" s="7" t="str">
        <f>IFERROR(__xludf.DUMMYFUNCTION("""COMPUTED_VALUE"""),"S044")</f>
        <v>S044</v>
      </c>
      <c r="D1655" s="7" t="str">
        <f>IFERROR(__xludf.DUMMYFUNCTION("""COMPUTED_VALUE"""),"Nuxt.js Framework")</f>
        <v>Nuxt.js Framework</v>
      </c>
    </row>
    <row r="1656">
      <c r="A1656" s="7" t="str">
        <f>IFERROR(__xludf.DUMMYFUNCTION("""COMPUTED_VALUE"""),"R42")</f>
        <v>R42</v>
      </c>
      <c r="B1656" s="7" t="str">
        <f>IFERROR(__xludf.DUMMYFUNCTION("""COMPUTED_VALUE"""),"Senior Frontend Developer")</f>
        <v>Senior Frontend Developer</v>
      </c>
      <c r="C1656" s="7" t="str">
        <f>IFERROR(__xludf.DUMMYFUNCTION("""COMPUTED_VALUE"""),"S045")</f>
        <v>S045</v>
      </c>
      <c r="D1656" s="7" t="str">
        <f>IFERROR(__xludf.DUMMYFUNCTION("""COMPUTED_VALUE"""),"Frontend State Management (Redux Toolkit, Zustand, MobX)")</f>
        <v>Frontend State Management (Redux Toolkit, Zustand, MobX)</v>
      </c>
    </row>
    <row r="1657">
      <c r="A1657" s="7" t="str">
        <f>IFERROR(__xludf.DUMMYFUNCTION("""COMPUTED_VALUE"""),"R42")</f>
        <v>R42</v>
      </c>
      <c r="B1657" s="7" t="str">
        <f>IFERROR(__xludf.DUMMYFUNCTION("""COMPUTED_VALUE"""),"Senior Frontend Developer")</f>
        <v>Senior Frontend Developer</v>
      </c>
      <c r="C1657" s="7" t="str">
        <f>IFERROR(__xludf.DUMMYFUNCTION("""COMPUTED_VALUE"""),"S046")</f>
        <v>S046</v>
      </c>
      <c r="D1657" s="7" t="str">
        <f>IFERROR(__xludf.DUMMYFUNCTION("""COMPUTED_VALUE"""),"Data Fetching &amp; Caching (TanStack React Query, SWR)")</f>
        <v>Data Fetching &amp; Caching (TanStack React Query, SWR)</v>
      </c>
    </row>
    <row r="1658">
      <c r="A1658" s="7" t="str">
        <f>IFERROR(__xludf.DUMMYFUNCTION("""COMPUTED_VALUE"""),"R42")</f>
        <v>R42</v>
      </c>
      <c r="B1658" s="7" t="str">
        <f>IFERROR(__xludf.DUMMYFUNCTION("""COMPUTED_VALUE"""),"Senior Frontend Developer")</f>
        <v>Senior Frontend Developer</v>
      </c>
      <c r="C1658" s="7" t="str">
        <f>IFERROR(__xludf.DUMMYFUNCTION("""COMPUTED_VALUE"""),"S047")</f>
        <v>S047</v>
      </c>
      <c r="D1658" s="7" t="str">
        <f>IFERROR(__xludf.DUMMYFUNCTION("""COMPUTED_VALUE"""),"Tailwind CSS Utility Styling")</f>
        <v>Tailwind CSS Utility Styling</v>
      </c>
    </row>
    <row r="1659">
      <c r="A1659" s="7" t="str">
        <f>IFERROR(__xludf.DUMMYFUNCTION("""COMPUTED_VALUE"""),"R42")</f>
        <v>R42</v>
      </c>
      <c r="B1659" s="7" t="str">
        <f>IFERROR(__xludf.DUMMYFUNCTION("""COMPUTED_VALUE"""),"Senior Frontend Developer")</f>
        <v>Senior Frontend Developer</v>
      </c>
      <c r="C1659" s="7" t="str">
        <f>IFERROR(__xludf.DUMMYFUNCTION("""COMPUTED_VALUE"""),"S048")</f>
        <v>S048</v>
      </c>
      <c r="D1659" s="7" t="str">
        <f>IFERROR(__xludf.DUMMYFUNCTION("""COMPUTED_VALUE"""),"CSS Preprocessors (Sass / SCSS)")</f>
        <v>CSS Preprocessors (Sass / SCSS)</v>
      </c>
    </row>
    <row r="1660">
      <c r="A1660" s="7" t="str">
        <f>IFERROR(__xludf.DUMMYFUNCTION("""COMPUTED_VALUE"""),"R42")</f>
        <v>R42</v>
      </c>
      <c r="B1660" s="7" t="str">
        <f>IFERROR(__xludf.DUMMYFUNCTION("""COMPUTED_VALUE"""),"Senior Frontend Developer")</f>
        <v>Senior Frontend Developer</v>
      </c>
      <c r="C1660" s="7" t="str">
        <f>IFERROR(__xludf.DUMMYFUNCTION("""COMPUTED_VALUE"""),"S049")</f>
        <v>S049</v>
      </c>
      <c r="D1660" s="7" t="str">
        <f>IFERROR(__xludf.DUMMYFUNCTION("""COMPUTED_VALUE"""),"Component Libraries (Material UI, Shadcn UI, Bootstrap)")</f>
        <v>Component Libraries (Material UI, Shadcn UI, Bootstrap)</v>
      </c>
    </row>
    <row r="1661">
      <c r="A1661" s="7" t="str">
        <f>IFERROR(__xludf.DUMMYFUNCTION("""COMPUTED_VALUE"""),"R42")</f>
        <v>R42</v>
      </c>
      <c r="B1661" s="7" t="str">
        <f>IFERROR(__xludf.DUMMYFUNCTION("""COMPUTED_VALUE"""),"Senior Frontend Developer")</f>
        <v>Senior Frontend Developer</v>
      </c>
      <c r="C1661" s="7" t="str">
        <f>IFERROR(__xludf.DUMMYFUNCTION("""COMPUTED_VALUE"""),"S050")</f>
        <v>S050</v>
      </c>
      <c r="D1661" s="7" t="str">
        <f>IFERROR(__xludf.DUMMYFUNCTION("""COMPUTED_VALUE"""),"Module Bundlers &amp; Build Tools (Vite, Webpack, Rollup)")</f>
        <v>Module Bundlers &amp; Build Tools (Vite, Webpack, Rollup)</v>
      </c>
    </row>
    <row r="1662">
      <c r="A1662" s="7" t="str">
        <f>IFERROR(__xludf.DUMMYFUNCTION("""COMPUTED_VALUE"""),"R42")</f>
        <v>R42</v>
      </c>
      <c r="B1662" s="7" t="str">
        <f>IFERROR(__xludf.DUMMYFUNCTION("""COMPUTED_VALUE"""),"Senior Frontend Developer")</f>
        <v>Senior Frontend Developer</v>
      </c>
      <c r="C1662" s="7" t="str">
        <f>IFERROR(__xludf.DUMMYFUNCTION("""COMPUTED_VALUE"""),"S051")</f>
        <v>S051</v>
      </c>
      <c r="D1662" s="7" t="str">
        <f>IFERROR(__xludf.DUMMYFUNCTION("""COMPUTED_VALUE"""),"Package Managers (npm, yarn, pnpm)")</f>
        <v>Package Managers (npm, yarn, pnpm)</v>
      </c>
    </row>
    <row r="1663">
      <c r="A1663" s="7" t="str">
        <f>IFERROR(__xludf.DUMMYFUNCTION("""COMPUTED_VALUE"""),"R42")</f>
        <v>R42</v>
      </c>
      <c r="B1663" s="7" t="str">
        <f>IFERROR(__xludf.DUMMYFUNCTION("""COMPUTED_VALUE"""),"Senior Frontend Developer")</f>
        <v>Senior Frontend Developer</v>
      </c>
      <c r="C1663" s="7" t="str">
        <f>IFERROR(__xludf.DUMMYFUNCTION("""COMPUTED_VALUE"""),"S052")</f>
        <v>S052</v>
      </c>
      <c r="D1663" s="7" t="str">
        <f>IFERROR(__xludf.DUMMYFUNCTION("""COMPUTED_VALUE"""),"Web Performance Optimization &amp; Core Web Vitals")</f>
        <v>Web Performance Optimization &amp; Core Web Vitals</v>
      </c>
    </row>
    <row r="1664">
      <c r="A1664" s="7" t="str">
        <f>IFERROR(__xludf.DUMMYFUNCTION("""COMPUTED_VALUE"""),"R42")</f>
        <v>R42</v>
      </c>
      <c r="B1664" s="7" t="str">
        <f>IFERROR(__xludf.DUMMYFUNCTION("""COMPUTED_VALUE"""),"Senior Frontend Developer")</f>
        <v>Senior Frontend Developer</v>
      </c>
      <c r="C1664" s="7" t="str">
        <f>IFERROR(__xludf.DUMMYFUNCTION("""COMPUTED_VALUE"""),"S053")</f>
        <v>S053</v>
      </c>
      <c r="D1664" s="7" t="str">
        <f>IFERROR(__xludf.DUMMYFUNCTION("""COMPUTED_VALUE"""),"Web Accessibility (WCAG / ARIA / a11y)")</f>
        <v>Web Accessibility (WCAG / ARIA / a11y)</v>
      </c>
    </row>
    <row r="1665">
      <c r="A1665" s="7" t="str">
        <f>IFERROR(__xludf.DUMMYFUNCTION("""COMPUTED_VALUE"""),"R42")</f>
        <v>R42</v>
      </c>
      <c r="B1665" s="7" t="str">
        <f>IFERROR(__xludf.DUMMYFUNCTION("""COMPUTED_VALUE"""),"Senior Frontend Developer")</f>
        <v>Senior Frontend Developer</v>
      </c>
      <c r="C1665" s="7" t="str">
        <f>IFERROR(__xludf.DUMMYFUNCTION("""COMPUTED_VALUE"""),"S054")</f>
        <v>S054</v>
      </c>
      <c r="D1665" s="7" t="str">
        <f>IFERROR(__xludf.DUMMYFUNCTION("""COMPUTED_VALUE"""),"Progressive Web Apps (PWA) &amp; Service Workers")</f>
        <v>Progressive Web Apps (PWA) &amp; Service Workers</v>
      </c>
    </row>
    <row r="1666">
      <c r="A1666" s="7" t="str">
        <f>IFERROR(__xludf.DUMMYFUNCTION("""COMPUTED_VALUE"""),"R42")</f>
        <v>R42</v>
      </c>
      <c r="B1666" s="7" t="str">
        <f>IFERROR(__xludf.DUMMYFUNCTION("""COMPUTED_VALUE"""),"Senior Frontend Developer")</f>
        <v>Senior Frontend Developer</v>
      </c>
      <c r="C1666" s="7" t="str">
        <f>IFERROR(__xludf.DUMMYFUNCTION("""COMPUTED_VALUE"""),"S055")</f>
        <v>S055</v>
      </c>
      <c r="D1666" s="7" t="str">
        <f>IFERROR(__xludf.DUMMYFUNCTION("""COMPUTED_VALUE"""),"WebAssembly (Wasm)")</f>
        <v>WebAssembly (Wasm)</v>
      </c>
    </row>
    <row r="1667">
      <c r="A1667" s="7" t="str">
        <f>IFERROR(__xludf.DUMMYFUNCTION("""COMPUTED_VALUE"""),"R42")</f>
        <v>R42</v>
      </c>
      <c r="B1667" s="7" t="str">
        <f>IFERROR(__xludf.DUMMYFUNCTION("""COMPUTED_VALUE"""),"Senior Frontend Developer")</f>
        <v>Senior Frontend Developer</v>
      </c>
      <c r="C1667" s="7" t="str">
        <f>IFERROR(__xludf.DUMMYFUNCTION("""COMPUTED_VALUE"""),"S056")</f>
        <v>S056</v>
      </c>
      <c r="D1667" s="7" t="str">
        <f>IFERROR(__xludf.DUMMYFUNCTION("""COMPUTED_VALUE"""),"Micro-Frontends Architecture")</f>
        <v>Micro-Frontends Architecture</v>
      </c>
    </row>
    <row r="1668">
      <c r="A1668" s="7" t="str">
        <f>IFERROR(__xludf.DUMMYFUNCTION("""COMPUTED_VALUE"""),"R42")</f>
        <v>R42</v>
      </c>
      <c r="B1668" s="7" t="str">
        <f>IFERROR(__xludf.DUMMYFUNCTION("""COMPUTED_VALUE"""),"Senior Frontend Developer")</f>
        <v>Senior Frontend Developer</v>
      </c>
      <c r="C1668" s="7" t="str">
        <f>IFERROR(__xludf.DUMMYFUNCTION("""COMPUTED_VALUE"""),"S057")</f>
        <v>S057</v>
      </c>
      <c r="D1668" s="7" t="str">
        <f>IFERROR(__xludf.DUMMYFUNCTION("""COMPUTED_VALUE"""),"Data Visualization &amp; Charting (D3.js, Recharts, Chart.js)")</f>
        <v>Data Visualization &amp; Charting (D3.js, Recharts, Chart.js)</v>
      </c>
    </row>
    <row r="1669">
      <c r="A1669" s="7" t="str">
        <f>IFERROR(__xludf.DUMMYFUNCTION("""COMPUTED_VALUE"""),"R42")</f>
        <v>R42</v>
      </c>
      <c r="B1669" s="7" t="str">
        <f>IFERROR(__xludf.DUMMYFUNCTION("""COMPUTED_VALUE"""),"Senior Frontend Developer")</f>
        <v>Senior Frontend Developer</v>
      </c>
      <c r="C1669" s="7" t="str">
        <f>IFERROR(__xludf.DUMMYFUNCTION("""COMPUTED_VALUE"""),"S058")</f>
        <v>S058</v>
      </c>
      <c r="D1669" s="7" t="str">
        <f>IFERROR(__xludf.DUMMYFUNCTION("""COMPUTED_VALUE"""),"WebGL &amp; 3D Browser Graphics (Three.js)")</f>
        <v>WebGL &amp; 3D Browser Graphics (Three.js)</v>
      </c>
    </row>
    <row r="1670">
      <c r="A1670" s="7" t="str">
        <f>IFERROR(__xludf.DUMMYFUNCTION("""COMPUTED_VALUE"""),"R42")</f>
        <v>R42</v>
      </c>
      <c r="B1670" s="7" t="str">
        <f>IFERROR(__xludf.DUMMYFUNCTION("""COMPUTED_VALUE"""),"Senior Frontend Developer")</f>
        <v>Senior Frontend Developer</v>
      </c>
      <c r="C1670" s="7" t="str">
        <f>IFERROR(__xludf.DUMMYFUNCTION("""COMPUTED_VALUE"""),"S059")</f>
        <v>S059</v>
      </c>
      <c r="D1670" s="7" t="str">
        <f>IFERROR(__xludf.DUMMYFUNCTION("""COMPUTED_VALUE"""),"Frontend Unit &amp; Component Testing (Jest, Vitest, RTL)")</f>
        <v>Frontend Unit &amp; Component Testing (Jest, Vitest, RTL)</v>
      </c>
    </row>
    <row r="1671">
      <c r="A1671" s="7" t="str">
        <f>IFERROR(__xludf.DUMMYFUNCTION("""COMPUTED_VALUE"""),"R42")</f>
        <v>R42</v>
      </c>
      <c r="B1671" s="7" t="str">
        <f>IFERROR(__xludf.DUMMYFUNCTION("""COMPUTED_VALUE"""),"Senior Frontend Developer")</f>
        <v>Senior Frontend Developer</v>
      </c>
      <c r="C1671" s="7" t="str">
        <f>IFERROR(__xludf.DUMMYFUNCTION("""COMPUTED_VALUE"""),"S060")</f>
        <v>S060</v>
      </c>
      <c r="D1671" s="7" t="str">
        <f>IFERROR(__xludf.DUMMYFUNCTION("""COMPUTED_VALUE"""),"End-to-End Browser Testing (Cypress, Playwright)")</f>
        <v>End-to-End Browser Testing (Cypress, Playwright)</v>
      </c>
    </row>
    <row r="1672">
      <c r="A1672" s="7" t="str">
        <f>IFERROR(__xludf.DUMMYFUNCTION("""COMPUTED_VALUE"""),"R42")</f>
        <v>R42</v>
      </c>
      <c r="B1672" s="7" t="str">
        <f>IFERROR(__xludf.DUMMYFUNCTION("""COMPUTED_VALUE"""),"Senior Frontend Developer")</f>
        <v>Senior Frontend Developer</v>
      </c>
      <c r="C1672" s="7" t="str">
        <f>IFERROR(__xludf.DUMMYFUNCTION("""COMPUTED_VALUE"""),"S061")</f>
        <v>S061</v>
      </c>
      <c r="D1672" s="7" t="str">
        <f>IFERROR(__xludf.DUMMYFUNCTION("""COMPUTED_VALUE"""),"UI/UX Design Fundamentals &amp; Color Theory")</f>
        <v>UI/UX Design Fundamentals &amp; Color Theory</v>
      </c>
    </row>
    <row r="1673">
      <c r="A1673" s="7" t="str">
        <f>IFERROR(__xludf.DUMMYFUNCTION("""COMPUTED_VALUE"""),"R42")</f>
        <v>R42</v>
      </c>
      <c r="B1673" s="7" t="str">
        <f>IFERROR(__xludf.DUMMYFUNCTION("""COMPUTED_VALUE"""),"Senior Frontend Developer")</f>
        <v>Senior Frontend Developer</v>
      </c>
      <c r="C1673" s="7" t="str">
        <f>IFERROR(__xludf.DUMMYFUNCTION("""COMPUTED_VALUE"""),"S062")</f>
        <v>S062</v>
      </c>
      <c r="D1673" s="7" t="str">
        <f>IFERROR(__xludf.DUMMYFUNCTION("""COMPUTED_VALUE"""),"Wireframing &amp; Interactive Prototyping (Figma)")</f>
        <v>Wireframing &amp; Interactive Prototyping (Figma)</v>
      </c>
    </row>
    <row r="1674">
      <c r="A1674" s="7" t="str">
        <f>IFERROR(__xludf.DUMMYFUNCTION("""COMPUTED_VALUE"""),"R42")</f>
        <v>R42</v>
      </c>
      <c r="B1674" s="7" t="str">
        <f>IFERROR(__xludf.DUMMYFUNCTION("""COMPUTED_VALUE"""),"Senior Frontend Developer")</f>
        <v>Senior Frontend Developer</v>
      </c>
      <c r="C1674" s="7" t="str">
        <f>IFERROR(__xludf.DUMMYFUNCTION("""COMPUTED_VALUE"""),"S063")</f>
        <v>S063</v>
      </c>
      <c r="D1674" s="7" t="str">
        <f>IFERROR(__xludf.DUMMYFUNCTION("""COMPUTED_VALUE"""),"User Research, Personas &amp; Usability Testing")</f>
        <v>User Research, Personas &amp; Usability Testing</v>
      </c>
    </row>
    <row r="1675">
      <c r="A1675" s="7" t="str">
        <f>IFERROR(__xludf.DUMMYFUNCTION("""COMPUTED_VALUE"""),"R42")</f>
        <v>R42</v>
      </c>
      <c r="B1675" s="7" t="str">
        <f>IFERROR(__xludf.DUMMYFUNCTION("""COMPUTED_VALUE"""),"Senior Frontend Developer")</f>
        <v>Senior Frontend Developer</v>
      </c>
      <c r="C1675" s="7" t="str">
        <f>IFERROR(__xludf.DUMMYFUNCTION("""COMPUTED_VALUE"""),"S064")</f>
        <v>S064</v>
      </c>
      <c r="D1675" s="7" t="str">
        <f>IFERROR(__xludf.DUMMYFUNCTION("""COMPUTED_VALUE"""),"Information Architecture &amp; User Flows")</f>
        <v>Information Architecture &amp; User Flows</v>
      </c>
    </row>
    <row r="1676">
      <c r="A1676" s="7" t="str">
        <f>IFERROR(__xludf.DUMMYFUNCTION("""COMPUTED_VALUE"""),"R42")</f>
        <v>R42</v>
      </c>
      <c r="B1676" s="7" t="str">
        <f>IFERROR(__xludf.DUMMYFUNCTION("""COMPUTED_VALUE"""),"Senior Frontend Developer")</f>
        <v>Senior Frontend Developer</v>
      </c>
      <c r="C1676" s="7" t="str">
        <f>IFERROR(__xludf.DUMMYFUNCTION("""COMPUTED_VALUE"""),"S065")</f>
        <v>S065</v>
      </c>
      <c r="D1676" s="7" t="str">
        <f>IFERROR(__xludf.DUMMYFUNCTION("""COMPUTED_VALUE"""),"Design Systems &amp; Component Tokens (Storybook)")</f>
        <v>Design Systems &amp; Component Tokens (Storybook)</v>
      </c>
    </row>
    <row r="1677">
      <c r="A1677" s="7" t="str">
        <f>IFERROR(__xludf.DUMMYFUNCTION("""COMPUTED_VALUE"""),"R42")</f>
        <v>R42</v>
      </c>
      <c r="B1677" s="7" t="str">
        <f>IFERROR(__xludf.DUMMYFUNCTION("""COMPUTED_VALUE"""),"Senior Frontend Developer")</f>
        <v>Senior Frontend Developer</v>
      </c>
      <c r="C1677" s="7" t="str">
        <f>IFERROR(__xludf.DUMMYFUNCTION("""COMPUTED_VALUE"""),"S072")</f>
        <v>S072</v>
      </c>
      <c r="D1677" s="7" t="str">
        <f>IFERROR(__xludf.DUMMYFUNCTION("""COMPUTED_VALUE"""),"Node.js Runtime &amp; Event Loop")</f>
        <v>Node.js Runtime &amp; Event Loop</v>
      </c>
    </row>
    <row r="1678">
      <c r="A1678" s="7" t="str">
        <f>IFERROR(__xludf.DUMMYFUNCTION("""COMPUTED_VALUE"""),"R42")</f>
        <v>R42</v>
      </c>
      <c r="B1678" s="7" t="str">
        <f>IFERROR(__xludf.DUMMYFUNCTION("""COMPUTED_VALUE"""),"Senior Frontend Developer")</f>
        <v>Senior Frontend Developer</v>
      </c>
      <c r="C1678" s="7" t="str">
        <f>IFERROR(__xludf.DUMMYFUNCTION("""COMPUTED_VALUE"""),"S086")</f>
        <v>S086</v>
      </c>
      <c r="D1678" s="7" t="str">
        <f>IFERROR(__xludf.DUMMYFUNCTION("""COMPUTED_VALUE"""),"RESTful API Design &amp; OpenAPI/Swagger")</f>
        <v>RESTful API Design &amp; OpenAPI/Swagger</v>
      </c>
    </row>
    <row r="1679">
      <c r="A1679" s="7" t="str">
        <f>IFERROR(__xludf.DUMMYFUNCTION("""COMPUTED_VALUE"""),"R42")</f>
        <v>R42</v>
      </c>
      <c r="B1679" s="7" t="str">
        <f>IFERROR(__xludf.DUMMYFUNCTION("""COMPUTED_VALUE"""),"Senior Frontend Developer")</f>
        <v>Senior Frontend Developer</v>
      </c>
      <c r="C1679" s="7" t="str">
        <f>IFERROR(__xludf.DUMMYFUNCTION("""COMPUTED_VALUE"""),"S087")</f>
        <v>S087</v>
      </c>
      <c r="D1679" s="7" t="str">
        <f>IFERROR(__xludf.DUMMYFUNCTION("""COMPUTED_VALUE"""),"GraphQL Schema &amp; Resolvers (Apollo)")</f>
        <v>GraphQL Schema &amp; Resolvers (Apollo)</v>
      </c>
    </row>
    <row r="1680">
      <c r="A1680" s="7" t="str">
        <f>IFERROR(__xludf.DUMMYFUNCTION("""COMPUTED_VALUE"""),"R42")</f>
        <v>R42</v>
      </c>
      <c r="B1680" s="7" t="str">
        <f>IFERROR(__xludf.DUMMYFUNCTION("""COMPUTED_VALUE"""),"Senior Frontend Developer")</f>
        <v>Senior Frontend Developer</v>
      </c>
      <c r="C1680" s="7" t="str">
        <f>IFERROR(__xludf.DUMMYFUNCTION("""COMPUTED_VALUE"""),"S089")</f>
        <v>S089</v>
      </c>
      <c r="D1680" s="7" t="str">
        <f>IFERROR(__xludf.DUMMYFUNCTION("""COMPUTED_VALUE"""),"WebSockets &amp; Real-Time Communication (Socket.io)")</f>
        <v>WebSockets &amp; Real-Time Communication (Socket.io)</v>
      </c>
    </row>
    <row r="1681">
      <c r="A1681" s="7" t="str">
        <f>IFERROR(__xludf.DUMMYFUNCTION("""COMPUTED_VALUE"""),"R42")</f>
        <v>R42</v>
      </c>
      <c r="B1681" s="7" t="str">
        <f>IFERROR(__xludf.DUMMYFUNCTION("""COMPUTED_VALUE"""),"Senior Frontend Developer")</f>
        <v>Senior Frontend Developer</v>
      </c>
      <c r="C1681" s="7" t="str">
        <f>IFERROR(__xludf.DUMMYFUNCTION("""COMPUTED_VALUE"""),"S091")</f>
        <v>S091</v>
      </c>
      <c r="D1681" s="7" t="str">
        <f>IFERROR(__xludf.DUMMYFUNCTION("""COMPUTED_VALUE"""),"Authentication &amp; Session Management (JWT, Cookies)")</f>
        <v>Authentication &amp; Session Management (JWT, Cookies)</v>
      </c>
    </row>
    <row r="1682">
      <c r="A1682" s="7" t="str">
        <f>IFERROR(__xludf.DUMMYFUNCTION("""COMPUTED_VALUE"""),"R42")</f>
        <v>R42</v>
      </c>
      <c r="B1682" s="7" t="str">
        <f>IFERROR(__xludf.DUMMYFUNCTION("""COMPUTED_VALUE"""),"Senior Frontend Developer")</f>
        <v>Senior Frontend Developer</v>
      </c>
      <c r="C1682" s="7" t="str">
        <f>IFERROR(__xludf.DUMMYFUNCTION("""COMPUTED_VALUE"""),"S092")</f>
        <v>S092</v>
      </c>
      <c r="D1682" s="7" t="str">
        <f>IFERROR(__xludf.DUMMYFUNCTION("""COMPUTED_VALUE"""),"OAuth 2.0, OpenID Connect (OIDC) &amp; SSO")</f>
        <v>OAuth 2.0, OpenID Connect (OIDC) &amp; SSO</v>
      </c>
    </row>
    <row r="1683">
      <c r="A1683" s="7" t="str">
        <f>IFERROR(__xludf.DUMMYFUNCTION("""COMPUTED_VALUE"""),"R42")</f>
        <v>R42</v>
      </c>
      <c r="B1683" s="7" t="str">
        <f>IFERROR(__xludf.DUMMYFUNCTION("""COMPUTED_VALUE"""),"Senior Frontend Developer")</f>
        <v>Senior Frontend Developer</v>
      </c>
      <c r="C1683" s="7" t="str">
        <f>IFERROR(__xludf.DUMMYFUNCTION("""COMPUTED_VALUE"""),"S171")</f>
        <v>S171</v>
      </c>
      <c r="D1683" s="7" t="str">
        <f>IFERROR(__xludf.DUMMYFUNCTION("""COMPUTED_VALUE"""),"Containerization with Docker")</f>
        <v>Containerization with Docker</v>
      </c>
    </row>
    <row r="1684">
      <c r="A1684" s="7" t="str">
        <f>IFERROR(__xludf.DUMMYFUNCTION("""COMPUTED_VALUE"""),"R42")</f>
        <v>R42</v>
      </c>
      <c r="B1684" s="7" t="str">
        <f>IFERROR(__xludf.DUMMYFUNCTION("""COMPUTED_VALUE"""),"Senior Frontend Developer")</f>
        <v>Senior Frontend Developer</v>
      </c>
      <c r="C1684" s="7" t="str">
        <f>IFERROR(__xludf.DUMMYFUNCTION("""COMPUTED_VALUE"""),"S180")</f>
        <v>S180</v>
      </c>
      <c r="D1684" s="7" t="str">
        <f>IFERROR(__xludf.DUMMYFUNCTION("""COMPUTED_VALUE"""),"CI/CD Pipelines with GitHub Actions")</f>
        <v>CI/CD Pipelines with GitHub Actions</v>
      </c>
    </row>
    <row r="1685">
      <c r="A1685" s="7" t="str">
        <f>IFERROR(__xludf.DUMMYFUNCTION("""COMPUTED_VALUE"""),"R42")</f>
        <v>R42</v>
      </c>
      <c r="B1685" s="7" t="str">
        <f>IFERROR(__xludf.DUMMYFUNCTION("""COMPUTED_VALUE"""),"Senior Frontend Developer")</f>
        <v>Senior Frontend Developer</v>
      </c>
      <c r="C1685" s="7" t="str">
        <f>IFERROR(__xludf.DUMMYFUNCTION("""COMPUTED_VALUE"""),"S200")</f>
        <v>S200</v>
      </c>
      <c r="D1685" s="7" t="str">
        <f>IFERROR(__xludf.DUMMYFUNCTION("""COMPUTED_VALUE"""),"Web Application Security &amp; OWASP Top 10")</f>
        <v>Web Application Security &amp; OWASP Top 10</v>
      </c>
    </row>
    <row r="1686">
      <c r="A1686" s="7" t="str">
        <f>IFERROR(__xludf.DUMMYFUNCTION("""COMPUTED_VALUE"""),"R42")</f>
        <v>R42</v>
      </c>
      <c r="B1686" s="7" t="str">
        <f>IFERROR(__xludf.DUMMYFUNCTION("""COMPUTED_VALUE"""),"Senior Frontend Developer")</f>
        <v>Senior Frontend Developer</v>
      </c>
      <c r="C1686" s="7" t="str">
        <f>IFERROR(__xludf.DUMMYFUNCTION("""COMPUTED_VALUE"""),"S219")</f>
        <v>S219</v>
      </c>
      <c r="D1686" s="7" t="str">
        <f>IFERROR(__xludf.DUMMYFUNCTION("""COMPUTED_VALUE"""),"Secure Coding Practices &amp; Threat Mitigation")</f>
        <v>Secure Coding Practices &amp; Threat Mitigation</v>
      </c>
    </row>
    <row r="1687">
      <c r="A1687" s="7" t="str">
        <f>IFERROR(__xludf.DUMMYFUNCTION("""COMPUTED_VALUE"""),"R42")</f>
        <v>R42</v>
      </c>
      <c r="B1687" s="7" t="str">
        <f>IFERROR(__xludf.DUMMYFUNCTION("""COMPUTED_VALUE"""),"Senior Frontend Developer")</f>
        <v>Senior Frontend Developer</v>
      </c>
      <c r="C1687" s="7" t="str">
        <f>IFERROR(__xludf.DUMMYFUNCTION("""COMPUTED_VALUE"""),"S243")</f>
        <v>S243</v>
      </c>
      <c r="D1687" s="7" t="str">
        <f>IFERROR(__xludf.DUMMYFUNCTION("""COMPUTED_VALUE"""),"Large-Scale System Design &amp; High-Scalability Architecture")</f>
        <v>Large-Scale System Design &amp; High-Scalability Architecture</v>
      </c>
    </row>
    <row r="1688">
      <c r="A1688" s="7" t="str">
        <f>IFERROR(__xludf.DUMMYFUNCTION("""COMPUTED_VALUE"""),"R42")</f>
        <v>R42</v>
      </c>
      <c r="B1688" s="7" t="str">
        <f>IFERROR(__xludf.DUMMYFUNCTION("""COMPUTED_VALUE"""),"Senior Frontend Developer")</f>
        <v>Senior Frontend Developer</v>
      </c>
      <c r="C1688" s="7" t="str">
        <f>IFERROR(__xludf.DUMMYFUNCTION("""COMPUTED_VALUE"""),"S246")</f>
        <v>S246</v>
      </c>
      <c r="D1688" s="7" t="str">
        <f>IFERROR(__xludf.DUMMYFUNCTION("""COMPUTED_VALUE"""),"Agile Methodologies, Scrum Framework &amp; Kanban")</f>
        <v>Agile Methodologies, Scrum Framework &amp; Kanban</v>
      </c>
    </row>
    <row r="1689">
      <c r="A1689" s="7" t="str">
        <f>IFERROR(__xludf.DUMMYFUNCTION("""COMPUTED_VALUE"""),"R42")</f>
        <v>R42</v>
      </c>
      <c r="B1689" s="7" t="str">
        <f>IFERROR(__xludf.DUMMYFUNCTION("""COMPUTED_VALUE"""),"Senior Frontend Developer")</f>
        <v>Senior Frontend Developer</v>
      </c>
      <c r="C1689" s="7" t="str">
        <f>IFERROR(__xludf.DUMMYFUNCTION("""COMPUTED_VALUE"""),"S247")</f>
        <v>S247</v>
      </c>
      <c r="D1689" s="7" t="str">
        <f>IFERROR(__xludf.DUMMYFUNCTION("""COMPUTED_VALUE"""),"Project Tracking &amp; Documentation Tools (Jira, Confluence, Linear)")</f>
        <v>Project Tracking &amp; Documentation Tools (Jira, Confluence, Linear)</v>
      </c>
    </row>
    <row r="1690">
      <c r="A1690" s="7" t="str">
        <f>IFERROR(__xludf.DUMMYFUNCTION("""COMPUTED_VALUE"""),"R42")</f>
        <v>R42</v>
      </c>
      <c r="B1690" s="7" t="str">
        <f>IFERROR(__xludf.DUMMYFUNCTION("""COMPUTED_VALUE"""),"Senior Frontend Developer")</f>
        <v>Senior Frontend Developer</v>
      </c>
      <c r="C1690" s="7" t="str">
        <f>IFERROR(__xludf.DUMMYFUNCTION("""COMPUTED_VALUE"""),"S250")</f>
        <v>S250</v>
      </c>
      <c r="D1690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691">
      <c r="A1691" s="7" t="str">
        <f>IFERROR(__xludf.DUMMYFUNCTION("""COMPUTED_VALUE"""),"R43")</f>
        <v>R43</v>
      </c>
      <c r="B1691" s="7" t="str">
        <f>IFERROR(__xludf.DUMMYFUNCTION("""COMPUTED_VALUE"""),"Junior Backend Developer")</f>
        <v>Junior Backend Developer</v>
      </c>
      <c r="C1691" s="7" t="str">
        <f>IFERROR(__xludf.DUMMYFUNCTION("""COMPUTED_VALUE"""),"S002")</f>
        <v>S002</v>
      </c>
      <c r="D1691" s="7" t="str">
        <f>IFERROR(__xludf.DUMMYFUNCTION("""COMPUTED_VALUE"""),"Operating Systems Concepts")</f>
        <v>Operating Systems Concepts</v>
      </c>
    </row>
    <row r="1692">
      <c r="A1692" s="7" t="str">
        <f>IFERROR(__xludf.DUMMYFUNCTION("""COMPUTED_VALUE"""),"R43")</f>
        <v>R43</v>
      </c>
      <c r="B1692" s="7" t="str">
        <f>IFERROR(__xludf.DUMMYFUNCTION("""COMPUTED_VALUE"""),"Junior Backend Developer")</f>
        <v>Junior Backend Developer</v>
      </c>
      <c r="C1692" s="7" t="str">
        <f>IFERROR(__xludf.DUMMYFUNCTION("""COMPUTED_VALUE"""),"S006")</f>
        <v>S006</v>
      </c>
      <c r="D1692" s="7" t="str">
        <f>IFERROR(__xludf.DUMMYFUNCTION("""COMPUTED_VALUE"""),"Basic Data Structures (Arrays, Lists, Stacks, Queues)")</f>
        <v>Basic Data Structures (Arrays, Lists, Stacks, Queues)</v>
      </c>
    </row>
    <row r="1693">
      <c r="A1693" s="7" t="str">
        <f>IFERROR(__xludf.DUMMYFUNCTION("""COMPUTED_VALUE"""),"R43")</f>
        <v>R43</v>
      </c>
      <c r="B1693" s="7" t="str">
        <f>IFERROR(__xludf.DUMMYFUNCTION("""COMPUTED_VALUE"""),"Junior Backend Developer")</f>
        <v>Junior Backend Developer</v>
      </c>
      <c r="C1693" s="7" t="str">
        <f>IFERROR(__xludf.DUMMYFUNCTION("""COMPUTED_VALUE"""),"S007")</f>
        <v>S007</v>
      </c>
      <c r="D1693" s="7" t="str">
        <f>IFERROR(__xludf.DUMMYFUNCTION("""COMPUTED_VALUE"""),"Trees &amp; Binary Search Trees")</f>
        <v>Trees &amp; Binary Search Trees</v>
      </c>
    </row>
    <row r="1694">
      <c r="A1694" s="7" t="str">
        <f>IFERROR(__xludf.DUMMYFUNCTION("""COMPUTED_VALUE"""),"R43")</f>
        <v>R43</v>
      </c>
      <c r="B1694" s="7" t="str">
        <f>IFERROR(__xludf.DUMMYFUNCTION("""COMPUTED_VALUE"""),"Junior Backend Developer")</f>
        <v>Junior Backend Developer</v>
      </c>
      <c r="C1694" s="7" t="str">
        <f>IFERROR(__xludf.DUMMYFUNCTION("""COMPUTED_VALUE"""),"S008")</f>
        <v>S008</v>
      </c>
      <c r="D1694" s="7" t="str">
        <f>IFERROR(__xludf.DUMMYFUNCTION("""COMPUTED_VALUE"""),"Heaps, Priority Queues &amp; Hashing")</f>
        <v>Heaps, Priority Queues &amp; Hashing</v>
      </c>
    </row>
    <row r="1695">
      <c r="A1695" s="7" t="str">
        <f>IFERROR(__xludf.DUMMYFUNCTION("""COMPUTED_VALUE"""),"R43")</f>
        <v>R43</v>
      </c>
      <c r="B1695" s="7" t="str">
        <f>IFERROR(__xludf.DUMMYFUNCTION("""COMPUTED_VALUE"""),"Junior Backend Developer")</f>
        <v>Junior Backend Developer</v>
      </c>
      <c r="C1695" s="7" t="str">
        <f>IFERROR(__xludf.DUMMYFUNCTION("""COMPUTED_VALUE"""),"S010")</f>
        <v>S010</v>
      </c>
      <c r="D1695" s="7" t="str">
        <f>IFERROR(__xludf.DUMMYFUNCTION("""COMPUTED_VALUE"""),"Sorting &amp; Searching Algorithms")</f>
        <v>Sorting &amp; Searching Algorithms</v>
      </c>
    </row>
    <row r="1696">
      <c r="A1696" s="7" t="str">
        <f>IFERROR(__xludf.DUMMYFUNCTION("""COMPUTED_VALUE"""),"R43")</f>
        <v>R43</v>
      </c>
      <c r="B1696" s="7" t="str">
        <f>IFERROR(__xludf.DUMMYFUNCTION("""COMPUTED_VALUE"""),"Junior Backend Developer")</f>
        <v>Junior Backend Developer</v>
      </c>
      <c r="C1696" s="7" t="str">
        <f>IFERROR(__xludf.DUMMYFUNCTION("""COMPUTED_VALUE"""),"S012")</f>
        <v>S012</v>
      </c>
      <c r="D1696" s="7" t="str">
        <f>IFERROR(__xludf.DUMMYFUNCTION("""COMPUTED_VALUE"""),"Time &amp; Space Complexity (Big-O Analysis)")</f>
        <v>Time &amp; Space Complexity (Big-O Analysis)</v>
      </c>
    </row>
    <row r="1697">
      <c r="A1697" s="7" t="str">
        <f>IFERROR(__xludf.DUMMYFUNCTION("""COMPUTED_VALUE"""),"R43")</f>
        <v>R43</v>
      </c>
      <c r="B1697" s="7" t="str">
        <f>IFERROR(__xludf.DUMMYFUNCTION("""COMPUTED_VALUE"""),"Junior Backend Developer")</f>
        <v>Junior Backend Developer</v>
      </c>
      <c r="C1697" s="7" t="str">
        <f>IFERROR(__xludf.DUMMYFUNCTION("""COMPUTED_VALUE"""),"S013")</f>
        <v>S013</v>
      </c>
      <c r="D1697" s="7" t="str">
        <f>IFERROR(__xludf.DUMMYFUNCTION("""COMPUTED_VALUE"""),"Object-Oriented Programming (OOP)")</f>
        <v>Object-Oriented Programming (OOP)</v>
      </c>
    </row>
    <row r="1698">
      <c r="A1698" s="7" t="str">
        <f>IFERROR(__xludf.DUMMYFUNCTION("""COMPUTED_VALUE"""),"R43")</f>
        <v>R43</v>
      </c>
      <c r="B1698" s="7" t="str">
        <f>IFERROR(__xludf.DUMMYFUNCTION("""COMPUTED_VALUE"""),"Junior Backend Developer")</f>
        <v>Junior Backend Developer</v>
      </c>
      <c r="C1698" s="7" t="str">
        <f>IFERROR(__xludf.DUMMYFUNCTION("""COMPUTED_VALUE"""),"S016")</f>
        <v>S016</v>
      </c>
      <c r="D1698" s="7" t="str">
        <f>IFERROR(__xludf.DUMMYFUNCTION("""COMPUTED_VALUE"""),"SOLID Principles &amp; Clean Code")</f>
        <v>SOLID Principles &amp; Clean Code</v>
      </c>
    </row>
    <row r="1699">
      <c r="A1699" s="7" t="str">
        <f>IFERROR(__xludf.DUMMYFUNCTION("""COMPUTED_VALUE"""),"R43")</f>
        <v>R43</v>
      </c>
      <c r="B1699" s="7" t="str">
        <f>IFERROR(__xludf.DUMMYFUNCTION("""COMPUTED_VALUE"""),"Junior Backend Developer")</f>
        <v>Junior Backend Developer</v>
      </c>
      <c r="C1699" s="7" t="str">
        <f>IFERROR(__xludf.DUMMYFUNCTION("""COMPUTED_VALUE"""),"S017")</f>
        <v>S017</v>
      </c>
      <c r="D1699" s="7" t="str">
        <f>IFERROR(__xludf.DUMMYFUNCTION("""COMPUTED_VALUE"""),"Git Version Control Fundamentals")</f>
        <v>Git Version Control Fundamentals</v>
      </c>
    </row>
    <row r="1700">
      <c r="A1700" s="7" t="str">
        <f>IFERROR(__xludf.DUMMYFUNCTION("""COMPUTED_VALUE"""),"R43")</f>
        <v>R43</v>
      </c>
      <c r="B1700" s="7" t="str">
        <f>IFERROR(__xludf.DUMMYFUNCTION("""COMPUTED_VALUE"""),"Junior Backend Developer")</f>
        <v>Junior Backend Developer</v>
      </c>
      <c r="C1700" s="7" t="str">
        <f>IFERROR(__xludf.DUMMYFUNCTION("""COMPUTED_VALUE"""),"S018")</f>
        <v>S018</v>
      </c>
      <c r="D1700" s="7" t="str">
        <f>IFERROR(__xludf.DUMMYFUNCTION("""COMPUTED_VALUE"""),"GitHub / GitLab Workflows &amp; Pull Requests")</f>
        <v>GitHub / GitLab Workflows &amp; Pull Requests</v>
      </c>
    </row>
    <row r="1701">
      <c r="A1701" s="7" t="str">
        <f>IFERROR(__xludf.DUMMYFUNCTION("""COMPUTED_VALUE"""),"R43")</f>
        <v>R43</v>
      </c>
      <c r="B1701" s="7" t="str">
        <f>IFERROR(__xludf.DUMMYFUNCTION("""COMPUTED_VALUE"""),"Junior Backend Developer")</f>
        <v>Junior Backend Developer</v>
      </c>
      <c r="C1701" s="7" t="str">
        <f>IFERROR(__xludf.DUMMYFUNCTION("""COMPUTED_VALUE"""),"S019")</f>
        <v>S019</v>
      </c>
      <c r="D1701" s="7" t="str">
        <f>IFERROR(__xludf.DUMMYFUNCTION("""COMPUTED_VALUE"""),"Linux Command Line &amp; File Permissions")</f>
        <v>Linux Command Line &amp; File Permissions</v>
      </c>
    </row>
    <row r="1702">
      <c r="A1702" s="7" t="str">
        <f>IFERROR(__xludf.DUMMYFUNCTION("""COMPUTED_VALUE"""),"R43")</f>
        <v>R43</v>
      </c>
      <c r="B1702" s="7" t="str">
        <f>IFERROR(__xludf.DUMMYFUNCTION("""COMPUTED_VALUE"""),"Junior Backend Developer")</f>
        <v>Junior Backend Developer</v>
      </c>
      <c r="C1702" s="7" t="str">
        <f>IFERROR(__xludf.DUMMYFUNCTION("""COMPUTED_VALUE"""),"S022")</f>
        <v>S022</v>
      </c>
      <c r="D1702" s="7" t="str">
        <f>IFERROR(__xludf.DUMMYFUNCTION("""COMPUTED_VALUE"""),"Computer Networking &amp; OSI Model")</f>
        <v>Computer Networking &amp; OSI Model</v>
      </c>
    </row>
    <row r="1703">
      <c r="A1703" s="7" t="str">
        <f>IFERROR(__xludf.DUMMYFUNCTION("""COMPUTED_VALUE"""),"R43")</f>
        <v>R43</v>
      </c>
      <c r="B1703" s="7" t="str">
        <f>IFERROR(__xludf.DUMMYFUNCTION("""COMPUTED_VALUE"""),"Junior Backend Developer")</f>
        <v>Junior Backend Developer</v>
      </c>
      <c r="C1703" s="7" t="str">
        <f>IFERROR(__xludf.DUMMYFUNCTION("""COMPUTED_VALUE"""),"S023")</f>
        <v>S023</v>
      </c>
      <c r="D1703" s="7" t="str">
        <f>IFERROR(__xludf.DUMMYFUNCTION("""COMPUTED_VALUE"""),"HTTP/HTTPS Protocols &amp; Status Codes")</f>
        <v>HTTP/HTTPS Protocols &amp; Status Codes</v>
      </c>
    </row>
    <row r="1704">
      <c r="A1704" s="7" t="str">
        <f>IFERROR(__xludf.DUMMYFUNCTION("""COMPUTED_VALUE"""),"R43")</f>
        <v>R43</v>
      </c>
      <c r="B1704" s="7" t="str">
        <f>IFERROR(__xludf.DUMMYFUNCTION("""COMPUTED_VALUE"""),"Junior Backend Developer")</f>
        <v>Junior Backend Developer</v>
      </c>
      <c r="C1704" s="7" t="str">
        <f>IFERROR(__xludf.DUMMYFUNCTION("""COMPUTED_VALUE"""),"S025")</f>
        <v>S025</v>
      </c>
      <c r="D1704" s="7" t="str">
        <f>IFERROR(__xludf.DUMMYFUNCTION("""COMPUTED_VALUE"""),"Regular Expressions (Regex)")</f>
        <v>Regular Expressions (Regex)</v>
      </c>
    </row>
    <row r="1705">
      <c r="A1705" s="7" t="str">
        <f>IFERROR(__xludf.DUMMYFUNCTION("""COMPUTED_VALUE"""),"R43")</f>
        <v>R43</v>
      </c>
      <c r="B1705" s="7" t="str">
        <f>IFERROR(__xludf.DUMMYFUNCTION("""COMPUTED_VALUE"""),"Junior Backend Developer")</f>
        <v>Junior Backend Developer</v>
      </c>
      <c r="C1705" s="7" t="str">
        <f>IFERROR(__xludf.DUMMYFUNCTION("""COMPUTED_VALUE"""),"S026")</f>
        <v>S026</v>
      </c>
      <c r="D1705" s="7" t="str">
        <f>IFERROR(__xludf.DUMMYFUNCTION("""COMPUTED_VALUE"""),"Data Serialization (JSON, XML, YAML, Protobuf)")</f>
        <v>Data Serialization (JSON, XML, YAML, Protobuf)</v>
      </c>
    </row>
    <row r="1706">
      <c r="A1706" s="7" t="str">
        <f>IFERROR(__xludf.DUMMYFUNCTION("""COMPUTED_VALUE"""),"R43")</f>
        <v>R43</v>
      </c>
      <c r="B1706" s="7" t="str">
        <f>IFERROR(__xludf.DUMMYFUNCTION("""COMPUTED_VALUE"""),"Junior Backend Developer")</f>
        <v>Junior Backend Developer</v>
      </c>
      <c r="C1706" s="7" t="str">
        <f>IFERROR(__xludf.DUMMYFUNCTION("""COMPUTED_VALUE"""),"S028")</f>
        <v>S028</v>
      </c>
      <c r="D1706" s="7" t="str">
        <f>IFERROR(__xludf.DUMMYFUNCTION("""COMPUTED_VALUE"""),"Technical Writing &amp; Markdown Documentation")</f>
        <v>Technical Writing &amp; Markdown Documentation</v>
      </c>
    </row>
    <row r="1707">
      <c r="A1707" s="7" t="str">
        <f>IFERROR(__xludf.DUMMYFUNCTION("""COMPUTED_VALUE"""),"R43")</f>
        <v>R43</v>
      </c>
      <c r="B1707" s="7" t="str">
        <f>IFERROR(__xludf.DUMMYFUNCTION("""COMPUTED_VALUE"""),"Junior Backend Developer")</f>
        <v>Junior Backend Developer</v>
      </c>
      <c r="C1707" s="7" t="str">
        <f>IFERROR(__xludf.DUMMYFUNCTION("""COMPUTED_VALUE"""),"S029")</f>
        <v>S029</v>
      </c>
      <c r="D1707" s="7" t="str">
        <f>IFERROR(__xludf.DUMMYFUNCTION("""COMPUTED_VALUE"""),"Debugging, Profiling &amp; Root Cause Analysis")</f>
        <v>Debugging, Profiling &amp; Root Cause Analysis</v>
      </c>
    </row>
    <row r="1708">
      <c r="A1708" s="7" t="str">
        <f>IFERROR(__xludf.DUMMYFUNCTION("""COMPUTED_VALUE"""),"R43")</f>
        <v>R43</v>
      </c>
      <c r="B1708" s="7" t="str">
        <f>IFERROR(__xludf.DUMMYFUNCTION("""COMPUTED_VALUE"""),"Junior Backend Developer")</f>
        <v>Junior Backend Developer</v>
      </c>
      <c r="C1708" s="7" t="str">
        <f>IFERROR(__xludf.DUMMYFUNCTION("""COMPUTED_VALUE"""),"S066")</f>
        <v>S066</v>
      </c>
      <c r="D1708" s="7" t="str">
        <f>IFERROR(__xludf.DUMMYFUNCTION("""COMPUTED_VALUE"""),"Java Programming &amp; JVM Internals")</f>
        <v>Java Programming &amp; JVM Internals</v>
      </c>
    </row>
    <row r="1709">
      <c r="A1709" s="7" t="str">
        <f>IFERROR(__xludf.DUMMYFUNCTION("""COMPUTED_VALUE"""),"R43")</f>
        <v>R43</v>
      </c>
      <c r="B1709" s="7" t="str">
        <f>IFERROR(__xludf.DUMMYFUNCTION("""COMPUTED_VALUE"""),"Junior Backend Developer")</f>
        <v>Junior Backend Developer</v>
      </c>
      <c r="C1709" s="7" t="str">
        <f>IFERROR(__xludf.DUMMYFUNCTION("""COMPUTED_VALUE"""),"S067")</f>
        <v>S067</v>
      </c>
      <c r="D1709" s="7" t="str">
        <f>IFERROR(__xludf.DUMMYFUNCTION("""COMPUTED_VALUE"""),"Spring Framework &amp; Spring Boot")</f>
        <v>Spring Framework &amp; Spring Boot</v>
      </c>
    </row>
    <row r="1710">
      <c r="A1710" s="7" t="str">
        <f>IFERROR(__xludf.DUMMYFUNCTION("""COMPUTED_VALUE"""),"R43")</f>
        <v>R43</v>
      </c>
      <c r="B1710" s="7" t="str">
        <f>IFERROR(__xludf.DUMMYFUNCTION("""COMPUTED_VALUE"""),"Junior Backend Developer")</f>
        <v>Junior Backend Developer</v>
      </c>
      <c r="C1710" s="7" t="str">
        <f>IFERROR(__xludf.DUMMYFUNCTION("""COMPUTED_VALUE"""),"S068")</f>
        <v>S068</v>
      </c>
      <c r="D1710" s="7" t="str">
        <f>IFERROR(__xludf.DUMMYFUNCTION("""COMPUTED_VALUE"""),"Python Programming Fundamentals")</f>
        <v>Python Programming Fundamentals</v>
      </c>
    </row>
    <row r="1711">
      <c r="A1711" s="7" t="str">
        <f>IFERROR(__xludf.DUMMYFUNCTION("""COMPUTED_VALUE"""),"R43")</f>
        <v>R43</v>
      </c>
      <c r="B1711" s="7" t="str">
        <f>IFERROR(__xludf.DUMMYFUNCTION("""COMPUTED_VALUE"""),"Junior Backend Developer")</f>
        <v>Junior Backend Developer</v>
      </c>
      <c r="C1711" s="7" t="str">
        <f>IFERROR(__xludf.DUMMYFUNCTION("""COMPUTED_VALUE"""),"S070")</f>
        <v>S070</v>
      </c>
      <c r="D1711" s="7" t="str">
        <f>IFERROR(__xludf.DUMMYFUNCTION("""COMPUTED_VALUE"""),"FastAPI High-Performance APIs")</f>
        <v>FastAPI High-Performance APIs</v>
      </c>
    </row>
    <row r="1712">
      <c r="A1712" s="7" t="str">
        <f>IFERROR(__xludf.DUMMYFUNCTION("""COMPUTED_VALUE"""),"R43")</f>
        <v>R43</v>
      </c>
      <c r="B1712" s="7" t="str">
        <f>IFERROR(__xludf.DUMMYFUNCTION("""COMPUTED_VALUE"""),"Junior Backend Developer")</f>
        <v>Junior Backend Developer</v>
      </c>
      <c r="C1712" s="7" t="str">
        <f>IFERROR(__xludf.DUMMYFUNCTION("""COMPUTED_VALUE"""),"S072")</f>
        <v>S072</v>
      </c>
      <c r="D1712" s="7" t="str">
        <f>IFERROR(__xludf.DUMMYFUNCTION("""COMPUTED_VALUE"""),"Node.js Runtime &amp; Event Loop")</f>
        <v>Node.js Runtime &amp; Event Loop</v>
      </c>
    </row>
    <row r="1713">
      <c r="A1713" s="7" t="str">
        <f>IFERROR(__xludf.DUMMYFUNCTION("""COMPUTED_VALUE"""),"R43")</f>
        <v>R43</v>
      </c>
      <c r="B1713" s="7" t="str">
        <f>IFERROR(__xludf.DUMMYFUNCTION("""COMPUTED_VALUE"""),"Junior Backend Developer")</f>
        <v>Junior Backend Developer</v>
      </c>
      <c r="C1713" s="7" t="str">
        <f>IFERROR(__xludf.DUMMYFUNCTION("""COMPUTED_VALUE"""),"S073")</f>
        <v>S073</v>
      </c>
      <c r="D1713" s="7" t="str">
        <f>IFERROR(__xludf.DUMMYFUNCTION("""COMPUTED_VALUE"""),"Express.js Web Framework")</f>
        <v>Express.js Web Framework</v>
      </c>
    </row>
    <row r="1714">
      <c r="A1714" s="7" t="str">
        <f>IFERROR(__xludf.DUMMYFUNCTION("""COMPUTED_VALUE"""),"R43")</f>
        <v>R43</v>
      </c>
      <c r="B1714" s="7" t="str">
        <f>IFERROR(__xludf.DUMMYFUNCTION("""COMPUTED_VALUE"""),"Junior Backend Developer")</f>
        <v>Junior Backend Developer</v>
      </c>
      <c r="C1714" s="7" t="str">
        <f>IFERROR(__xludf.DUMMYFUNCTION("""COMPUTED_VALUE"""),"S086")</f>
        <v>S086</v>
      </c>
      <c r="D1714" s="7" t="str">
        <f>IFERROR(__xludf.DUMMYFUNCTION("""COMPUTED_VALUE"""),"RESTful API Design &amp; OpenAPI/Swagger")</f>
        <v>RESTful API Design &amp; OpenAPI/Swagger</v>
      </c>
    </row>
    <row r="1715">
      <c r="A1715" s="7" t="str">
        <f>IFERROR(__xludf.DUMMYFUNCTION("""COMPUTED_VALUE"""),"R43")</f>
        <v>R43</v>
      </c>
      <c r="B1715" s="7" t="str">
        <f>IFERROR(__xludf.DUMMYFUNCTION("""COMPUTED_VALUE"""),"Junior Backend Developer")</f>
        <v>Junior Backend Developer</v>
      </c>
      <c r="C1715" s="7" t="str">
        <f>IFERROR(__xludf.DUMMYFUNCTION("""COMPUTED_VALUE"""),"S091")</f>
        <v>S091</v>
      </c>
      <c r="D1715" s="7" t="str">
        <f>IFERROR(__xludf.DUMMYFUNCTION("""COMPUTED_VALUE"""),"Authentication &amp; Session Management (JWT, Cookies)")</f>
        <v>Authentication &amp; Session Management (JWT, Cookies)</v>
      </c>
    </row>
    <row r="1716">
      <c r="A1716" s="7" t="str">
        <f>IFERROR(__xludf.DUMMYFUNCTION("""COMPUTED_VALUE"""),"R43")</f>
        <v>R43</v>
      </c>
      <c r="B1716" s="7" t="str">
        <f>IFERROR(__xludf.DUMMYFUNCTION("""COMPUTED_VALUE"""),"Junior Backend Developer")</f>
        <v>Junior Backend Developer</v>
      </c>
      <c r="C1716" s="7" t="str">
        <f>IFERROR(__xludf.DUMMYFUNCTION("""COMPUTED_VALUE"""),"S102")</f>
        <v>S102</v>
      </c>
      <c r="D1716" s="7" t="str">
        <f>IFERROR(__xludf.DUMMYFUNCTION("""COMPUTED_VALUE"""),"Backend Unit &amp; Integration Testing (JUnit, PyTest, Mocha)")</f>
        <v>Backend Unit &amp; Integration Testing (JUnit, PyTest, Mocha)</v>
      </c>
    </row>
    <row r="1717">
      <c r="A1717" s="7" t="str">
        <f>IFERROR(__xludf.DUMMYFUNCTION("""COMPUTED_VALUE"""),"R43")</f>
        <v>R43</v>
      </c>
      <c r="B1717" s="7" t="str">
        <f>IFERROR(__xludf.DUMMYFUNCTION("""COMPUTED_VALUE"""),"Junior Backend Developer")</f>
        <v>Junior Backend Developer</v>
      </c>
      <c r="C1717" s="7" t="str">
        <f>IFERROR(__xludf.DUMMYFUNCTION("""COMPUTED_VALUE"""),"S103")</f>
        <v>S103</v>
      </c>
      <c r="D1717" s="7" t="str">
        <f>IFERROR(__xludf.DUMMYFUNCTION("""COMPUTED_VALUE"""),"API Testing &amp; Contract Testing (Postman, Pact, Insomnia)")</f>
        <v>API Testing &amp; Contract Testing (Postman, Pact, Insomnia)</v>
      </c>
    </row>
    <row r="1718">
      <c r="A1718" s="7" t="str">
        <f>IFERROR(__xludf.DUMMYFUNCTION("""COMPUTED_VALUE"""),"R43")</f>
        <v>R43</v>
      </c>
      <c r="B1718" s="7" t="str">
        <f>IFERROR(__xludf.DUMMYFUNCTION("""COMPUTED_VALUE"""),"Junior Backend Developer")</f>
        <v>Junior Backend Developer</v>
      </c>
      <c r="C1718" s="7" t="str">
        <f>IFERROR(__xludf.DUMMYFUNCTION("""COMPUTED_VALUE"""),"S106")</f>
        <v>S106</v>
      </c>
      <c r="D1718" s="7" t="str">
        <f>IFERROR(__xludf.DUMMYFUNCTION("""COMPUTED_VALUE"""),"Relational Database Design &amp; Normalization (1NF-3NF)")</f>
        <v>Relational Database Design &amp; Normalization (1NF-3NF)</v>
      </c>
    </row>
    <row r="1719">
      <c r="A1719" s="7" t="str">
        <f>IFERROR(__xludf.DUMMYFUNCTION("""COMPUTED_VALUE"""),"R43")</f>
        <v>R43</v>
      </c>
      <c r="B1719" s="7" t="str">
        <f>IFERROR(__xludf.DUMMYFUNCTION("""COMPUTED_VALUE"""),"Junior Backend Developer")</f>
        <v>Junior Backend Developer</v>
      </c>
      <c r="C1719" s="7" t="str">
        <f>IFERROR(__xludf.DUMMYFUNCTION("""COMPUTED_VALUE"""),"S107")</f>
        <v>S107</v>
      </c>
      <c r="D1719" s="7" t="str">
        <f>IFERROR(__xludf.DUMMYFUNCTION("""COMPUTED_VALUE"""),"SQL Querying (Joins, Aggregations, Subqueries)")</f>
        <v>SQL Querying (Joins, Aggregations, Subqueries)</v>
      </c>
    </row>
    <row r="1720">
      <c r="A1720" s="7" t="str">
        <f>IFERROR(__xludf.DUMMYFUNCTION("""COMPUTED_VALUE"""),"R43")</f>
        <v>R43</v>
      </c>
      <c r="B1720" s="7" t="str">
        <f>IFERROR(__xludf.DUMMYFUNCTION("""COMPUTED_VALUE"""),"Junior Backend Developer")</f>
        <v>Junior Backend Developer</v>
      </c>
      <c r="C1720" s="7" t="str">
        <f>IFERROR(__xludf.DUMMYFUNCTION("""COMPUTED_VALUE"""),"S109")</f>
        <v>S109</v>
      </c>
      <c r="D1720" s="7" t="str">
        <f>IFERROR(__xludf.DUMMYFUNCTION("""COMPUTED_VALUE"""),"PostgreSQL Administration &amp; Development")</f>
        <v>PostgreSQL Administration &amp; Development</v>
      </c>
    </row>
    <row r="1721">
      <c r="A1721" s="7" t="str">
        <f>IFERROR(__xludf.DUMMYFUNCTION("""COMPUTED_VALUE"""),"R43")</f>
        <v>R43</v>
      </c>
      <c r="B1721" s="7" t="str">
        <f>IFERROR(__xludf.DUMMYFUNCTION("""COMPUTED_VALUE"""),"Junior Backend Developer")</f>
        <v>Junior Backend Developer</v>
      </c>
      <c r="C1721" s="7" t="str">
        <f>IFERROR(__xludf.DUMMYFUNCTION("""COMPUTED_VALUE"""),"S110")</f>
        <v>S110</v>
      </c>
      <c r="D1721" s="7" t="str">
        <f>IFERROR(__xludf.DUMMYFUNCTION("""COMPUTED_VALUE"""),"MySQL &amp; MariaDB Management")</f>
        <v>MySQL &amp; MariaDB Management</v>
      </c>
    </row>
    <row r="1722">
      <c r="A1722" s="7" t="str">
        <f>IFERROR(__xludf.DUMMYFUNCTION("""COMPUTED_VALUE"""),"R43")</f>
        <v>R43</v>
      </c>
      <c r="B1722" s="7" t="str">
        <f>IFERROR(__xludf.DUMMYFUNCTION("""COMPUTED_VALUE"""),"Junior Backend Developer")</f>
        <v>Junior Backend Developer</v>
      </c>
      <c r="C1722" s="7" t="str">
        <f>IFERROR(__xludf.DUMMYFUNCTION("""COMPUTED_VALUE"""),"S118")</f>
        <v>S118</v>
      </c>
      <c r="D1722" s="7" t="str">
        <f>IFERROR(__xludf.DUMMYFUNCTION("""COMPUTED_VALUE"""),"Object-Relational Mapping (ORM: Hibernate, JPA, Prisma, SQLAlchemy)")</f>
        <v>Object-Relational Mapping (ORM: Hibernate, JPA, Prisma, SQLAlchemy)</v>
      </c>
    </row>
    <row r="1723">
      <c r="A1723" s="7" t="str">
        <f>IFERROR(__xludf.DUMMYFUNCTION("""COMPUTED_VALUE"""),"R43")</f>
        <v>R43</v>
      </c>
      <c r="B1723" s="7" t="str">
        <f>IFERROR(__xludf.DUMMYFUNCTION("""COMPUTED_VALUE"""),"Junior Backend Developer")</f>
        <v>Junior Backend Developer</v>
      </c>
      <c r="C1723" s="7" t="str">
        <f>IFERROR(__xludf.DUMMYFUNCTION("""COMPUTED_VALUE"""),"S171")</f>
        <v>S171</v>
      </c>
      <c r="D1723" s="7" t="str">
        <f>IFERROR(__xludf.DUMMYFUNCTION("""COMPUTED_VALUE"""),"Containerization with Docker")</f>
        <v>Containerization with Docker</v>
      </c>
    </row>
    <row r="1724">
      <c r="A1724" s="7" t="str">
        <f>IFERROR(__xludf.DUMMYFUNCTION("""COMPUTED_VALUE"""),"R43")</f>
        <v>R43</v>
      </c>
      <c r="B1724" s="7" t="str">
        <f>IFERROR(__xludf.DUMMYFUNCTION("""COMPUTED_VALUE"""),"Junior Backend Developer")</f>
        <v>Junior Backend Developer</v>
      </c>
      <c r="C1724" s="7" t="str">
        <f>IFERROR(__xludf.DUMMYFUNCTION("""COMPUTED_VALUE"""),"S200")</f>
        <v>S200</v>
      </c>
      <c r="D1724" s="7" t="str">
        <f>IFERROR(__xludf.DUMMYFUNCTION("""COMPUTED_VALUE"""),"Web Application Security &amp; OWASP Top 10")</f>
        <v>Web Application Security &amp; OWASP Top 10</v>
      </c>
    </row>
    <row r="1725">
      <c r="A1725" s="7" t="str">
        <f>IFERROR(__xludf.DUMMYFUNCTION("""COMPUTED_VALUE"""),"R43")</f>
        <v>R43</v>
      </c>
      <c r="B1725" s="7" t="str">
        <f>IFERROR(__xludf.DUMMYFUNCTION("""COMPUTED_VALUE"""),"Junior Backend Developer")</f>
        <v>Junior Backend Developer</v>
      </c>
      <c r="C1725" s="7" t="str">
        <f>IFERROR(__xludf.DUMMYFUNCTION("""COMPUTED_VALUE"""),"S246")</f>
        <v>S246</v>
      </c>
      <c r="D1725" s="7" t="str">
        <f>IFERROR(__xludf.DUMMYFUNCTION("""COMPUTED_VALUE"""),"Agile Methodologies, Scrum Framework &amp; Kanban")</f>
        <v>Agile Methodologies, Scrum Framework &amp; Kanban</v>
      </c>
    </row>
    <row r="1726">
      <c r="A1726" s="7" t="str">
        <f>IFERROR(__xludf.DUMMYFUNCTION("""COMPUTED_VALUE"""),"R43")</f>
        <v>R43</v>
      </c>
      <c r="B1726" s="7" t="str">
        <f>IFERROR(__xludf.DUMMYFUNCTION("""COMPUTED_VALUE"""),"Junior Backend Developer")</f>
        <v>Junior Backend Developer</v>
      </c>
      <c r="C1726" s="7" t="str">
        <f>IFERROR(__xludf.DUMMYFUNCTION("""COMPUTED_VALUE"""),"S247")</f>
        <v>S247</v>
      </c>
      <c r="D1726" s="7" t="str">
        <f>IFERROR(__xludf.DUMMYFUNCTION("""COMPUTED_VALUE"""),"Project Tracking &amp; Documentation Tools (Jira, Confluence, Linear)")</f>
        <v>Project Tracking &amp; Documentation Tools (Jira, Confluence, Linear)</v>
      </c>
    </row>
    <row r="1727">
      <c r="A1727" s="7" t="str">
        <f>IFERROR(__xludf.DUMMYFUNCTION("""COMPUTED_VALUE"""),"R44")</f>
        <v>R44</v>
      </c>
      <c r="B1727" s="7" t="str">
        <f>IFERROR(__xludf.DUMMYFUNCTION("""COMPUTED_VALUE"""),"Senior Backend Developer")</f>
        <v>Senior Backend Developer</v>
      </c>
      <c r="C1727" s="7" t="str">
        <f>IFERROR(__xludf.DUMMYFUNCTION("""COMPUTED_VALUE"""),"S001")</f>
        <v>S001</v>
      </c>
      <c r="D1727" s="7" t="str">
        <f>IFERROR(__xludf.DUMMYFUNCTION("""COMPUTED_VALUE"""),"Computer Architecture &amp; Organization")</f>
        <v>Computer Architecture &amp; Organization</v>
      </c>
    </row>
    <row r="1728">
      <c r="A1728" s="7" t="str">
        <f>IFERROR(__xludf.DUMMYFUNCTION("""COMPUTED_VALUE"""),"R44")</f>
        <v>R44</v>
      </c>
      <c r="B1728" s="7" t="str">
        <f>IFERROR(__xludf.DUMMYFUNCTION("""COMPUTED_VALUE"""),"Senior Backend Developer")</f>
        <v>Senior Backend Developer</v>
      </c>
      <c r="C1728" s="7" t="str">
        <f>IFERROR(__xludf.DUMMYFUNCTION("""COMPUTED_VALUE"""),"S002")</f>
        <v>S002</v>
      </c>
      <c r="D1728" s="7" t="str">
        <f>IFERROR(__xludf.DUMMYFUNCTION("""COMPUTED_VALUE"""),"Operating Systems Concepts")</f>
        <v>Operating Systems Concepts</v>
      </c>
    </row>
    <row r="1729">
      <c r="A1729" s="7" t="str">
        <f>IFERROR(__xludf.DUMMYFUNCTION("""COMPUTED_VALUE"""),"R44")</f>
        <v>R44</v>
      </c>
      <c r="B1729" s="7" t="str">
        <f>IFERROR(__xludf.DUMMYFUNCTION("""COMPUTED_VALUE"""),"Senior Backend Developer")</f>
        <v>Senior Backend Developer</v>
      </c>
      <c r="C1729" s="7" t="str">
        <f>IFERROR(__xludf.DUMMYFUNCTION("""COMPUTED_VALUE"""),"S003")</f>
        <v>S003</v>
      </c>
      <c r="D1729" s="7" t="str">
        <f>IFERROR(__xludf.DUMMYFUNCTION("""COMPUTED_VALUE"""),"Process &amp; Thread Management")</f>
        <v>Process &amp; Thread Management</v>
      </c>
    </row>
    <row r="1730">
      <c r="A1730" s="7" t="str">
        <f>IFERROR(__xludf.DUMMYFUNCTION("""COMPUTED_VALUE"""),"R44")</f>
        <v>R44</v>
      </c>
      <c r="B1730" s="7" t="str">
        <f>IFERROR(__xludf.DUMMYFUNCTION("""COMPUTED_VALUE"""),"Senior Backend Developer")</f>
        <v>Senior Backend Developer</v>
      </c>
      <c r="C1730" s="7" t="str">
        <f>IFERROR(__xludf.DUMMYFUNCTION("""COMPUTED_VALUE"""),"S004")</f>
        <v>S004</v>
      </c>
      <c r="D1730" s="7" t="str">
        <f>IFERROR(__xludf.DUMMYFUNCTION("""COMPUTED_VALUE"""),"Memory Management &amp; Paging")</f>
        <v>Memory Management &amp; Paging</v>
      </c>
    </row>
    <row r="1731">
      <c r="A1731" s="7" t="str">
        <f>IFERROR(__xludf.DUMMYFUNCTION("""COMPUTED_VALUE"""),"R44")</f>
        <v>R44</v>
      </c>
      <c r="B1731" s="7" t="str">
        <f>IFERROR(__xludf.DUMMYFUNCTION("""COMPUTED_VALUE"""),"Senior Backend Developer")</f>
        <v>Senior Backend Developer</v>
      </c>
      <c r="C1731" s="7" t="str">
        <f>IFERROR(__xludf.DUMMYFUNCTION("""COMPUTED_VALUE"""),"S005")</f>
        <v>S005</v>
      </c>
      <c r="D1731" s="7" t="str">
        <f>IFERROR(__xludf.DUMMYFUNCTION("""COMPUTED_VALUE"""),"File Systems &amp; Storage I/O")</f>
        <v>File Systems &amp; Storage I/O</v>
      </c>
    </row>
    <row r="1732">
      <c r="A1732" s="7" t="str">
        <f>IFERROR(__xludf.DUMMYFUNCTION("""COMPUTED_VALUE"""),"R44")</f>
        <v>R44</v>
      </c>
      <c r="B1732" s="7" t="str">
        <f>IFERROR(__xludf.DUMMYFUNCTION("""COMPUTED_VALUE"""),"Senior Backend Developer")</f>
        <v>Senior Backend Developer</v>
      </c>
      <c r="C1732" s="7" t="str">
        <f>IFERROR(__xludf.DUMMYFUNCTION("""COMPUTED_VALUE"""),"S006")</f>
        <v>S006</v>
      </c>
      <c r="D1732" s="7" t="str">
        <f>IFERROR(__xludf.DUMMYFUNCTION("""COMPUTED_VALUE"""),"Basic Data Structures (Arrays, Lists, Stacks, Queues)")</f>
        <v>Basic Data Structures (Arrays, Lists, Stacks, Queues)</v>
      </c>
    </row>
    <row r="1733">
      <c r="A1733" s="7" t="str">
        <f>IFERROR(__xludf.DUMMYFUNCTION("""COMPUTED_VALUE"""),"R44")</f>
        <v>R44</v>
      </c>
      <c r="B1733" s="7" t="str">
        <f>IFERROR(__xludf.DUMMYFUNCTION("""COMPUTED_VALUE"""),"Senior Backend Developer")</f>
        <v>Senior Backend Developer</v>
      </c>
      <c r="C1733" s="7" t="str">
        <f>IFERROR(__xludf.DUMMYFUNCTION("""COMPUTED_VALUE"""),"S007")</f>
        <v>S007</v>
      </c>
      <c r="D1733" s="7" t="str">
        <f>IFERROR(__xludf.DUMMYFUNCTION("""COMPUTED_VALUE"""),"Trees &amp; Binary Search Trees")</f>
        <v>Trees &amp; Binary Search Trees</v>
      </c>
    </row>
    <row r="1734">
      <c r="A1734" s="7" t="str">
        <f>IFERROR(__xludf.DUMMYFUNCTION("""COMPUTED_VALUE"""),"R44")</f>
        <v>R44</v>
      </c>
      <c r="B1734" s="7" t="str">
        <f>IFERROR(__xludf.DUMMYFUNCTION("""COMPUTED_VALUE"""),"Senior Backend Developer")</f>
        <v>Senior Backend Developer</v>
      </c>
      <c r="C1734" s="7" t="str">
        <f>IFERROR(__xludf.DUMMYFUNCTION("""COMPUTED_VALUE"""),"S008")</f>
        <v>S008</v>
      </c>
      <c r="D1734" s="7" t="str">
        <f>IFERROR(__xludf.DUMMYFUNCTION("""COMPUTED_VALUE"""),"Heaps, Priority Queues &amp; Hashing")</f>
        <v>Heaps, Priority Queues &amp; Hashing</v>
      </c>
    </row>
    <row r="1735">
      <c r="A1735" s="7" t="str">
        <f>IFERROR(__xludf.DUMMYFUNCTION("""COMPUTED_VALUE"""),"R44")</f>
        <v>R44</v>
      </c>
      <c r="B1735" s="7" t="str">
        <f>IFERROR(__xludf.DUMMYFUNCTION("""COMPUTED_VALUE"""),"Senior Backend Developer")</f>
        <v>Senior Backend Developer</v>
      </c>
      <c r="C1735" s="7" t="str">
        <f>IFERROR(__xludf.DUMMYFUNCTION("""COMPUTED_VALUE"""),"S009")</f>
        <v>S009</v>
      </c>
      <c r="D1735" s="7" t="str">
        <f>IFERROR(__xludf.DUMMYFUNCTION("""COMPUTED_VALUE"""),"Graphs &amp; Graph Traversal (BFS/DFS)")</f>
        <v>Graphs &amp; Graph Traversal (BFS/DFS)</v>
      </c>
    </row>
    <row r="1736">
      <c r="A1736" s="7" t="str">
        <f>IFERROR(__xludf.DUMMYFUNCTION("""COMPUTED_VALUE"""),"R44")</f>
        <v>R44</v>
      </c>
      <c r="B1736" s="7" t="str">
        <f>IFERROR(__xludf.DUMMYFUNCTION("""COMPUTED_VALUE"""),"Senior Backend Developer")</f>
        <v>Senior Backend Developer</v>
      </c>
      <c r="C1736" s="7" t="str">
        <f>IFERROR(__xludf.DUMMYFUNCTION("""COMPUTED_VALUE"""),"S010")</f>
        <v>S010</v>
      </c>
      <c r="D1736" s="7" t="str">
        <f>IFERROR(__xludf.DUMMYFUNCTION("""COMPUTED_VALUE"""),"Sorting &amp; Searching Algorithms")</f>
        <v>Sorting &amp; Searching Algorithms</v>
      </c>
    </row>
    <row r="1737">
      <c r="A1737" s="7" t="str">
        <f>IFERROR(__xludf.DUMMYFUNCTION("""COMPUTED_VALUE"""),"R44")</f>
        <v>R44</v>
      </c>
      <c r="B1737" s="7" t="str">
        <f>IFERROR(__xludf.DUMMYFUNCTION("""COMPUTED_VALUE"""),"Senior Backend Developer")</f>
        <v>Senior Backend Developer</v>
      </c>
      <c r="C1737" s="7" t="str">
        <f>IFERROR(__xludf.DUMMYFUNCTION("""COMPUTED_VALUE"""),"S011")</f>
        <v>S011</v>
      </c>
      <c r="D1737" s="7" t="str">
        <f>IFERROR(__xludf.DUMMYFUNCTION("""COMPUTED_VALUE"""),"Dynamic Programming &amp; Greedy Algorithms")</f>
        <v>Dynamic Programming &amp; Greedy Algorithms</v>
      </c>
    </row>
    <row r="1738">
      <c r="A1738" s="7" t="str">
        <f>IFERROR(__xludf.DUMMYFUNCTION("""COMPUTED_VALUE"""),"R44")</f>
        <v>R44</v>
      </c>
      <c r="B1738" s="7" t="str">
        <f>IFERROR(__xludf.DUMMYFUNCTION("""COMPUTED_VALUE"""),"Senior Backend Developer")</f>
        <v>Senior Backend Developer</v>
      </c>
      <c r="C1738" s="7" t="str">
        <f>IFERROR(__xludf.DUMMYFUNCTION("""COMPUTED_VALUE"""),"S012")</f>
        <v>S012</v>
      </c>
      <c r="D1738" s="7" t="str">
        <f>IFERROR(__xludf.DUMMYFUNCTION("""COMPUTED_VALUE"""),"Time &amp; Space Complexity (Big-O Analysis)")</f>
        <v>Time &amp; Space Complexity (Big-O Analysis)</v>
      </c>
    </row>
    <row r="1739">
      <c r="A1739" s="7" t="str">
        <f>IFERROR(__xludf.DUMMYFUNCTION("""COMPUTED_VALUE"""),"R44")</f>
        <v>R44</v>
      </c>
      <c r="B1739" s="7" t="str">
        <f>IFERROR(__xludf.DUMMYFUNCTION("""COMPUTED_VALUE"""),"Senior Backend Developer")</f>
        <v>Senior Backend Developer</v>
      </c>
      <c r="C1739" s="7" t="str">
        <f>IFERROR(__xludf.DUMMYFUNCTION("""COMPUTED_VALUE"""),"S013")</f>
        <v>S013</v>
      </c>
      <c r="D1739" s="7" t="str">
        <f>IFERROR(__xludf.DUMMYFUNCTION("""COMPUTED_VALUE"""),"Object-Oriented Programming (OOP)")</f>
        <v>Object-Oriented Programming (OOP)</v>
      </c>
    </row>
    <row r="1740">
      <c r="A1740" s="7" t="str">
        <f>IFERROR(__xludf.DUMMYFUNCTION("""COMPUTED_VALUE"""),"R44")</f>
        <v>R44</v>
      </c>
      <c r="B1740" s="7" t="str">
        <f>IFERROR(__xludf.DUMMYFUNCTION("""COMPUTED_VALUE"""),"Senior Backend Developer")</f>
        <v>Senior Backend Developer</v>
      </c>
      <c r="C1740" s="7" t="str">
        <f>IFERROR(__xludf.DUMMYFUNCTION("""COMPUTED_VALUE"""),"S014")</f>
        <v>S014</v>
      </c>
      <c r="D1740" s="7" t="str">
        <f>IFERROR(__xludf.DUMMYFUNCTION("""COMPUTED_VALUE"""),"Functional Programming Concepts")</f>
        <v>Functional Programming Concepts</v>
      </c>
    </row>
    <row r="1741">
      <c r="A1741" s="7" t="str">
        <f>IFERROR(__xludf.DUMMYFUNCTION("""COMPUTED_VALUE"""),"R44")</f>
        <v>R44</v>
      </c>
      <c r="B1741" s="7" t="str">
        <f>IFERROR(__xludf.DUMMYFUNCTION("""COMPUTED_VALUE"""),"Senior Backend Developer")</f>
        <v>Senior Backend Developer</v>
      </c>
      <c r="C1741" s="7" t="str">
        <f>IFERROR(__xludf.DUMMYFUNCTION("""COMPUTED_VALUE"""),"S015")</f>
        <v>S015</v>
      </c>
      <c r="D1741" s="7" t="str">
        <f>IFERROR(__xludf.DUMMYFUNCTION("""COMPUTED_VALUE"""),"Software Design Patterns (GoF)")</f>
        <v>Software Design Patterns (GoF)</v>
      </c>
    </row>
    <row r="1742">
      <c r="A1742" s="7" t="str">
        <f>IFERROR(__xludf.DUMMYFUNCTION("""COMPUTED_VALUE"""),"R44")</f>
        <v>R44</v>
      </c>
      <c r="B1742" s="7" t="str">
        <f>IFERROR(__xludf.DUMMYFUNCTION("""COMPUTED_VALUE"""),"Senior Backend Developer")</f>
        <v>Senior Backend Developer</v>
      </c>
      <c r="C1742" s="7" t="str">
        <f>IFERROR(__xludf.DUMMYFUNCTION("""COMPUTED_VALUE"""),"S016")</f>
        <v>S016</v>
      </c>
      <c r="D1742" s="7" t="str">
        <f>IFERROR(__xludf.DUMMYFUNCTION("""COMPUTED_VALUE"""),"SOLID Principles &amp; Clean Code")</f>
        <v>SOLID Principles &amp; Clean Code</v>
      </c>
    </row>
    <row r="1743">
      <c r="A1743" s="7" t="str">
        <f>IFERROR(__xludf.DUMMYFUNCTION("""COMPUTED_VALUE"""),"R44")</f>
        <v>R44</v>
      </c>
      <c r="B1743" s="7" t="str">
        <f>IFERROR(__xludf.DUMMYFUNCTION("""COMPUTED_VALUE"""),"Senior Backend Developer")</f>
        <v>Senior Backend Developer</v>
      </c>
      <c r="C1743" s="7" t="str">
        <f>IFERROR(__xludf.DUMMYFUNCTION("""COMPUTED_VALUE"""),"S017")</f>
        <v>S017</v>
      </c>
      <c r="D1743" s="7" t="str">
        <f>IFERROR(__xludf.DUMMYFUNCTION("""COMPUTED_VALUE"""),"Git Version Control Fundamentals")</f>
        <v>Git Version Control Fundamentals</v>
      </c>
    </row>
    <row r="1744">
      <c r="A1744" s="7" t="str">
        <f>IFERROR(__xludf.DUMMYFUNCTION("""COMPUTED_VALUE"""),"R44")</f>
        <v>R44</v>
      </c>
      <c r="B1744" s="7" t="str">
        <f>IFERROR(__xludf.DUMMYFUNCTION("""COMPUTED_VALUE"""),"Senior Backend Developer")</f>
        <v>Senior Backend Developer</v>
      </c>
      <c r="C1744" s="7" t="str">
        <f>IFERROR(__xludf.DUMMYFUNCTION("""COMPUTED_VALUE"""),"S018")</f>
        <v>S018</v>
      </c>
      <c r="D1744" s="7" t="str">
        <f>IFERROR(__xludf.DUMMYFUNCTION("""COMPUTED_VALUE"""),"GitHub / GitLab Workflows &amp; Pull Requests")</f>
        <v>GitHub / GitLab Workflows &amp; Pull Requests</v>
      </c>
    </row>
    <row r="1745">
      <c r="A1745" s="7" t="str">
        <f>IFERROR(__xludf.DUMMYFUNCTION("""COMPUTED_VALUE"""),"R44")</f>
        <v>R44</v>
      </c>
      <c r="B1745" s="7" t="str">
        <f>IFERROR(__xludf.DUMMYFUNCTION("""COMPUTED_VALUE"""),"Senior Backend Developer")</f>
        <v>Senior Backend Developer</v>
      </c>
      <c r="C1745" s="7" t="str">
        <f>IFERROR(__xludf.DUMMYFUNCTION("""COMPUTED_VALUE"""),"S019")</f>
        <v>S019</v>
      </c>
      <c r="D1745" s="7" t="str">
        <f>IFERROR(__xludf.DUMMYFUNCTION("""COMPUTED_VALUE"""),"Linux Command Line &amp; File Permissions")</f>
        <v>Linux Command Line &amp; File Permissions</v>
      </c>
    </row>
    <row r="1746">
      <c r="A1746" s="7" t="str">
        <f>IFERROR(__xludf.DUMMYFUNCTION("""COMPUTED_VALUE"""),"R44")</f>
        <v>R44</v>
      </c>
      <c r="B1746" s="7" t="str">
        <f>IFERROR(__xludf.DUMMYFUNCTION("""COMPUTED_VALUE"""),"Senior Backend Developer")</f>
        <v>Senior Backend Developer</v>
      </c>
      <c r="C1746" s="7" t="str">
        <f>IFERROR(__xludf.DUMMYFUNCTION("""COMPUTED_VALUE"""),"S020")</f>
        <v>S020</v>
      </c>
      <c r="D1746" s="7" t="str">
        <f>IFERROR(__xludf.DUMMYFUNCTION("""COMPUTED_VALUE"""),"Bash &amp; Shell Scripting")</f>
        <v>Bash &amp; Shell Scripting</v>
      </c>
    </row>
    <row r="1747">
      <c r="A1747" s="7" t="str">
        <f>IFERROR(__xludf.DUMMYFUNCTION("""COMPUTED_VALUE"""),"R44")</f>
        <v>R44</v>
      </c>
      <c r="B1747" s="7" t="str">
        <f>IFERROR(__xludf.DUMMYFUNCTION("""COMPUTED_VALUE"""),"Senior Backend Developer")</f>
        <v>Senior Backend Developer</v>
      </c>
      <c r="C1747" s="7" t="str">
        <f>IFERROR(__xludf.DUMMYFUNCTION("""COMPUTED_VALUE"""),"S022")</f>
        <v>S022</v>
      </c>
      <c r="D1747" s="7" t="str">
        <f>IFERROR(__xludf.DUMMYFUNCTION("""COMPUTED_VALUE"""),"Computer Networking &amp; OSI Model")</f>
        <v>Computer Networking &amp; OSI Model</v>
      </c>
    </row>
    <row r="1748">
      <c r="A1748" s="7" t="str">
        <f>IFERROR(__xludf.DUMMYFUNCTION("""COMPUTED_VALUE"""),"R44")</f>
        <v>R44</v>
      </c>
      <c r="B1748" s="7" t="str">
        <f>IFERROR(__xludf.DUMMYFUNCTION("""COMPUTED_VALUE"""),"Senior Backend Developer")</f>
        <v>Senior Backend Developer</v>
      </c>
      <c r="C1748" s="7" t="str">
        <f>IFERROR(__xludf.DUMMYFUNCTION("""COMPUTED_VALUE"""),"S023")</f>
        <v>S023</v>
      </c>
      <c r="D1748" s="7" t="str">
        <f>IFERROR(__xludf.DUMMYFUNCTION("""COMPUTED_VALUE"""),"HTTP/HTTPS Protocols &amp; Status Codes")</f>
        <v>HTTP/HTTPS Protocols &amp; Status Codes</v>
      </c>
    </row>
    <row r="1749">
      <c r="A1749" s="7" t="str">
        <f>IFERROR(__xludf.DUMMYFUNCTION("""COMPUTED_VALUE"""),"R44")</f>
        <v>R44</v>
      </c>
      <c r="B1749" s="7" t="str">
        <f>IFERROR(__xludf.DUMMYFUNCTION("""COMPUTED_VALUE"""),"Senior Backend Developer")</f>
        <v>Senior Backend Developer</v>
      </c>
      <c r="C1749" s="7" t="str">
        <f>IFERROR(__xludf.DUMMYFUNCTION("""COMPUTED_VALUE"""),"S024")</f>
        <v>S024</v>
      </c>
      <c r="D1749" s="7" t="str">
        <f>IFERROR(__xludf.DUMMYFUNCTION("""COMPUTED_VALUE"""),"DNS, Domain Routing &amp; SSL/TLS")</f>
        <v>DNS, Domain Routing &amp; SSL/TLS</v>
      </c>
    </row>
    <row r="1750">
      <c r="A1750" s="7" t="str">
        <f>IFERROR(__xludf.DUMMYFUNCTION("""COMPUTED_VALUE"""),"R44")</f>
        <v>R44</v>
      </c>
      <c r="B1750" s="7" t="str">
        <f>IFERROR(__xludf.DUMMYFUNCTION("""COMPUTED_VALUE"""),"Senior Backend Developer")</f>
        <v>Senior Backend Developer</v>
      </c>
      <c r="C1750" s="7" t="str">
        <f>IFERROR(__xludf.DUMMYFUNCTION("""COMPUTED_VALUE"""),"S025")</f>
        <v>S025</v>
      </c>
      <c r="D1750" s="7" t="str">
        <f>IFERROR(__xludf.DUMMYFUNCTION("""COMPUTED_VALUE"""),"Regular Expressions (Regex)")</f>
        <v>Regular Expressions (Regex)</v>
      </c>
    </row>
    <row r="1751">
      <c r="A1751" s="7" t="str">
        <f>IFERROR(__xludf.DUMMYFUNCTION("""COMPUTED_VALUE"""),"R44")</f>
        <v>R44</v>
      </c>
      <c r="B1751" s="7" t="str">
        <f>IFERROR(__xludf.DUMMYFUNCTION("""COMPUTED_VALUE"""),"Senior Backend Developer")</f>
        <v>Senior Backend Developer</v>
      </c>
      <c r="C1751" s="7" t="str">
        <f>IFERROR(__xludf.DUMMYFUNCTION("""COMPUTED_VALUE"""),"S026")</f>
        <v>S026</v>
      </c>
      <c r="D1751" s="7" t="str">
        <f>IFERROR(__xludf.DUMMYFUNCTION("""COMPUTED_VALUE"""),"Data Serialization (JSON, XML, YAML, Protobuf)")</f>
        <v>Data Serialization (JSON, XML, YAML, Protobuf)</v>
      </c>
    </row>
    <row r="1752">
      <c r="A1752" s="7" t="str">
        <f>IFERROR(__xludf.DUMMYFUNCTION("""COMPUTED_VALUE"""),"R44")</f>
        <v>R44</v>
      </c>
      <c r="B1752" s="7" t="str">
        <f>IFERROR(__xludf.DUMMYFUNCTION("""COMPUTED_VALUE"""),"Senior Backend Developer")</f>
        <v>Senior Backend Developer</v>
      </c>
      <c r="C1752" s="7" t="str">
        <f>IFERROR(__xludf.DUMMYFUNCTION("""COMPUTED_VALUE"""),"S028")</f>
        <v>S028</v>
      </c>
      <c r="D1752" s="7" t="str">
        <f>IFERROR(__xludf.DUMMYFUNCTION("""COMPUTED_VALUE"""),"Technical Writing &amp; Markdown Documentation")</f>
        <v>Technical Writing &amp; Markdown Documentation</v>
      </c>
    </row>
    <row r="1753">
      <c r="A1753" s="7" t="str">
        <f>IFERROR(__xludf.DUMMYFUNCTION("""COMPUTED_VALUE"""),"R44")</f>
        <v>R44</v>
      </c>
      <c r="B1753" s="7" t="str">
        <f>IFERROR(__xludf.DUMMYFUNCTION("""COMPUTED_VALUE"""),"Senior Backend Developer")</f>
        <v>Senior Backend Developer</v>
      </c>
      <c r="C1753" s="7" t="str">
        <f>IFERROR(__xludf.DUMMYFUNCTION("""COMPUTED_VALUE"""),"S029")</f>
        <v>S029</v>
      </c>
      <c r="D1753" s="7" t="str">
        <f>IFERROR(__xludf.DUMMYFUNCTION("""COMPUTED_VALUE"""),"Debugging, Profiling &amp; Root Cause Analysis")</f>
        <v>Debugging, Profiling &amp; Root Cause Analysis</v>
      </c>
    </row>
    <row r="1754">
      <c r="A1754" s="7" t="str">
        <f>IFERROR(__xludf.DUMMYFUNCTION("""COMPUTED_VALUE"""),"R44")</f>
        <v>R44</v>
      </c>
      <c r="B1754" s="7" t="str">
        <f>IFERROR(__xludf.DUMMYFUNCTION("""COMPUTED_VALUE"""),"Senior Backend Developer")</f>
        <v>Senior Backend Developer</v>
      </c>
      <c r="C1754" s="7" t="str">
        <f>IFERROR(__xludf.DUMMYFUNCTION("""COMPUTED_VALUE"""),"S066")</f>
        <v>S066</v>
      </c>
      <c r="D1754" s="7" t="str">
        <f>IFERROR(__xludf.DUMMYFUNCTION("""COMPUTED_VALUE"""),"Java Programming &amp; JVM Internals")</f>
        <v>Java Programming &amp; JVM Internals</v>
      </c>
    </row>
    <row r="1755">
      <c r="A1755" s="7" t="str">
        <f>IFERROR(__xludf.DUMMYFUNCTION("""COMPUTED_VALUE"""),"R44")</f>
        <v>R44</v>
      </c>
      <c r="B1755" s="7" t="str">
        <f>IFERROR(__xludf.DUMMYFUNCTION("""COMPUTED_VALUE"""),"Senior Backend Developer")</f>
        <v>Senior Backend Developer</v>
      </c>
      <c r="C1755" s="7" t="str">
        <f>IFERROR(__xludf.DUMMYFUNCTION("""COMPUTED_VALUE"""),"S067")</f>
        <v>S067</v>
      </c>
      <c r="D1755" s="7" t="str">
        <f>IFERROR(__xludf.DUMMYFUNCTION("""COMPUTED_VALUE"""),"Spring Framework &amp; Spring Boot")</f>
        <v>Spring Framework &amp; Spring Boot</v>
      </c>
    </row>
    <row r="1756">
      <c r="A1756" s="7" t="str">
        <f>IFERROR(__xludf.DUMMYFUNCTION("""COMPUTED_VALUE"""),"R44")</f>
        <v>R44</v>
      </c>
      <c r="B1756" s="7" t="str">
        <f>IFERROR(__xludf.DUMMYFUNCTION("""COMPUTED_VALUE"""),"Senior Backend Developer")</f>
        <v>Senior Backend Developer</v>
      </c>
      <c r="C1756" s="7" t="str">
        <f>IFERROR(__xludf.DUMMYFUNCTION("""COMPUTED_VALUE"""),"S068")</f>
        <v>S068</v>
      </c>
      <c r="D1756" s="7" t="str">
        <f>IFERROR(__xludf.DUMMYFUNCTION("""COMPUTED_VALUE"""),"Python Programming Fundamentals")</f>
        <v>Python Programming Fundamentals</v>
      </c>
    </row>
    <row r="1757">
      <c r="A1757" s="7" t="str">
        <f>IFERROR(__xludf.DUMMYFUNCTION("""COMPUTED_VALUE"""),"R44")</f>
        <v>R44</v>
      </c>
      <c r="B1757" s="7" t="str">
        <f>IFERROR(__xludf.DUMMYFUNCTION("""COMPUTED_VALUE"""),"Senior Backend Developer")</f>
        <v>Senior Backend Developer</v>
      </c>
      <c r="C1757" s="7" t="str">
        <f>IFERROR(__xludf.DUMMYFUNCTION("""COMPUTED_VALUE"""),"S069")</f>
        <v>S069</v>
      </c>
      <c r="D1757" s="7" t="str">
        <f>IFERROR(__xludf.DUMMYFUNCTION("""COMPUTED_VALUE"""),"Django Full-Stack Framework")</f>
        <v>Django Full-Stack Framework</v>
      </c>
    </row>
    <row r="1758">
      <c r="A1758" s="7" t="str">
        <f>IFERROR(__xludf.DUMMYFUNCTION("""COMPUTED_VALUE"""),"R44")</f>
        <v>R44</v>
      </c>
      <c r="B1758" s="7" t="str">
        <f>IFERROR(__xludf.DUMMYFUNCTION("""COMPUTED_VALUE"""),"Senior Backend Developer")</f>
        <v>Senior Backend Developer</v>
      </c>
      <c r="C1758" s="7" t="str">
        <f>IFERROR(__xludf.DUMMYFUNCTION("""COMPUTED_VALUE"""),"S070")</f>
        <v>S070</v>
      </c>
      <c r="D1758" s="7" t="str">
        <f>IFERROR(__xludf.DUMMYFUNCTION("""COMPUTED_VALUE"""),"FastAPI High-Performance APIs")</f>
        <v>FastAPI High-Performance APIs</v>
      </c>
    </row>
    <row r="1759">
      <c r="A1759" s="7" t="str">
        <f>IFERROR(__xludf.DUMMYFUNCTION("""COMPUTED_VALUE"""),"R44")</f>
        <v>R44</v>
      </c>
      <c r="B1759" s="7" t="str">
        <f>IFERROR(__xludf.DUMMYFUNCTION("""COMPUTED_VALUE"""),"Senior Backend Developer")</f>
        <v>Senior Backend Developer</v>
      </c>
      <c r="C1759" s="7" t="str">
        <f>IFERROR(__xludf.DUMMYFUNCTION("""COMPUTED_VALUE"""),"S072")</f>
        <v>S072</v>
      </c>
      <c r="D1759" s="7" t="str">
        <f>IFERROR(__xludf.DUMMYFUNCTION("""COMPUTED_VALUE"""),"Node.js Runtime &amp; Event Loop")</f>
        <v>Node.js Runtime &amp; Event Loop</v>
      </c>
    </row>
    <row r="1760">
      <c r="A1760" s="7" t="str">
        <f>IFERROR(__xludf.DUMMYFUNCTION("""COMPUTED_VALUE"""),"R44")</f>
        <v>R44</v>
      </c>
      <c r="B1760" s="7" t="str">
        <f>IFERROR(__xludf.DUMMYFUNCTION("""COMPUTED_VALUE"""),"Senior Backend Developer")</f>
        <v>Senior Backend Developer</v>
      </c>
      <c r="C1760" s="7" t="str">
        <f>IFERROR(__xludf.DUMMYFUNCTION("""COMPUTED_VALUE"""),"S073")</f>
        <v>S073</v>
      </c>
      <c r="D1760" s="7" t="str">
        <f>IFERROR(__xludf.DUMMYFUNCTION("""COMPUTED_VALUE"""),"Express.js Web Framework")</f>
        <v>Express.js Web Framework</v>
      </c>
    </row>
    <row r="1761">
      <c r="A1761" s="7" t="str">
        <f>IFERROR(__xludf.DUMMYFUNCTION("""COMPUTED_VALUE"""),"R44")</f>
        <v>R44</v>
      </c>
      <c r="B1761" s="7" t="str">
        <f>IFERROR(__xludf.DUMMYFUNCTION("""COMPUTED_VALUE"""),"Senior Backend Developer")</f>
        <v>Senior Backend Developer</v>
      </c>
      <c r="C1761" s="7" t="str">
        <f>IFERROR(__xludf.DUMMYFUNCTION("""COMPUTED_VALUE"""),"S074")</f>
        <v>S074</v>
      </c>
      <c r="D1761" s="7" t="str">
        <f>IFERROR(__xludf.DUMMYFUNCTION("""COMPUTED_VALUE"""),"NestJS Enterprise Node Framework")</f>
        <v>NestJS Enterprise Node Framework</v>
      </c>
    </row>
    <row r="1762">
      <c r="A1762" s="7" t="str">
        <f>IFERROR(__xludf.DUMMYFUNCTION("""COMPUTED_VALUE"""),"R44")</f>
        <v>R44</v>
      </c>
      <c r="B1762" s="7" t="str">
        <f>IFERROR(__xludf.DUMMYFUNCTION("""COMPUTED_VALUE"""),"Senior Backend Developer")</f>
        <v>Senior Backend Developer</v>
      </c>
      <c r="C1762" s="7" t="str">
        <f>IFERROR(__xludf.DUMMYFUNCTION("""COMPUTED_VALUE"""),"S077")</f>
        <v>S077</v>
      </c>
      <c r="D1762" s="7" t="str">
        <f>IFERROR(__xludf.DUMMYFUNCTION("""COMPUTED_VALUE"""),"Go (Golang) Programming")</f>
        <v>Go (Golang) Programming</v>
      </c>
    </row>
    <row r="1763">
      <c r="A1763" s="7" t="str">
        <f>IFERROR(__xludf.DUMMYFUNCTION("""COMPUTED_VALUE"""),"R44")</f>
        <v>R44</v>
      </c>
      <c r="B1763" s="7" t="str">
        <f>IFERROR(__xludf.DUMMYFUNCTION("""COMPUTED_VALUE"""),"Senior Backend Developer")</f>
        <v>Senior Backend Developer</v>
      </c>
      <c r="C1763" s="7" t="str">
        <f>IFERROR(__xludf.DUMMYFUNCTION("""COMPUTED_VALUE"""),"S078")</f>
        <v>S078</v>
      </c>
      <c r="D1763" s="7" t="str">
        <f>IFERROR(__xludf.DUMMYFUNCTION("""COMPUTED_VALUE"""),"Rust Systems &amp; Web Programming")</f>
        <v>Rust Systems &amp; Web Programming</v>
      </c>
    </row>
    <row r="1764">
      <c r="A1764" s="7" t="str">
        <f>IFERROR(__xludf.DUMMYFUNCTION("""COMPUTED_VALUE"""),"R44")</f>
        <v>R44</v>
      </c>
      <c r="B1764" s="7" t="str">
        <f>IFERROR(__xludf.DUMMYFUNCTION("""COMPUTED_VALUE"""),"Senior Backend Developer")</f>
        <v>Senior Backend Developer</v>
      </c>
      <c r="C1764" s="7" t="str">
        <f>IFERROR(__xludf.DUMMYFUNCTION("""COMPUTED_VALUE"""),"S086")</f>
        <v>S086</v>
      </c>
      <c r="D1764" s="7" t="str">
        <f>IFERROR(__xludf.DUMMYFUNCTION("""COMPUTED_VALUE"""),"RESTful API Design &amp; OpenAPI/Swagger")</f>
        <v>RESTful API Design &amp; OpenAPI/Swagger</v>
      </c>
    </row>
    <row r="1765">
      <c r="A1765" s="7" t="str">
        <f>IFERROR(__xludf.DUMMYFUNCTION("""COMPUTED_VALUE"""),"R44")</f>
        <v>R44</v>
      </c>
      <c r="B1765" s="7" t="str">
        <f>IFERROR(__xludf.DUMMYFUNCTION("""COMPUTED_VALUE"""),"Senior Backend Developer")</f>
        <v>Senior Backend Developer</v>
      </c>
      <c r="C1765" s="7" t="str">
        <f>IFERROR(__xludf.DUMMYFUNCTION("""COMPUTED_VALUE"""),"S087")</f>
        <v>S087</v>
      </c>
      <c r="D1765" s="7" t="str">
        <f>IFERROR(__xludf.DUMMYFUNCTION("""COMPUTED_VALUE"""),"GraphQL Schema &amp; Resolvers (Apollo)")</f>
        <v>GraphQL Schema &amp; Resolvers (Apollo)</v>
      </c>
    </row>
    <row r="1766">
      <c r="A1766" s="7" t="str">
        <f>IFERROR(__xludf.DUMMYFUNCTION("""COMPUTED_VALUE"""),"R44")</f>
        <v>R44</v>
      </c>
      <c r="B1766" s="7" t="str">
        <f>IFERROR(__xludf.DUMMYFUNCTION("""COMPUTED_VALUE"""),"Senior Backend Developer")</f>
        <v>Senior Backend Developer</v>
      </c>
      <c r="C1766" s="7" t="str">
        <f>IFERROR(__xludf.DUMMYFUNCTION("""COMPUTED_VALUE"""),"S088")</f>
        <v>S088</v>
      </c>
      <c r="D1766" s="7" t="str">
        <f>IFERROR(__xludf.DUMMYFUNCTION("""COMPUTED_VALUE"""),"gRPC &amp; Protocol Buffers")</f>
        <v>gRPC &amp; Protocol Buffers</v>
      </c>
    </row>
    <row r="1767">
      <c r="A1767" s="7" t="str">
        <f>IFERROR(__xludf.DUMMYFUNCTION("""COMPUTED_VALUE"""),"R44")</f>
        <v>R44</v>
      </c>
      <c r="B1767" s="7" t="str">
        <f>IFERROR(__xludf.DUMMYFUNCTION("""COMPUTED_VALUE"""),"Senior Backend Developer")</f>
        <v>Senior Backend Developer</v>
      </c>
      <c r="C1767" s="7" t="str">
        <f>IFERROR(__xludf.DUMMYFUNCTION("""COMPUTED_VALUE"""),"S089")</f>
        <v>S089</v>
      </c>
      <c r="D1767" s="7" t="str">
        <f>IFERROR(__xludf.DUMMYFUNCTION("""COMPUTED_VALUE"""),"WebSockets &amp; Real-Time Communication (Socket.io)")</f>
        <v>WebSockets &amp; Real-Time Communication (Socket.io)</v>
      </c>
    </row>
    <row r="1768">
      <c r="A1768" s="7" t="str">
        <f>IFERROR(__xludf.DUMMYFUNCTION("""COMPUTED_VALUE"""),"R44")</f>
        <v>R44</v>
      </c>
      <c r="B1768" s="7" t="str">
        <f>IFERROR(__xludf.DUMMYFUNCTION("""COMPUTED_VALUE"""),"Senior Backend Developer")</f>
        <v>Senior Backend Developer</v>
      </c>
      <c r="C1768" s="7" t="str">
        <f>IFERROR(__xludf.DUMMYFUNCTION("""COMPUTED_VALUE"""),"S090")</f>
        <v>S090</v>
      </c>
      <c r="D1768" s="7" t="str">
        <f>IFERROR(__xludf.DUMMYFUNCTION("""COMPUTED_VALUE"""),"Webhook Architecture &amp; Event Callbacks")</f>
        <v>Webhook Architecture &amp; Event Callbacks</v>
      </c>
    </row>
    <row r="1769">
      <c r="A1769" s="7" t="str">
        <f>IFERROR(__xludf.DUMMYFUNCTION("""COMPUTED_VALUE"""),"R44")</f>
        <v>R44</v>
      </c>
      <c r="B1769" s="7" t="str">
        <f>IFERROR(__xludf.DUMMYFUNCTION("""COMPUTED_VALUE"""),"Senior Backend Developer")</f>
        <v>Senior Backend Developer</v>
      </c>
      <c r="C1769" s="7" t="str">
        <f>IFERROR(__xludf.DUMMYFUNCTION("""COMPUTED_VALUE"""),"S091")</f>
        <v>S091</v>
      </c>
      <c r="D1769" s="7" t="str">
        <f>IFERROR(__xludf.DUMMYFUNCTION("""COMPUTED_VALUE"""),"Authentication &amp; Session Management (JWT, Cookies)")</f>
        <v>Authentication &amp; Session Management (JWT, Cookies)</v>
      </c>
    </row>
    <row r="1770">
      <c r="A1770" s="7" t="str">
        <f>IFERROR(__xludf.DUMMYFUNCTION("""COMPUTED_VALUE"""),"R44")</f>
        <v>R44</v>
      </c>
      <c r="B1770" s="7" t="str">
        <f>IFERROR(__xludf.DUMMYFUNCTION("""COMPUTED_VALUE"""),"Senior Backend Developer")</f>
        <v>Senior Backend Developer</v>
      </c>
      <c r="C1770" s="7" t="str">
        <f>IFERROR(__xludf.DUMMYFUNCTION("""COMPUTED_VALUE"""),"S092")</f>
        <v>S092</v>
      </c>
      <c r="D1770" s="7" t="str">
        <f>IFERROR(__xludf.DUMMYFUNCTION("""COMPUTED_VALUE"""),"OAuth 2.0, OpenID Connect (OIDC) &amp; SSO")</f>
        <v>OAuth 2.0, OpenID Connect (OIDC) &amp; SSO</v>
      </c>
    </row>
    <row r="1771">
      <c r="A1771" s="7" t="str">
        <f>IFERROR(__xludf.DUMMYFUNCTION("""COMPUTED_VALUE"""),"R44")</f>
        <v>R44</v>
      </c>
      <c r="B1771" s="7" t="str">
        <f>IFERROR(__xludf.DUMMYFUNCTION("""COMPUTED_VALUE"""),"Senior Backend Developer")</f>
        <v>Senior Backend Developer</v>
      </c>
      <c r="C1771" s="7" t="str">
        <f>IFERROR(__xludf.DUMMYFUNCTION("""COMPUTED_VALUE"""),"S093")</f>
        <v>S093</v>
      </c>
      <c r="D1771" s="7" t="str">
        <f>IFERROR(__xludf.DUMMYFUNCTION("""COMPUTED_VALUE"""),"Role-Based &amp; Attribute-Based Access Control (RBAC/ABAC)")</f>
        <v>Role-Based &amp; Attribute-Based Access Control (RBAC/ABAC)</v>
      </c>
    </row>
    <row r="1772">
      <c r="A1772" s="7" t="str">
        <f>IFERROR(__xludf.DUMMYFUNCTION("""COMPUTED_VALUE"""),"R44")</f>
        <v>R44</v>
      </c>
      <c r="B1772" s="7" t="str">
        <f>IFERROR(__xludf.DUMMYFUNCTION("""COMPUTED_VALUE"""),"Senior Backend Developer")</f>
        <v>Senior Backend Developer</v>
      </c>
      <c r="C1772" s="7" t="str">
        <f>IFERROR(__xludf.DUMMYFUNCTION("""COMPUTED_VALUE"""),"S094")</f>
        <v>S094</v>
      </c>
      <c r="D1772" s="7" t="str">
        <f>IFERROR(__xludf.DUMMYFUNCTION("""COMPUTED_VALUE"""),"API Gateways, Rate Limiting &amp; Throttling (Kong, Envoy)")</f>
        <v>API Gateways, Rate Limiting &amp; Throttling (Kong, Envoy)</v>
      </c>
    </row>
    <row r="1773">
      <c r="A1773" s="7" t="str">
        <f>IFERROR(__xludf.DUMMYFUNCTION("""COMPUTED_VALUE"""),"R44")</f>
        <v>R44</v>
      </c>
      <c r="B1773" s="7" t="str">
        <f>IFERROR(__xludf.DUMMYFUNCTION("""COMPUTED_VALUE"""),"Senior Backend Developer")</f>
        <v>Senior Backend Developer</v>
      </c>
      <c r="C1773" s="7" t="str">
        <f>IFERROR(__xludf.DUMMYFUNCTION("""COMPUTED_VALUE"""),"S095")</f>
        <v>S095</v>
      </c>
      <c r="D1773" s="7" t="str">
        <f>IFERROR(__xludf.DUMMYFUNCTION("""COMPUTED_VALUE"""),"Microservices Architecture &amp; Service Mesh")</f>
        <v>Microservices Architecture &amp; Service Mesh</v>
      </c>
    </row>
    <row r="1774">
      <c r="A1774" s="7" t="str">
        <f>IFERROR(__xludf.DUMMYFUNCTION("""COMPUTED_VALUE"""),"R44")</f>
        <v>R44</v>
      </c>
      <c r="B1774" s="7" t="str">
        <f>IFERROR(__xludf.DUMMYFUNCTION("""COMPUTED_VALUE"""),"Senior Backend Developer")</f>
        <v>Senior Backend Developer</v>
      </c>
      <c r="C1774" s="7" t="str">
        <f>IFERROR(__xludf.DUMMYFUNCTION("""COMPUTED_VALUE"""),"S096")</f>
        <v>S096</v>
      </c>
      <c r="D1774" s="7" t="str">
        <f>IFERROR(__xludf.DUMMYFUNCTION("""COMPUTED_VALUE"""),"Event-Driven Architecture &amp; Pub/Sub Patterns")</f>
        <v>Event-Driven Architecture &amp; Pub/Sub Patterns</v>
      </c>
    </row>
    <row r="1775">
      <c r="A1775" s="7" t="str">
        <f>IFERROR(__xludf.DUMMYFUNCTION("""COMPUTED_VALUE"""),"R44")</f>
        <v>R44</v>
      </c>
      <c r="B1775" s="7" t="str">
        <f>IFERROR(__xludf.DUMMYFUNCTION("""COMPUTED_VALUE"""),"Senior Backend Developer")</f>
        <v>Senior Backend Developer</v>
      </c>
      <c r="C1775" s="7" t="str">
        <f>IFERROR(__xludf.DUMMYFUNCTION("""COMPUTED_VALUE"""),"S097")</f>
        <v>S097</v>
      </c>
      <c r="D1775" s="7" t="str">
        <f>IFERROR(__xludf.DUMMYFUNCTION("""COMPUTED_VALUE"""),"Message Brokers &amp; Queues (RabbitMQ, ActiveMQ)")</f>
        <v>Message Brokers &amp; Queues (RabbitMQ, ActiveMQ)</v>
      </c>
    </row>
    <row r="1776">
      <c r="A1776" s="7" t="str">
        <f>IFERROR(__xludf.DUMMYFUNCTION("""COMPUTED_VALUE"""),"R44")</f>
        <v>R44</v>
      </c>
      <c r="B1776" s="7" t="str">
        <f>IFERROR(__xludf.DUMMYFUNCTION("""COMPUTED_VALUE"""),"Senior Backend Developer")</f>
        <v>Senior Backend Developer</v>
      </c>
      <c r="C1776" s="7" t="str">
        <f>IFERROR(__xludf.DUMMYFUNCTION("""COMPUTED_VALUE"""),"S098")</f>
        <v>S098</v>
      </c>
      <c r="D1776" s="7" t="str">
        <f>IFERROR(__xludf.DUMMYFUNCTION("""COMPUTED_VALUE"""),"Distributed Event Streaming (Apache Kafka)")</f>
        <v>Distributed Event Streaming (Apache Kafka)</v>
      </c>
    </row>
    <row r="1777">
      <c r="A1777" s="7" t="str">
        <f>IFERROR(__xludf.DUMMYFUNCTION("""COMPUTED_VALUE"""),"R44")</f>
        <v>R44</v>
      </c>
      <c r="B1777" s="7" t="str">
        <f>IFERROR(__xludf.DUMMYFUNCTION("""COMPUTED_VALUE"""),"Senior Backend Developer")</f>
        <v>Senior Backend Developer</v>
      </c>
      <c r="C1777" s="7" t="str">
        <f>IFERROR(__xludf.DUMMYFUNCTION("""COMPUTED_VALUE"""),"S099")</f>
        <v>S099</v>
      </c>
      <c r="D1777" s="7" t="str">
        <f>IFERROR(__xludf.DUMMYFUNCTION("""COMPUTED_VALUE"""),"Backend Caching Strategies (In-Memory, CDN, Write-Through)")</f>
        <v>Backend Caching Strategies (In-Memory, CDN, Write-Through)</v>
      </c>
    </row>
    <row r="1778">
      <c r="A1778" s="7" t="str">
        <f>IFERROR(__xludf.DUMMYFUNCTION("""COMPUTED_VALUE"""),"R44")</f>
        <v>R44</v>
      </c>
      <c r="B1778" s="7" t="str">
        <f>IFERROR(__xludf.DUMMYFUNCTION("""COMPUTED_VALUE"""),"Senior Backend Developer")</f>
        <v>Senior Backend Developer</v>
      </c>
      <c r="C1778" s="7" t="str">
        <f>IFERROR(__xludf.DUMMYFUNCTION("""COMPUTED_VALUE"""),"S100")</f>
        <v>S100</v>
      </c>
      <c r="D1778" s="7" t="str">
        <f>IFERROR(__xludf.DUMMYFUNCTION("""COMPUTED_VALUE"""),"Multithreading, Concurrency &amp; Parallel Processing")</f>
        <v>Multithreading, Concurrency &amp; Parallel Processing</v>
      </c>
    </row>
    <row r="1779">
      <c r="A1779" s="7" t="str">
        <f>IFERROR(__xludf.DUMMYFUNCTION("""COMPUTED_VALUE"""),"R44")</f>
        <v>R44</v>
      </c>
      <c r="B1779" s="7" t="str">
        <f>IFERROR(__xludf.DUMMYFUNCTION("""COMPUTED_VALUE"""),"Senior Backend Developer")</f>
        <v>Senior Backend Developer</v>
      </c>
      <c r="C1779" s="7" t="str">
        <f>IFERROR(__xludf.DUMMYFUNCTION("""COMPUTED_VALUE"""),"S101")</f>
        <v>S101</v>
      </c>
      <c r="D1779" s="7" t="str">
        <f>IFERROR(__xludf.DUMMYFUNCTION("""COMPUTED_VALUE"""),"Background Jobs &amp; Task Queues (Celery, BullMQ)")</f>
        <v>Background Jobs &amp; Task Queues (Celery, BullMQ)</v>
      </c>
    </row>
    <row r="1780">
      <c r="A1780" s="7" t="str">
        <f>IFERROR(__xludf.DUMMYFUNCTION("""COMPUTED_VALUE"""),"R44")</f>
        <v>R44</v>
      </c>
      <c r="B1780" s="7" t="str">
        <f>IFERROR(__xludf.DUMMYFUNCTION("""COMPUTED_VALUE"""),"Senior Backend Developer")</f>
        <v>Senior Backend Developer</v>
      </c>
      <c r="C1780" s="7" t="str">
        <f>IFERROR(__xludf.DUMMYFUNCTION("""COMPUTED_VALUE"""),"S102")</f>
        <v>S102</v>
      </c>
      <c r="D1780" s="7" t="str">
        <f>IFERROR(__xludf.DUMMYFUNCTION("""COMPUTED_VALUE"""),"Backend Unit &amp; Integration Testing (JUnit, PyTest, Mocha)")</f>
        <v>Backend Unit &amp; Integration Testing (JUnit, PyTest, Mocha)</v>
      </c>
    </row>
    <row r="1781">
      <c r="A1781" s="7" t="str">
        <f>IFERROR(__xludf.DUMMYFUNCTION("""COMPUTED_VALUE"""),"R44")</f>
        <v>R44</v>
      </c>
      <c r="B1781" s="7" t="str">
        <f>IFERROR(__xludf.DUMMYFUNCTION("""COMPUTED_VALUE"""),"Senior Backend Developer")</f>
        <v>Senior Backend Developer</v>
      </c>
      <c r="C1781" s="7" t="str">
        <f>IFERROR(__xludf.DUMMYFUNCTION("""COMPUTED_VALUE"""),"S103")</f>
        <v>S103</v>
      </c>
      <c r="D1781" s="7" t="str">
        <f>IFERROR(__xludf.DUMMYFUNCTION("""COMPUTED_VALUE"""),"API Testing &amp; Contract Testing (Postman, Pact, Insomnia)")</f>
        <v>API Testing &amp; Contract Testing (Postman, Pact, Insomnia)</v>
      </c>
    </row>
    <row r="1782">
      <c r="A1782" s="7" t="str">
        <f>IFERROR(__xludf.DUMMYFUNCTION("""COMPUTED_VALUE"""),"R44")</f>
        <v>R44</v>
      </c>
      <c r="B1782" s="7" t="str">
        <f>IFERROR(__xludf.DUMMYFUNCTION("""COMPUTED_VALUE"""),"Senior Backend Developer")</f>
        <v>Senior Backend Developer</v>
      </c>
      <c r="C1782" s="7" t="str">
        <f>IFERROR(__xludf.DUMMYFUNCTION("""COMPUTED_VALUE"""),"S104")</f>
        <v>S104</v>
      </c>
      <c r="D1782" s="7" t="str">
        <f>IFERROR(__xludf.DUMMYFUNCTION("""COMPUTED_VALUE"""),"Load &amp; Performance Testing (JMeter, k6, Locust)")</f>
        <v>Load &amp; Performance Testing (JMeter, k6, Locust)</v>
      </c>
    </row>
    <row r="1783">
      <c r="A1783" s="7" t="str">
        <f>IFERROR(__xludf.DUMMYFUNCTION("""COMPUTED_VALUE"""),"R44")</f>
        <v>R44</v>
      </c>
      <c r="B1783" s="7" t="str">
        <f>IFERROR(__xludf.DUMMYFUNCTION("""COMPUTED_VALUE"""),"Senior Backend Developer")</f>
        <v>Senior Backend Developer</v>
      </c>
      <c r="C1783" s="7" t="str">
        <f>IFERROR(__xludf.DUMMYFUNCTION("""COMPUTED_VALUE"""),"S105")</f>
        <v>S105</v>
      </c>
      <c r="D1783" s="7" t="str">
        <f>IFERROR(__xludf.DUMMYFUNCTION("""COMPUTED_VALUE"""),"Search Engines &amp; Full-Text Search (Elasticsearch, Algolia)")</f>
        <v>Search Engines &amp; Full-Text Search (Elasticsearch, Algolia)</v>
      </c>
    </row>
    <row r="1784">
      <c r="A1784" s="7" t="str">
        <f>IFERROR(__xludf.DUMMYFUNCTION("""COMPUTED_VALUE"""),"R44")</f>
        <v>R44</v>
      </c>
      <c r="B1784" s="7" t="str">
        <f>IFERROR(__xludf.DUMMYFUNCTION("""COMPUTED_VALUE"""),"Senior Backend Developer")</f>
        <v>Senior Backend Developer</v>
      </c>
      <c r="C1784" s="7" t="str">
        <f>IFERROR(__xludf.DUMMYFUNCTION("""COMPUTED_VALUE"""),"S106")</f>
        <v>S106</v>
      </c>
      <c r="D1784" s="7" t="str">
        <f>IFERROR(__xludf.DUMMYFUNCTION("""COMPUTED_VALUE"""),"Relational Database Design &amp; Normalization (1NF-3NF)")</f>
        <v>Relational Database Design &amp; Normalization (1NF-3NF)</v>
      </c>
    </row>
    <row r="1785">
      <c r="A1785" s="7" t="str">
        <f>IFERROR(__xludf.DUMMYFUNCTION("""COMPUTED_VALUE"""),"R44")</f>
        <v>R44</v>
      </c>
      <c r="B1785" s="7" t="str">
        <f>IFERROR(__xludf.DUMMYFUNCTION("""COMPUTED_VALUE"""),"Senior Backend Developer")</f>
        <v>Senior Backend Developer</v>
      </c>
      <c r="C1785" s="7" t="str">
        <f>IFERROR(__xludf.DUMMYFUNCTION("""COMPUTED_VALUE"""),"S107")</f>
        <v>S107</v>
      </c>
      <c r="D1785" s="7" t="str">
        <f>IFERROR(__xludf.DUMMYFUNCTION("""COMPUTED_VALUE"""),"SQL Querying (Joins, Aggregations, Subqueries)")</f>
        <v>SQL Querying (Joins, Aggregations, Subqueries)</v>
      </c>
    </row>
    <row r="1786">
      <c r="A1786" s="7" t="str">
        <f>IFERROR(__xludf.DUMMYFUNCTION("""COMPUTED_VALUE"""),"R44")</f>
        <v>R44</v>
      </c>
      <c r="B1786" s="7" t="str">
        <f>IFERROR(__xludf.DUMMYFUNCTION("""COMPUTED_VALUE"""),"Senior Backend Developer")</f>
        <v>Senior Backend Developer</v>
      </c>
      <c r="C1786" s="7" t="str">
        <f>IFERROR(__xludf.DUMMYFUNCTION("""COMPUTED_VALUE"""),"S108")</f>
        <v>S108</v>
      </c>
      <c r="D1786" s="7" t="str">
        <f>IFERROR(__xludf.DUMMYFUNCTION("""COMPUTED_VALUE"""),"Advanced SQL (Window Functions, CTEs, Stored Procedures)")</f>
        <v>Advanced SQL (Window Functions, CTEs, Stored Procedures)</v>
      </c>
    </row>
    <row r="1787">
      <c r="A1787" s="7" t="str">
        <f>IFERROR(__xludf.DUMMYFUNCTION("""COMPUTED_VALUE"""),"R44")</f>
        <v>R44</v>
      </c>
      <c r="B1787" s="7" t="str">
        <f>IFERROR(__xludf.DUMMYFUNCTION("""COMPUTED_VALUE"""),"Senior Backend Developer")</f>
        <v>Senior Backend Developer</v>
      </c>
      <c r="C1787" s="7" t="str">
        <f>IFERROR(__xludf.DUMMYFUNCTION("""COMPUTED_VALUE"""),"S109")</f>
        <v>S109</v>
      </c>
      <c r="D1787" s="7" t="str">
        <f>IFERROR(__xludf.DUMMYFUNCTION("""COMPUTED_VALUE"""),"PostgreSQL Administration &amp; Development")</f>
        <v>PostgreSQL Administration &amp; Development</v>
      </c>
    </row>
    <row r="1788">
      <c r="A1788" s="7" t="str">
        <f>IFERROR(__xludf.DUMMYFUNCTION("""COMPUTED_VALUE"""),"R44")</f>
        <v>R44</v>
      </c>
      <c r="B1788" s="7" t="str">
        <f>IFERROR(__xludf.DUMMYFUNCTION("""COMPUTED_VALUE"""),"Senior Backend Developer")</f>
        <v>Senior Backend Developer</v>
      </c>
      <c r="C1788" s="7" t="str">
        <f>IFERROR(__xludf.DUMMYFUNCTION("""COMPUTED_VALUE"""),"S110")</f>
        <v>S110</v>
      </c>
      <c r="D1788" s="7" t="str">
        <f>IFERROR(__xludf.DUMMYFUNCTION("""COMPUTED_VALUE"""),"MySQL &amp; MariaDB Management")</f>
        <v>MySQL &amp; MariaDB Management</v>
      </c>
    </row>
    <row r="1789">
      <c r="A1789" s="7" t="str">
        <f>IFERROR(__xludf.DUMMYFUNCTION("""COMPUTED_VALUE"""),"R44")</f>
        <v>R44</v>
      </c>
      <c r="B1789" s="7" t="str">
        <f>IFERROR(__xludf.DUMMYFUNCTION("""COMPUTED_VALUE"""),"Senior Backend Developer")</f>
        <v>Senior Backend Developer</v>
      </c>
      <c r="C1789" s="7" t="str">
        <f>IFERROR(__xludf.DUMMYFUNCTION("""COMPUTED_VALUE"""),"S114")</f>
        <v>S114</v>
      </c>
      <c r="D1789" s="7" t="str">
        <f>IFERROR(__xludf.DUMMYFUNCTION("""COMPUTED_VALUE"""),"Database Indexing, Query Plans &amp; Optimization")</f>
        <v>Database Indexing, Query Plans &amp; Optimization</v>
      </c>
    </row>
    <row r="1790">
      <c r="A1790" s="7" t="str">
        <f>IFERROR(__xludf.DUMMYFUNCTION("""COMPUTED_VALUE"""),"R44")</f>
        <v>R44</v>
      </c>
      <c r="B1790" s="7" t="str">
        <f>IFERROR(__xludf.DUMMYFUNCTION("""COMPUTED_VALUE"""),"Senior Backend Developer")</f>
        <v>Senior Backend Developer</v>
      </c>
      <c r="C1790" s="7" t="str">
        <f>IFERROR(__xludf.DUMMYFUNCTION("""COMPUTED_VALUE"""),"S115")</f>
        <v>S115</v>
      </c>
      <c r="D1790" s="7" t="str">
        <f>IFERROR(__xludf.DUMMYFUNCTION("""COMPUTED_VALUE"""),"ACID Transactions, Locking &amp; Isolation Levels")</f>
        <v>ACID Transactions, Locking &amp; Isolation Levels</v>
      </c>
    </row>
    <row r="1791">
      <c r="A1791" s="7" t="str">
        <f>IFERROR(__xludf.DUMMYFUNCTION("""COMPUTED_VALUE"""),"R44")</f>
        <v>R44</v>
      </c>
      <c r="B1791" s="7" t="str">
        <f>IFERROR(__xludf.DUMMYFUNCTION("""COMPUTED_VALUE"""),"Senior Backend Developer")</f>
        <v>Senior Backend Developer</v>
      </c>
      <c r="C1791" s="7" t="str">
        <f>IFERROR(__xludf.DUMMYFUNCTION("""COMPUTED_VALUE"""),"S116")</f>
        <v>S116</v>
      </c>
      <c r="D1791" s="7" t="str">
        <f>IFERROR(__xludf.DUMMYFUNCTION("""COMPUTED_VALUE"""),"Database Replication, Sharding &amp; Partitioning")</f>
        <v>Database Replication, Sharding &amp; Partitioning</v>
      </c>
    </row>
    <row r="1792">
      <c r="A1792" s="7" t="str">
        <f>IFERROR(__xludf.DUMMYFUNCTION("""COMPUTED_VALUE"""),"R44")</f>
        <v>R44</v>
      </c>
      <c r="B1792" s="7" t="str">
        <f>IFERROR(__xludf.DUMMYFUNCTION("""COMPUTED_VALUE"""),"Senior Backend Developer")</f>
        <v>Senior Backend Developer</v>
      </c>
      <c r="C1792" s="7" t="str">
        <f>IFERROR(__xludf.DUMMYFUNCTION("""COMPUTED_VALUE"""),"S117")</f>
        <v>S117</v>
      </c>
      <c r="D1792" s="7" t="str">
        <f>IFERROR(__xludf.DUMMYFUNCTION("""COMPUTED_VALUE"""),"Database Backup, Point-in-Time Recovery &amp; Migration")</f>
        <v>Database Backup, Point-in-Time Recovery &amp; Migration</v>
      </c>
    </row>
    <row r="1793">
      <c r="A1793" s="7" t="str">
        <f>IFERROR(__xludf.DUMMYFUNCTION("""COMPUTED_VALUE"""),"R44")</f>
        <v>R44</v>
      </c>
      <c r="B1793" s="7" t="str">
        <f>IFERROR(__xludf.DUMMYFUNCTION("""COMPUTED_VALUE"""),"Senior Backend Developer")</f>
        <v>Senior Backend Developer</v>
      </c>
      <c r="C1793" s="7" t="str">
        <f>IFERROR(__xludf.DUMMYFUNCTION("""COMPUTED_VALUE"""),"S118")</f>
        <v>S118</v>
      </c>
      <c r="D1793" s="7" t="str">
        <f>IFERROR(__xludf.DUMMYFUNCTION("""COMPUTED_VALUE"""),"Object-Relational Mapping (ORM: Hibernate, JPA, Prisma, SQLAlchemy)")</f>
        <v>Object-Relational Mapping (ORM: Hibernate, JPA, Prisma, SQLAlchemy)</v>
      </c>
    </row>
    <row r="1794">
      <c r="A1794" s="7" t="str">
        <f>IFERROR(__xludf.DUMMYFUNCTION("""COMPUTED_VALUE"""),"R44")</f>
        <v>R44</v>
      </c>
      <c r="B1794" s="7" t="str">
        <f>IFERROR(__xludf.DUMMYFUNCTION("""COMPUTED_VALUE"""),"Senior Backend Developer")</f>
        <v>Senior Backend Developer</v>
      </c>
      <c r="C1794" s="7" t="str">
        <f>IFERROR(__xludf.DUMMYFUNCTION("""COMPUTED_VALUE"""),"S119")</f>
        <v>S119</v>
      </c>
      <c r="D1794" s="7" t="str">
        <f>IFERROR(__xludf.DUMMYFUNCTION("""COMPUTED_VALUE"""),"Document Databases (MongoDB)")</f>
        <v>Document Databases (MongoDB)</v>
      </c>
    </row>
    <row r="1795">
      <c r="A1795" s="7" t="str">
        <f>IFERROR(__xludf.DUMMYFUNCTION("""COMPUTED_VALUE"""),"R44")</f>
        <v>R44</v>
      </c>
      <c r="B1795" s="7" t="str">
        <f>IFERROR(__xludf.DUMMYFUNCTION("""COMPUTED_VALUE"""),"Senior Backend Developer")</f>
        <v>Senior Backend Developer</v>
      </c>
      <c r="C1795" s="7" t="str">
        <f>IFERROR(__xludf.DUMMYFUNCTION("""COMPUTED_VALUE"""),"S120")</f>
        <v>S120</v>
      </c>
      <c r="D1795" s="7" t="str">
        <f>IFERROR(__xludf.DUMMYFUNCTION("""COMPUTED_VALUE"""),"Key-Value Stores &amp; In-Memory DBs (Redis, Memcached)")</f>
        <v>Key-Value Stores &amp; In-Memory DBs (Redis, Memcached)</v>
      </c>
    </row>
    <row r="1796">
      <c r="A1796" s="7" t="str">
        <f>IFERROR(__xludf.DUMMYFUNCTION("""COMPUTED_VALUE"""),"R44")</f>
        <v>R44</v>
      </c>
      <c r="B1796" s="7" t="str">
        <f>IFERROR(__xludf.DUMMYFUNCTION("""COMPUTED_VALUE"""),"Senior Backend Developer")</f>
        <v>Senior Backend Developer</v>
      </c>
      <c r="C1796" s="7" t="str">
        <f>IFERROR(__xludf.DUMMYFUNCTION("""COMPUTED_VALUE"""),"S121")</f>
        <v>S121</v>
      </c>
      <c r="D1796" s="7" t="str">
        <f>IFERROR(__xludf.DUMMYFUNCTION("""COMPUTED_VALUE"""),"Wide-Column Stores (Apache Cassandra, ScyllaDB)")</f>
        <v>Wide-Column Stores (Apache Cassandra, ScyllaDB)</v>
      </c>
    </row>
    <row r="1797">
      <c r="A1797" s="7" t="str">
        <f>IFERROR(__xludf.DUMMYFUNCTION("""COMPUTED_VALUE"""),"R44")</f>
        <v>R44</v>
      </c>
      <c r="B1797" s="7" t="str">
        <f>IFERROR(__xludf.DUMMYFUNCTION("""COMPUTED_VALUE"""),"Senior Backend Developer")</f>
        <v>Senior Backend Developer</v>
      </c>
      <c r="C1797" s="7" t="str">
        <f>IFERROR(__xludf.DUMMYFUNCTION("""COMPUTED_VALUE"""),"S122")</f>
        <v>S122</v>
      </c>
      <c r="D1797" s="7" t="str">
        <f>IFERROR(__xludf.DUMMYFUNCTION("""COMPUTED_VALUE"""),"Cloud NoSQL Databases (AWS DynamoDB, Firestore)")</f>
        <v>Cloud NoSQL Databases (AWS DynamoDB, Firestore)</v>
      </c>
    </row>
    <row r="1798">
      <c r="A1798" s="7" t="str">
        <f>IFERROR(__xludf.DUMMYFUNCTION("""COMPUTED_VALUE"""),"R44")</f>
        <v>R44</v>
      </c>
      <c r="B1798" s="7" t="str">
        <f>IFERROR(__xludf.DUMMYFUNCTION("""COMPUTED_VALUE"""),"Senior Backend Developer")</f>
        <v>Senior Backend Developer</v>
      </c>
      <c r="C1798" s="7" t="str">
        <f>IFERROR(__xludf.DUMMYFUNCTION("""COMPUTED_VALUE"""),"S171")</f>
        <v>S171</v>
      </c>
      <c r="D1798" s="7" t="str">
        <f>IFERROR(__xludf.DUMMYFUNCTION("""COMPUTED_VALUE"""),"Containerization with Docker")</f>
        <v>Containerization with Docker</v>
      </c>
    </row>
    <row r="1799">
      <c r="A1799" s="7" t="str">
        <f>IFERROR(__xludf.DUMMYFUNCTION("""COMPUTED_VALUE"""),"R44")</f>
        <v>R44</v>
      </c>
      <c r="B1799" s="7" t="str">
        <f>IFERROR(__xludf.DUMMYFUNCTION("""COMPUTED_VALUE"""),"Senior Backend Developer")</f>
        <v>Senior Backend Developer</v>
      </c>
      <c r="C1799" s="7" t="str">
        <f>IFERROR(__xludf.DUMMYFUNCTION("""COMPUTED_VALUE"""),"S172")</f>
        <v>S172</v>
      </c>
      <c r="D1799" s="7" t="str">
        <f>IFERROR(__xludf.DUMMYFUNCTION("""COMPUTED_VALUE"""),"Kubernetes Cluster Orchestration (K8s)")</f>
        <v>Kubernetes Cluster Orchestration (K8s)</v>
      </c>
    </row>
    <row r="1800">
      <c r="A1800" s="7" t="str">
        <f>IFERROR(__xludf.DUMMYFUNCTION("""COMPUTED_VALUE"""),"R44")</f>
        <v>R44</v>
      </c>
      <c r="B1800" s="7" t="str">
        <f>IFERROR(__xludf.DUMMYFUNCTION("""COMPUTED_VALUE"""),"Senior Backend Developer")</f>
        <v>Senior Backend Developer</v>
      </c>
      <c r="C1800" s="7" t="str">
        <f>IFERROR(__xludf.DUMMYFUNCTION("""COMPUTED_VALUE"""),"S174")</f>
        <v>S174</v>
      </c>
      <c r="D1800" s="7" t="str">
        <f>IFERROR(__xludf.DUMMYFUNCTION("""COMPUTED_VALUE"""),"Amazon Web Services Core (EC2, S3, RDS, IAM, VPC)")</f>
        <v>Amazon Web Services Core (EC2, S3, RDS, IAM, VPC)</v>
      </c>
    </row>
    <row r="1801">
      <c r="A1801" s="7" t="str">
        <f>IFERROR(__xludf.DUMMYFUNCTION("""COMPUTED_VALUE"""),"R44")</f>
        <v>R44</v>
      </c>
      <c r="B1801" s="7" t="str">
        <f>IFERROR(__xludf.DUMMYFUNCTION("""COMPUTED_VALUE"""),"Senior Backend Developer")</f>
        <v>Senior Backend Developer</v>
      </c>
      <c r="C1801" s="7" t="str">
        <f>IFERROR(__xludf.DUMMYFUNCTION("""COMPUTED_VALUE"""),"S178")</f>
        <v>S178</v>
      </c>
      <c r="D1801" s="7" t="str">
        <f>IFERROR(__xludf.DUMMYFUNCTION("""COMPUTED_VALUE"""),"Infrastructure as Code (Terraform &amp; OpenTofu)")</f>
        <v>Infrastructure as Code (Terraform &amp; OpenTofu)</v>
      </c>
    </row>
    <row r="1802">
      <c r="A1802" s="7" t="str">
        <f>IFERROR(__xludf.DUMMYFUNCTION("""COMPUTED_VALUE"""),"R44")</f>
        <v>R44</v>
      </c>
      <c r="B1802" s="7" t="str">
        <f>IFERROR(__xludf.DUMMYFUNCTION("""COMPUTED_VALUE"""),"Senior Backend Developer")</f>
        <v>Senior Backend Developer</v>
      </c>
      <c r="C1802" s="7" t="str">
        <f>IFERROR(__xludf.DUMMYFUNCTION("""COMPUTED_VALUE"""),"S180")</f>
        <v>S180</v>
      </c>
      <c r="D1802" s="7" t="str">
        <f>IFERROR(__xludf.DUMMYFUNCTION("""COMPUTED_VALUE"""),"CI/CD Pipelines with GitHub Actions")</f>
        <v>CI/CD Pipelines with GitHub Actions</v>
      </c>
    </row>
    <row r="1803">
      <c r="A1803" s="7" t="str">
        <f>IFERROR(__xludf.DUMMYFUNCTION("""COMPUTED_VALUE"""),"R44")</f>
        <v>R44</v>
      </c>
      <c r="B1803" s="7" t="str">
        <f>IFERROR(__xludf.DUMMYFUNCTION("""COMPUTED_VALUE"""),"Senior Backend Developer")</f>
        <v>Senior Backend Developer</v>
      </c>
      <c r="C1803" s="7" t="str">
        <f>IFERROR(__xludf.DUMMYFUNCTION("""COMPUTED_VALUE"""),"S183")</f>
        <v>S183</v>
      </c>
      <c r="D1803" s="7" t="str">
        <f>IFERROR(__xludf.DUMMYFUNCTION("""COMPUTED_VALUE"""),"Web Servers, Reverse Proxy &amp; Load Balancing (Nginx, HAProxy)")</f>
        <v>Web Servers, Reverse Proxy &amp; Load Balancing (Nginx, HAProxy)</v>
      </c>
    </row>
    <row r="1804">
      <c r="A1804" s="7" t="str">
        <f>IFERROR(__xludf.DUMMYFUNCTION("""COMPUTED_VALUE"""),"R44")</f>
        <v>R44</v>
      </c>
      <c r="B1804" s="7" t="str">
        <f>IFERROR(__xludf.DUMMYFUNCTION("""COMPUTED_VALUE"""),"Senior Backend Developer")</f>
        <v>Senior Backend Developer</v>
      </c>
      <c r="C1804" s="7" t="str">
        <f>IFERROR(__xludf.DUMMYFUNCTION("""COMPUTED_VALUE"""),"S184")</f>
        <v>S184</v>
      </c>
      <c r="D1804" s="7" t="str">
        <f>IFERROR(__xludf.DUMMYFUNCTION("""COMPUTED_VALUE"""),"Infrastructure &amp; Metrics Monitoring (Prometheus &amp; Grafana)")</f>
        <v>Infrastructure &amp; Metrics Monitoring (Prometheus &amp; Grafana)</v>
      </c>
    </row>
    <row r="1805">
      <c r="A1805" s="7" t="str">
        <f>IFERROR(__xludf.DUMMYFUNCTION("""COMPUTED_VALUE"""),"R44")</f>
        <v>R44</v>
      </c>
      <c r="B1805" s="7" t="str">
        <f>IFERROR(__xludf.DUMMYFUNCTION("""COMPUTED_VALUE"""),"Senior Backend Developer")</f>
        <v>Senior Backend Developer</v>
      </c>
      <c r="C1805" s="7" t="str">
        <f>IFERROR(__xludf.DUMMYFUNCTION("""COMPUTED_VALUE"""),"S185")</f>
        <v>S185</v>
      </c>
      <c r="D180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806">
      <c r="A1806" s="7" t="str">
        <f>IFERROR(__xludf.DUMMYFUNCTION("""COMPUTED_VALUE"""),"R44")</f>
        <v>R44</v>
      </c>
      <c r="B1806" s="7" t="str">
        <f>IFERROR(__xludf.DUMMYFUNCTION("""COMPUTED_VALUE"""),"Senior Backend Developer")</f>
        <v>Senior Backend Developer</v>
      </c>
      <c r="C1806" s="7" t="str">
        <f>IFERROR(__xludf.DUMMYFUNCTION("""COMPUTED_VALUE"""),"S186")</f>
        <v>S186</v>
      </c>
      <c r="D1806" s="7" t="str">
        <f>IFERROR(__xludf.DUMMYFUNCTION("""COMPUTED_VALUE"""),"Site Reliability Engineering (SLIs, SLOs, SLAs &amp; Error Budgets)")</f>
        <v>Site Reliability Engineering (SLIs, SLOs, SLAs &amp; Error Budgets)</v>
      </c>
    </row>
    <row r="1807">
      <c r="A1807" s="7" t="str">
        <f>IFERROR(__xludf.DUMMYFUNCTION("""COMPUTED_VALUE"""),"R44")</f>
        <v>R44</v>
      </c>
      <c r="B1807" s="7" t="str">
        <f>IFERROR(__xludf.DUMMYFUNCTION("""COMPUTED_VALUE"""),"Senior Backend Developer")</f>
        <v>Senior Backend Developer</v>
      </c>
      <c r="C1807" s="7" t="str">
        <f>IFERROR(__xludf.DUMMYFUNCTION("""COMPUTED_VALUE"""),"S188")</f>
        <v>S188</v>
      </c>
      <c r="D1807" s="7" t="str">
        <f>IFERROR(__xludf.DUMMYFUNCTION("""COMPUTED_VALUE"""),"High Availability, Failover &amp; Disaster Recovery")</f>
        <v>High Availability, Failover &amp; Disaster Recovery</v>
      </c>
    </row>
    <row r="1808">
      <c r="A1808" s="7" t="str">
        <f>IFERROR(__xludf.DUMMYFUNCTION("""COMPUTED_VALUE"""),"R44")</f>
        <v>R44</v>
      </c>
      <c r="B1808" s="7" t="str">
        <f>IFERROR(__xludf.DUMMYFUNCTION("""COMPUTED_VALUE"""),"Senior Backend Developer")</f>
        <v>Senior Backend Developer</v>
      </c>
      <c r="C1808" s="7" t="str">
        <f>IFERROR(__xludf.DUMMYFUNCTION("""COMPUTED_VALUE"""),"S200")</f>
        <v>S200</v>
      </c>
      <c r="D1808" s="7" t="str">
        <f>IFERROR(__xludf.DUMMYFUNCTION("""COMPUTED_VALUE"""),"Web Application Security &amp; OWASP Top 10")</f>
        <v>Web Application Security &amp; OWASP Top 10</v>
      </c>
    </row>
    <row r="1809">
      <c r="A1809" s="7" t="str">
        <f>IFERROR(__xludf.DUMMYFUNCTION("""COMPUTED_VALUE"""),"R44")</f>
        <v>R44</v>
      </c>
      <c r="B1809" s="7" t="str">
        <f>IFERROR(__xludf.DUMMYFUNCTION("""COMPUTED_VALUE"""),"Senior Backend Developer")</f>
        <v>Senior Backend Developer</v>
      </c>
      <c r="C1809" s="7" t="str">
        <f>IFERROR(__xludf.DUMMYFUNCTION("""COMPUTED_VALUE"""),"S209")</f>
        <v>S209</v>
      </c>
      <c r="D1809" s="7" t="str">
        <f>IFERROR(__xludf.DUMMYFUNCTION("""COMPUTED_VALUE"""),"Applied Cryptography, Hashing &amp; PKI Certificates")</f>
        <v>Applied Cryptography, Hashing &amp; PKI Certificates</v>
      </c>
    </row>
    <row r="1810">
      <c r="A1810" s="7" t="str">
        <f>IFERROR(__xludf.DUMMYFUNCTION("""COMPUTED_VALUE"""),"R44")</f>
        <v>R44</v>
      </c>
      <c r="B1810" s="7" t="str">
        <f>IFERROR(__xludf.DUMMYFUNCTION("""COMPUTED_VALUE"""),"Senior Backend Developer")</f>
        <v>Senior Backend Developer</v>
      </c>
      <c r="C1810" s="7" t="str">
        <f>IFERROR(__xludf.DUMMYFUNCTION("""COMPUTED_VALUE"""),"S215")</f>
        <v>S215</v>
      </c>
      <c r="D1810" s="7" t="str">
        <f>IFERROR(__xludf.DUMMYFUNCTION("""COMPUTED_VALUE"""),"Secrets Management (HashiCorp Vault, AWS Secrets Manager)")</f>
        <v>Secrets Management (HashiCorp Vault, AWS Secrets Manager)</v>
      </c>
    </row>
    <row r="1811">
      <c r="A1811" s="7" t="str">
        <f>IFERROR(__xludf.DUMMYFUNCTION("""COMPUTED_VALUE"""),"R44")</f>
        <v>R44</v>
      </c>
      <c r="B1811" s="7" t="str">
        <f>IFERROR(__xludf.DUMMYFUNCTION("""COMPUTED_VALUE"""),"Senior Backend Developer")</f>
        <v>Senior Backend Developer</v>
      </c>
      <c r="C1811" s="7" t="str">
        <f>IFERROR(__xludf.DUMMYFUNCTION("""COMPUTED_VALUE"""),"S219")</f>
        <v>S219</v>
      </c>
      <c r="D1811" s="7" t="str">
        <f>IFERROR(__xludf.DUMMYFUNCTION("""COMPUTED_VALUE"""),"Secure Coding Practices &amp; Threat Mitigation")</f>
        <v>Secure Coding Practices &amp; Threat Mitigation</v>
      </c>
    </row>
    <row r="1812">
      <c r="A1812" s="7" t="str">
        <f>IFERROR(__xludf.DUMMYFUNCTION("""COMPUTED_VALUE"""),"R44")</f>
        <v>R44</v>
      </c>
      <c r="B1812" s="7" t="str">
        <f>IFERROR(__xludf.DUMMYFUNCTION("""COMPUTED_VALUE"""),"Senior Backend Developer")</f>
        <v>Senior Backend Developer</v>
      </c>
      <c r="C1812" s="7" t="str">
        <f>IFERROR(__xludf.DUMMYFUNCTION("""COMPUTED_VALUE"""),"S243")</f>
        <v>S243</v>
      </c>
      <c r="D1812" s="7" t="str">
        <f>IFERROR(__xludf.DUMMYFUNCTION("""COMPUTED_VALUE"""),"Large-Scale System Design &amp; High-Scalability Architecture")</f>
        <v>Large-Scale System Design &amp; High-Scalability Architecture</v>
      </c>
    </row>
    <row r="1813">
      <c r="A1813" s="7" t="str">
        <f>IFERROR(__xludf.DUMMYFUNCTION("""COMPUTED_VALUE"""),"R44")</f>
        <v>R44</v>
      </c>
      <c r="B1813" s="7" t="str">
        <f>IFERROR(__xludf.DUMMYFUNCTION("""COMPUTED_VALUE"""),"Senior Backend Developer")</f>
        <v>Senior Backend Developer</v>
      </c>
      <c r="C1813" s="7" t="str">
        <f>IFERROR(__xludf.DUMMYFUNCTION("""COMPUTED_VALUE"""),"S244")</f>
        <v>S244</v>
      </c>
      <c r="D1813" s="7" t="str">
        <f>IFERROR(__xludf.DUMMYFUNCTION("""COMPUTED_VALUE"""),"Distributed Systems Theory (CAP Theorem, Consensus, Raft/Paxos)")</f>
        <v>Distributed Systems Theory (CAP Theorem, Consensus, Raft/Paxos)</v>
      </c>
    </row>
    <row r="1814">
      <c r="A1814" s="7" t="str">
        <f>IFERROR(__xludf.DUMMYFUNCTION("""COMPUTED_VALUE"""),"R44")</f>
        <v>R44</v>
      </c>
      <c r="B1814" s="7" t="str">
        <f>IFERROR(__xludf.DUMMYFUNCTION("""COMPUTED_VALUE"""),"Senior Backend Developer")</f>
        <v>Senior Backend Developer</v>
      </c>
      <c r="C1814" s="7" t="str">
        <f>IFERROR(__xludf.DUMMYFUNCTION("""COMPUTED_VALUE"""),"S245")</f>
        <v>S245</v>
      </c>
      <c r="D1814" s="7" t="str">
        <f>IFERROR(__xludf.DUMMYFUNCTION("""COMPUTED_VALUE"""),"Enterprise Architecture Frameworks (TOGAF, Domain-Driven Design)")</f>
        <v>Enterprise Architecture Frameworks (TOGAF, Domain-Driven Design)</v>
      </c>
    </row>
    <row r="1815">
      <c r="A1815" s="7" t="str">
        <f>IFERROR(__xludf.DUMMYFUNCTION("""COMPUTED_VALUE"""),"R44")</f>
        <v>R44</v>
      </c>
      <c r="B1815" s="7" t="str">
        <f>IFERROR(__xludf.DUMMYFUNCTION("""COMPUTED_VALUE"""),"Senior Backend Developer")</f>
        <v>Senior Backend Developer</v>
      </c>
      <c r="C1815" s="7" t="str">
        <f>IFERROR(__xludf.DUMMYFUNCTION("""COMPUTED_VALUE"""),"S246")</f>
        <v>S246</v>
      </c>
      <c r="D1815" s="7" t="str">
        <f>IFERROR(__xludf.DUMMYFUNCTION("""COMPUTED_VALUE"""),"Agile Methodologies, Scrum Framework &amp; Kanban")</f>
        <v>Agile Methodologies, Scrum Framework &amp; Kanban</v>
      </c>
    </row>
    <row r="1816">
      <c r="A1816" s="7" t="str">
        <f>IFERROR(__xludf.DUMMYFUNCTION("""COMPUTED_VALUE"""),"R44")</f>
        <v>R44</v>
      </c>
      <c r="B1816" s="7" t="str">
        <f>IFERROR(__xludf.DUMMYFUNCTION("""COMPUTED_VALUE"""),"Senior Backend Developer")</f>
        <v>Senior Backend Developer</v>
      </c>
      <c r="C1816" s="7" t="str">
        <f>IFERROR(__xludf.DUMMYFUNCTION("""COMPUTED_VALUE"""),"S247")</f>
        <v>S247</v>
      </c>
      <c r="D1816" s="7" t="str">
        <f>IFERROR(__xludf.DUMMYFUNCTION("""COMPUTED_VALUE"""),"Project Tracking &amp; Documentation Tools (Jira, Confluence, Linear)")</f>
        <v>Project Tracking &amp; Documentation Tools (Jira, Confluence, Linear)</v>
      </c>
    </row>
    <row r="1817">
      <c r="A1817" s="7" t="str">
        <f>IFERROR(__xludf.DUMMYFUNCTION("""COMPUTED_VALUE"""),"R44")</f>
        <v>R44</v>
      </c>
      <c r="B1817" s="7" t="str">
        <f>IFERROR(__xludf.DUMMYFUNCTION("""COMPUTED_VALUE"""),"Senior Backend Developer")</f>
        <v>Senior Backend Developer</v>
      </c>
      <c r="C1817" s="7" t="str">
        <f>IFERROR(__xludf.DUMMYFUNCTION("""COMPUTED_VALUE"""),"S250")</f>
        <v>S250</v>
      </c>
      <c r="D1817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818">
      <c r="A1818" s="7" t="str">
        <f>IFERROR(__xludf.DUMMYFUNCTION("""COMPUTED_VALUE"""),"R45")</f>
        <v>R45</v>
      </c>
      <c r="B1818" s="7" t="str">
        <f>IFERROR(__xludf.DUMMYFUNCTION("""COMPUTED_VALUE"""),"DevSecOps Engineer")</f>
        <v>DevSecOps Engineer</v>
      </c>
      <c r="C1818" s="7" t="str">
        <f>IFERROR(__xludf.DUMMYFUNCTION("""COMPUTED_VALUE"""),"S002")</f>
        <v>S002</v>
      </c>
      <c r="D1818" s="7" t="str">
        <f>IFERROR(__xludf.DUMMYFUNCTION("""COMPUTED_VALUE"""),"Operating Systems Concepts")</f>
        <v>Operating Systems Concepts</v>
      </c>
    </row>
    <row r="1819">
      <c r="A1819" s="7" t="str">
        <f>IFERROR(__xludf.DUMMYFUNCTION("""COMPUTED_VALUE"""),"R45")</f>
        <v>R45</v>
      </c>
      <c r="B1819" s="7" t="str">
        <f>IFERROR(__xludf.DUMMYFUNCTION("""COMPUTED_VALUE"""),"DevSecOps Engineer")</f>
        <v>DevSecOps Engineer</v>
      </c>
      <c r="C1819" s="7" t="str">
        <f>IFERROR(__xludf.DUMMYFUNCTION("""COMPUTED_VALUE"""),"S003")</f>
        <v>S003</v>
      </c>
      <c r="D1819" s="7" t="str">
        <f>IFERROR(__xludf.DUMMYFUNCTION("""COMPUTED_VALUE"""),"Process &amp; Thread Management")</f>
        <v>Process &amp; Thread Management</v>
      </c>
    </row>
    <row r="1820">
      <c r="A1820" s="7" t="str">
        <f>IFERROR(__xludf.DUMMYFUNCTION("""COMPUTED_VALUE"""),"R45")</f>
        <v>R45</v>
      </c>
      <c r="B1820" s="7" t="str">
        <f>IFERROR(__xludf.DUMMYFUNCTION("""COMPUTED_VALUE"""),"DevSecOps Engineer")</f>
        <v>DevSecOps Engineer</v>
      </c>
      <c r="C1820" s="7" t="str">
        <f>IFERROR(__xludf.DUMMYFUNCTION("""COMPUTED_VALUE"""),"S005")</f>
        <v>S005</v>
      </c>
      <c r="D1820" s="7" t="str">
        <f>IFERROR(__xludf.DUMMYFUNCTION("""COMPUTED_VALUE"""),"File Systems &amp; Storage I/O")</f>
        <v>File Systems &amp; Storage I/O</v>
      </c>
    </row>
    <row r="1821">
      <c r="A1821" s="7" t="str">
        <f>IFERROR(__xludf.DUMMYFUNCTION("""COMPUTED_VALUE"""),"R45")</f>
        <v>R45</v>
      </c>
      <c r="B1821" s="7" t="str">
        <f>IFERROR(__xludf.DUMMYFUNCTION("""COMPUTED_VALUE"""),"DevSecOps Engineer")</f>
        <v>DevSecOps Engineer</v>
      </c>
      <c r="C1821" s="7" t="str">
        <f>IFERROR(__xludf.DUMMYFUNCTION("""COMPUTED_VALUE"""),"S017")</f>
        <v>S017</v>
      </c>
      <c r="D1821" s="7" t="str">
        <f>IFERROR(__xludf.DUMMYFUNCTION("""COMPUTED_VALUE"""),"Git Version Control Fundamentals")</f>
        <v>Git Version Control Fundamentals</v>
      </c>
    </row>
    <row r="1822">
      <c r="A1822" s="7" t="str">
        <f>IFERROR(__xludf.DUMMYFUNCTION("""COMPUTED_VALUE"""),"R45")</f>
        <v>R45</v>
      </c>
      <c r="B1822" s="7" t="str">
        <f>IFERROR(__xludf.DUMMYFUNCTION("""COMPUTED_VALUE"""),"DevSecOps Engineer")</f>
        <v>DevSecOps Engineer</v>
      </c>
      <c r="C1822" s="7" t="str">
        <f>IFERROR(__xludf.DUMMYFUNCTION("""COMPUTED_VALUE"""),"S018")</f>
        <v>S018</v>
      </c>
      <c r="D1822" s="7" t="str">
        <f>IFERROR(__xludf.DUMMYFUNCTION("""COMPUTED_VALUE"""),"GitHub / GitLab Workflows &amp; Pull Requests")</f>
        <v>GitHub / GitLab Workflows &amp; Pull Requests</v>
      </c>
    </row>
    <row r="1823">
      <c r="A1823" s="7" t="str">
        <f>IFERROR(__xludf.DUMMYFUNCTION("""COMPUTED_VALUE"""),"R45")</f>
        <v>R45</v>
      </c>
      <c r="B1823" s="7" t="str">
        <f>IFERROR(__xludf.DUMMYFUNCTION("""COMPUTED_VALUE"""),"DevSecOps Engineer")</f>
        <v>DevSecOps Engineer</v>
      </c>
      <c r="C1823" s="7" t="str">
        <f>IFERROR(__xludf.DUMMYFUNCTION("""COMPUTED_VALUE"""),"S019")</f>
        <v>S019</v>
      </c>
      <c r="D1823" s="7" t="str">
        <f>IFERROR(__xludf.DUMMYFUNCTION("""COMPUTED_VALUE"""),"Linux Command Line &amp; File Permissions")</f>
        <v>Linux Command Line &amp; File Permissions</v>
      </c>
    </row>
    <row r="1824">
      <c r="A1824" s="7" t="str">
        <f>IFERROR(__xludf.DUMMYFUNCTION("""COMPUTED_VALUE"""),"R45")</f>
        <v>R45</v>
      </c>
      <c r="B1824" s="7" t="str">
        <f>IFERROR(__xludf.DUMMYFUNCTION("""COMPUTED_VALUE"""),"DevSecOps Engineer")</f>
        <v>DevSecOps Engineer</v>
      </c>
      <c r="C1824" s="7" t="str">
        <f>IFERROR(__xludf.DUMMYFUNCTION("""COMPUTED_VALUE"""),"S020")</f>
        <v>S020</v>
      </c>
      <c r="D1824" s="7" t="str">
        <f>IFERROR(__xludf.DUMMYFUNCTION("""COMPUTED_VALUE"""),"Bash &amp; Shell Scripting")</f>
        <v>Bash &amp; Shell Scripting</v>
      </c>
    </row>
    <row r="1825">
      <c r="A1825" s="7" t="str">
        <f>IFERROR(__xludf.DUMMYFUNCTION("""COMPUTED_VALUE"""),"R45")</f>
        <v>R45</v>
      </c>
      <c r="B1825" s="7" t="str">
        <f>IFERROR(__xludf.DUMMYFUNCTION("""COMPUTED_VALUE"""),"DevSecOps Engineer")</f>
        <v>DevSecOps Engineer</v>
      </c>
      <c r="C1825" s="7" t="str">
        <f>IFERROR(__xludf.DUMMYFUNCTION("""COMPUTED_VALUE"""),"S022")</f>
        <v>S022</v>
      </c>
      <c r="D1825" s="7" t="str">
        <f>IFERROR(__xludf.DUMMYFUNCTION("""COMPUTED_VALUE"""),"Computer Networking &amp; OSI Model")</f>
        <v>Computer Networking &amp; OSI Model</v>
      </c>
    </row>
    <row r="1826">
      <c r="A1826" s="7" t="str">
        <f>IFERROR(__xludf.DUMMYFUNCTION("""COMPUTED_VALUE"""),"R45")</f>
        <v>R45</v>
      </c>
      <c r="B1826" s="7" t="str">
        <f>IFERROR(__xludf.DUMMYFUNCTION("""COMPUTED_VALUE"""),"DevSecOps Engineer")</f>
        <v>DevSecOps Engineer</v>
      </c>
      <c r="C1826" s="7" t="str">
        <f>IFERROR(__xludf.DUMMYFUNCTION("""COMPUTED_VALUE"""),"S023")</f>
        <v>S023</v>
      </c>
      <c r="D1826" s="7" t="str">
        <f>IFERROR(__xludf.DUMMYFUNCTION("""COMPUTED_VALUE"""),"HTTP/HTTPS Protocols &amp; Status Codes")</f>
        <v>HTTP/HTTPS Protocols &amp; Status Codes</v>
      </c>
    </row>
    <row r="1827">
      <c r="A1827" s="7" t="str">
        <f>IFERROR(__xludf.DUMMYFUNCTION("""COMPUTED_VALUE"""),"R45")</f>
        <v>R45</v>
      </c>
      <c r="B1827" s="7" t="str">
        <f>IFERROR(__xludf.DUMMYFUNCTION("""COMPUTED_VALUE"""),"DevSecOps Engineer")</f>
        <v>DevSecOps Engineer</v>
      </c>
      <c r="C1827" s="7" t="str">
        <f>IFERROR(__xludf.DUMMYFUNCTION("""COMPUTED_VALUE"""),"S024")</f>
        <v>S024</v>
      </c>
      <c r="D1827" s="7" t="str">
        <f>IFERROR(__xludf.DUMMYFUNCTION("""COMPUTED_VALUE"""),"DNS, Domain Routing &amp; SSL/TLS")</f>
        <v>DNS, Domain Routing &amp; SSL/TLS</v>
      </c>
    </row>
    <row r="1828">
      <c r="A1828" s="7" t="str">
        <f>IFERROR(__xludf.DUMMYFUNCTION("""COMPUTED_VALUE"""),"R45")</f>
        <v>R45</v>
      </c>
      <c r="B1828" s="7" t="str">
        <f>IFERROR(__xludf.DUMMYFUNCTION("""COMPUTED_VALUE"""),"DevSecOps Engineer")</f>
        <v>DevSecOps Engineer</v>
      </c>
      <c r="C1828" s="7" t="str">
        <f>IFERROR(__xludf.DUMMYFUNCTION("""COMPUTED_VALUE"""),"S026")</f>
        <v>S026</v>
      </c>
      <c r="D1828" s="7" t="str">
        <f>IFERROR(__xludf.DUMMYFUNCTION("""COMPUTED_VALUE"""),"Data Serialization (JSON, XML, YAML, Protobuf)")</f>
        <v>Data Serialization (JSON, XML, YAML, Protobuf)</v>
      </c>
    </row>
    <row r="1829">
      <c r="A1829" s="7" t="str">
        <f>IFERROR(__xludf.DUMMYFUNCTION("""COMPUTED_VALUE"""),"R45")</f>
        <v>R45</v>
      </c>
      <c r="B1829" s="7" t="str">
        <f>IFERROR(__xludf.DUMMYFUNCTION("""COMPUTED_VALUE"""),"DevSecOps Engineer")</f>
        <v>DevSecOps Engineer</v>
      </c>
      <c r="C1829" s="7" t="str">
        <f>IFERROR(__xludf.DUMMYFUNCTION("""COMPUTED_VALUE"""),"S028")</f>
        <v>S028</v>
      </c>
      <c r="D1829" s="7" t="str">
        <f>IFERROR(__xludf.DUMMYFUNCTION("""COMPUTED_VALUE"""),"Technical Writing &amp; Markdown Documentation")</f>
        <v>Technical Writing &amp; Markdown Documentation</v>
      </c>
    </row>
    <row r="1830">
      <c r="A1830" s="7" t="str">
        <f>IFERROR(__xludf.DUMMYFUNCTION("""COMPUTED_VALUE"""),"R45")</f>
        <v>R45</v>
      </c>
      <c r="B1830" s="7" t="str">
        <f>IFERROR(__xludf.DUMMYFUNCTION("""COMPUTED_VALUE"""),"DevSecOps Engineer")</f>
        <v>DevSecOps Engineer</v>
      </c>
      <c r="C1830" s="7" t="str">
        <f>IFERROR(__xludf.DUMMYFUNCTION("""COMPUTED_VALUE"""),"S068")</f>
        <v>S068</v>
      </c>
      <c r="D1830" s="7" t="str">
        <f>IFERROR(__xludf.DUMMYFUNCTION("""COMPUTED_VALUE"""),"Python Programming Fundamentals")</f>
        <v>Python Programming Fundamentals</v>
      </c>
    </row>
    <row r="1831">
      <c r="A1831" s="7" t="str">
        <f>IFERROR(__xludf.DUMMYFUNCTION("""COMPUTED_VALUE"""),"R45")</f>
        <v>R45</v>
      </c>
      <c r="B1831" s="7" t="str">
        <f>IFERROR(__xludf.DUMMYFUNCTION("""COMPUTED_VALUE"""),"DevSecOps Engineer")</f>
        <v>DevSecOps Engineer</v>
      </c>
      <c r="C1831" s="7" t="str">
        <f>IFERROR(__xludf.DUMMYFUNCTION("""COMPUTED_VALUE"""),"S077")</f>
        <v>S077</v>
      </c>
      <c r="D1831" s="7" t="str">
        <f>IFERROR(__xludf.DUMMYFUNCTION("""COMPUTED_VALUE"""),"Go (Golang) Programming")</f>
        <v>Go (Golang) Programming</v>
      </c>
    </row>
    <row r="1832">
      <c r="A1832" s="7" t="str">
        <f>IFERROR(__xludf.DUMMYFUNCTION("""COMPUTED_VALUE"""),"R45")</f>
        <v>R45</v>
      </c>
      <c r="B1832" s="7" t="str">
        <f>IFERROR(__xludf.DUMMYFUNCTION("""COMPUTED_VALUE"""),"DevSecOps Engineer")</f>
        <v>DevSecOps Engineer</v>
      </c>
      <c r="C1832" s="7" t="str">
        <f>IFERROR(__xludf.DUMMYFUNCTION("""COMPUTED_VALUE"""),"S086")</f>
        <v>S086</v>
      </c>
      <c r="D1832" s="7" t="str">
        <f>IFERROR(__xludf.DUMMYFUNCTION("""COMPUTED_VALUE"""),"RESTful API Design &amp; OpenAPI/Swagger")</f>
        <v>RESTful API Design &amp; OpenAPI/Swagger</v>
      </c>
    </row>
    <row r="1833">
      <c r="A1833" s="7" t="str">
        <f>IFERROR(__xludf.DUMMYFUNCTION("""COMPUTED_VALUE"""),"R45")</f>
        <v>R45</v>
      </c>
      <c r="B1833" s="7" t="str">
        <f>IFERROR(__xludf.DUMMYFUNCTION("""COMPUTED_VALUE"""),"DevSecOps Engineer")</f>
        <v>DevSecOps Engineer</v>
      </c>
      <c r="C1833" s="7" t="str">
        <f>IFERROR(__xludf.DUMMYFUNCTION("""COMPUTED_VALUE"""),"S091")</f>
        <v>S091</v>
      </c>
      <c r="D1833" s="7" t="str">
        <f>IFERROR(__xludf.DUMMYFUNCTION("""COMPUTED_VALUE"""),"Authentication &amp; Session Management (JWT, Cookies)")</f>
        <v>Authentication &amp; Session Management (JWT, Cookies)</v>
      </c>
    </row>
    <row r="1834">
      <c r="A1834" s="7" t="str">
        <f>IFERROR(__xludf.DUMMYFUNCTION("""COMPUTED_VALUE"""),"R45")</f>
        <v>R45</v>
      </c>
      <c r="B1834" s="7" t="str">
        <f>IFERROR(__xludf.DUMMYFUNCTION("""COMPUTED_VALUE"""),"DevSecOps Engineer")</f>
        <v>DevSecOps Engineer</v>
      </c>
      <c r="C1834" s="7" t="str">
        <f>IFERROR(__xludf.DUMMYFUNCTION("""COMPUTED_VALUE"""),"S092")</f>
        <v>S092</v>
      </c>
      <c r="D1834" s="7" t="str">
        <f>IFERROR(__xludf.DUMMYFUNCTION("""COMPUTED_VALUE"""),"OAuth 2.0, OpenID Connect (OIDC) &amp; SSO")</f>
        <v>OAuth 2.0, OpenID Connect (OIDC) &amp; SSO</v>
      </c>
    </row>
    <row r="1835">
      <c r="A1835" s="7" t="str">
        <f>IFERROR(__xludf.DUMMYFUNCTION("""COMPUTED_VALUE"""),"R45")</f>
        <v>R45</v>
      </c>
      <c r="B1835" s="7" t="str">
        <f>IFERROR(__xludf.DUMMYFUNCTION("""COMPUTED_VALUE"""),"DevSecOps Engineer")</f>
        <v>DevSecOps Engineer</v>
      </c>
      <c r="C1835" s="7" t="str">
        <f>IFERROR(__xludf.DUMMYFUNCTION("""COMPUTED_VALUE"""),"S093")</f>
        <v>S093</v>
      </c>
      <c r="D1835" s="7" t="str">
        <f>IFERROR(__xludf.DUMMYFUNCTION("""COMPUTED_VALUE"""),"Role-Based &amp; Attribute-Based Access Control (RBAC/ABAC)")</f>
        <v>Role-Based &amp; Attribute-Based Access Control (RBAC/ABAC)</v>
      </c>
    </row>
    <row r="1836">
      <c r="A1836" s="7" t="str">
        <f>IFERROR(__xludf.DUMMYFUNCTION("""COMPUTED_VALUE"""),"R45")</f>
        <v>R45</v>
      </c>
      <c r="B1836" s="7" t="str">
        <f>IFERROR(__xludf.DUMMYFUNCTION("""COMPUTED_VALUE"""),"DevSecOps Engineer")</f>
        <v>DevSecOps Engineer</v>
      </c>
      <c r="C1836" s="7" t="str">
        <f>IFERROR(__xludf.DUMMYFUNCTION("""COMPUTED_VALUE"""),"S171")</f>
        <v>S171</v>
      </c>
      <c r="D1836" s="7" t="str">
        <f>IFERROR(__xludf.DUMMYFUNCTION("""COMPUTED_VALUE"""),"Containerization with Docker")</f>
        <v>Containerization with Docker</v>
      </c>
    </row>
    <row r="1837">
      <c r="A1837" s="7" t="str">
        <f>IFERROR(__xludf.DUMMYFUNCTION("""COMPUTED_VALUE"""),"R45")</f>
        <v>R45</v>
      </c>
      <c r="B1837" s="7" t="str">
        <f>IFERROR(__xludf.DUMMYFUNCTION("""COMPUTED_VALUE"""),"DevSecOps Engineer")</f>
        <v>DevSecOps Engineer</v>
      </c>
      <c r="C1837" s="7" t="str">
        <f>IFERROR(__xludf.DUMMYFUNCTION("""COMPUTED_VALUE"""),"S172")</f>
        <v>S172</v>
      </c>
      <c r="D1837" s="7" t="str">
        <f>IFERROR(__xludf.DUMMYFUNCTION("""COMPUTED_VALUE"""),"Kubernetes Cluster Orchestration (K8s)")</f>
        <v>Kubernetes Cluster Orchestration (K8s)</v>
      </c>
    </row>
    <row r="1838">
      <c r="A1838" s="7" t="str">
        <f>IFERROR(__xludf.DUMMYFUNCTION("""COMPUTED_VALUE"""),"R45")</f>
        <v>R45</v>
      </c>
      <c r="B1838" s="7" t="str">
        <f>IFERROR(__xludf.DUMMYFUNCTION("""COMPUTED_VALUE"""),"DevSecOps Engineer")</f>
        <v>DevSecOps Engineer</v>
      </c>
      <c r="C1838" s="7" t="str">
        <f>IFERROR(__xludf.DUMMYFUNCTION("""COMPUTED_VALUE"""),"S173")</f>
        <v>S173</v>
      </c>
      <c r="D1838" s="7" t="str">
        <f>IFERROR(__xludf.DUMMYFUNCTION("""COMPUTED_VALUE"""),"Kubernetes Package Management (Helm &amp; Kustomize)")</f>
        <v>Kubernetes Package Management (Helm &amp; Kustomize)</v>
      </c>
    </row>
    <row r="1839">
      <c r="A1839" s="7" t="str">
        <f>IFERROR(__xludf.DUMMYFUNCTION("""COMPUTED_VALUE"""),"R45")</f>
        <v>R45</v>
      </c>
      <c r="B1839" s="7" t="str">
        <f>IFERROR(__xludf.DUMMYFUNCTION("""COMPUTED_VALUE"""),"DevSecOps Engineer")</f>
        <v>DevSecOps Engineer</v>
      </c>
      <c r="C1839" s="7" t="str">
        <f>IFERROR(__xludf.DUMMYFUNCTION("""COMPUTED_VALUE"""),"S174")</f>
        <v>S174</v>
      </c>
      <c r="D1839" s="7" t="str">
        <f>IFERROR(__xludf.DUMMYFUNCTION("""COMPUTED_VALUE"""),"Amazon Web Services Core (EC2, S3, RDS, IAM, VPC)")</f>
        <v>Amazon Web Services Core (EC2, S3, RDS, IAM, VPC)</v>
      </c>
    </row>
    <row r="1840">
      <c r="A1840" s="7" t="str">
        <f>IFERROR(__xludf.DUMMYFUNCTION("""COMPUTED_VALUE"""),"R45")</f>
        <v>R45</v>
      </c>
      <c r="B1840" s="7" t="str">
        <f>IFERROR(__xludf.DUMMYFUNCTION("""COMPUTED_VALUE"""),"DevSecOps Engineer")</f>
        <v>DevSecOps Engineer</v>
      </c>
      <c r="C1840" s="7" t="str">
        <f>IFERROR(__xludf.DUMMYFUNCTION("""COMPUTED_VALUE"""),"S175")</f>
        <v>S175</v>
      </c>
      <c r="D1840" s="7" t="str">
        <f>IFERROR(__xludf.DUMMYFUNCTION("""COMPUTED_VALUE"""),"Microsoft Azure Cloud Services")</f>
        <v>Microsoft Azure Cloud Services</v>
      </c>
    </row>
    <row r="1841">
      <c r="A1841" s="7" t="str">
        <f>IFERROR(__xludf.DUMMYFUNCTION("""COMPUTED_VALUE"""),"R45")</f>
        <v>R45</v>
      </c>
      <c r="B1841" s="7" t="str">
        <f>IFERROR(__xludf.DUMMYFUNCTION("""COMPUTED_VALUE"""),"DevSecOps Engineer")</f>
        <v>DevSecOps Engineer</v>
      </c>
      <c r="C1841" s="7" t="str">
        <f>IFERROR(__xludf.DUMMYFUNCTION("""COMPUTED_VALUE"""),"S176")</f>
        <v>S176</v>
      </c>
      <c r="D1841" s="7" t="str">
        <f>IFERROR(__xludf.DUMMYFUNCTION("""COMPUTED_VALUE"""),"Google Cloud Platform (GCP) Services")</f>
        <v>Google Cloud Platform (GCP) Services</v>
      </c>
    </row>
    <row r="1842">
      <c r="A1842" s="7" t="str">
        <f>IFERROR(__xludf.DUMMYFUNCTION("""COMPUTED_VALUE"""),"R45")</f>
        <v>R45</v>
      </c>
      <c r="B1842" s="7" t="str">
        <f>IFERROR(__xludf.DUMMYFUNCTION("""COMPUTED_VALUE"""),"DevSecOps Engineer")</f>
        <v>DevSecOps Engineer</v>
      </c>
      <c r="C1842" s="7" t="str">
        <f>IFERROR(__xludf.DUMMYFUNCTION("""COMPUTED_VALUE"""),"S178")</f>
        <v>S178</v>
      </c>
      <c r="D1842" s="7" t="str">
        <f>IFERROR(__xludf.DUMMYFUNCTION("""COMPUTED_VALUE"""),"Infrastructure as Code (Terraform &amp; OpenTofu)")</f>
        <v>Infrastructure as Code (Terraform &amp; OpenTofu)</v>
      </c>
    </row>
    <row r="1843">
      <c r="A1843" s="7" t="str">
        <f>IFERROR(__xludf.DUMMYFUNCTION("""COMPUTED_VALUE"""),"R45")</f>
        <v>R45</v>
      </c>
      <c r="B1843" s="7" t="str">
        <f>IFERROR(__xludf.DUMMYFUNCTION("""COMPUTED_VALUE"""),"DevSecOps Engineer")</f>
        <v>DevSecOps Engineer</v>
      </c>
      <c r="C1843" s="7" t="str">
        <f>IFERROR(__xludf.DUMMYFUNCTION("""COMPUTED_VALUE"""),"S179")</f>
        <v>S179</v>
      </c>
      <c r="D1843" s="7" t="str">
        <f>IFERROR(__xludf.DUMMYFUNCTION("""COMPUTED_VALUE"""),"Configuration Management (Ansible, Chef, Puppet)")</f>
        <v>Configuration Management (Ansible, Chef, Puppet)</v>
      </c>
    </row>
    <row r="1844">
      <c r="A1844" s="7" t="str">
        <f>IFERROR(__xludf.DUMMYFUNCTION("""COMPUTED_VALUE"""),"R45")</f>
        <v>R45</v>
      </c>
      <c r="B1844" s="7" t="str">
        <f>IFERROR(__xludf.DUMMYFUNCTION("""COMPUTED_VALUE"""),"DevSecOps Engineer")</f>
        <v>DevSecOps Engineer</v>
      </c>
      <c r="C1844" s="7" t="str">
        <f>IFERROR(__xludf.DUMMYFUNCTION("""COMPUTED_VALUE"""),"S180")</f>
        <v>S180</v>
      </c>
      <c r="D1844" s="7" t="str">
        <f>IFERROR(__xludf.DUMMYFUNCTION("""COMPUTED_VALUE"""),"CI/CD Pipelines with GitHub Actions")</f>
        <v>CI/CD Pipelines with GitHub Actions</v>
      </c>
    </row>
    <row r="1845">
      <c r="A1845" s="7" t="str">
        <f>IFERROR(__xludf.DUMMYFUNCTION("""COMPUTED_VALUE"""),"R45")</f>
        <v>R45</v>
      </c>
      <c r="B1845" s="7" t="str">
        <f>IFERROR(__xludf.DUMMYFUNCTION("""COMPUTED_VALUE"""),"DevSecOps Engineer")</f>
        <v>DevSecOps Engineer</v>
      </c>
      <c r="C1845" s="7" t="str">
        <f>IFERROR(__xludf.DUMMYFUNCTION("""COMPUTED_VALUE"""),"S181")</f>
        <v>S181</v>
      </c>
      <c r="D1845" s="7" t="str">
        <f>IFERROR(__xludf.DUMMYFUNCTION("""COMPUTED_VALUE"""),"CI/CD Automation with GitLab CI &amp; Jenkins")</f>
        <v>CI/CD Automation with GitLab CI &amp; Jenkins</v>
      </c>
    </row>
    <row r="1846">
      <c r="A1846" s="7" t="str">
        <f>IFERROR(__xludf.DUMMYFUNCTION("""COMPUTED_VALUE"""),"R45")</f>
        <v>R45</v>
      </c>
      <c r="B1846" s="7" t="str">
        <f>IFERROR(__xludf.DUMMYFUNCTION("""COMPUTED_VALUE"""),"DevSecOps Engineer")</f>
        <v>DevSecOps Engineer</v>
      </c>
      <c r="C1846" s="7" t="str">
        <f>IFERROR(__xludf.DUMMYFUNCTION("""COMPUTED_VALUE"""),"S182")</f>
        <v>S182</v>
      </c>
      <c r="D1846" s="7" t="str">
        <f>IFERROR(__xludf.DUMMYFUNCTION("""COMPUTED_VALUE"""),"GitOps &amp; Continuous Delivery (ArgoCD, Flux)")</f>
        <v>GitOps &amp; Continuous Delivery (ArgoCD, Flux)</v>
      </c>
    </row>
    <row r="1847">
      <c r="A1847" s="7" t="str">
        <f>IFERROR(__xludf.DUMMYFUNCTION("""COMPUTED_VALUE"""),"R45")</f>
        <v>R45</v>
      </c>
      <c r="B1847" s="7" t="str">
        <f>IFERROR(__xludf.DUMMYFUNCTION("""COMPUTED_VALUE"""),"DevSecOps Engineer")</f>
        <v>DevSecOps Engineer</v>
      </c>
      <c r="C1847" s="7" t="str">
        <f>IFERROR(__xludf.DUMMYFUNCTION("""COMPUTED_VALUE"""),"S183")</f>
        <v>S183</v>
      </c>
      <c r="D1847" s="7" t="str">
        <f>IFERROR(__xludf.DUMMYFUNCTION("""COMPUTED_VALUE"""),"Web Servers, Reverse Proxy &amp; Load Balancing (Nginx, HAProxy)")</f>
        <v>Web Servers, Reverse Proxy &amp; Load Balancing (Nginx, HAProxy)</v>
      </c>
    </row>
    <row r="1848">
      <c r="A1848" s="7" t="str">
        <f>IFERROR(__xludf.DUMMYFUNCTION("""COMPUTED_VALUE"""),"R45")</f>
        <v>R45</v>
      </c>
      <c r="B1848" s="7" t="str">
        <f>IFERROR(__xludf.DUMMYFUNCTION("""COMPUTED_VALUE"""),"DevSecOps Engineer")</f>
        <v>DevSecOps Engineer</v>
      </c>
      <c r="C1848" s="7" t="str">
        <f>IFERROR(__xludf.DUMMYFUNCTION("""COMPUTED_VALUE"""),"S184")</f>
        <v>S184</v>
      </c>
      <c r="D1848" s="7" t="str">
        <f>IFERROR(__xludf.DUMMYFUNCTION("""COMPUTED_VALUE"""),"Infrastructure &amp; Metrics Monitoring (Prometheus &amp; Grafana)")</f>
        <v>Infrastructure &amp; Metrics Monitoring (Prometheus &amp; Grafana)</v>
      </c>
    </row>
    <row r="1849">
      <c r="A1849" s="7" t="str">
        <f>IFERROR(__xludf.DUMMYFUNCTION("""COMPUTED_VALUE"""),"R45")</f>
        <v>R45</v>
      </c>
      <c r="B1849" s="7" t="str">
        <f>IFERROR(__xludf.DUMMYFUNCTION("""COMPUTED_VALUE"""),"DevSecOps Engineer")</f>
        <v>DevSecOps Engineer</v>
      </c>
      <c r="C1849" s="7" t="str">
        <f>IFERROR(__xludf.DUMMYFUNCTION("""COMPUTED_VALUE"""),"S185")</f>
        <v>S185</v>
      </c>
      <c r="D1849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850">
      <c r="A1850" s="7" t="str">
        <f>IFERROR(__xludf.DUMMYFUNCTION("""COMPUTED_VALUE"""),"R45")</f>
        <v>R45</v>
      </c>
      <c r="B1850" s="7" t="str">
        <f>IFERROR(__xludf.DUMMYFUNCTION("""COMPUTED_VALUE"""),"DevSecOps Engineer")</f>
        <v>DevSecOps Engineer</v>
      </c>
      <c r="C1850" s="7" t="str">
        <f>IFERROR(__xludf.DUMMYFUNCTION("""COMPUTED_VALUE"""),"S191")</f>
        <v>S191</v>
      </c>
      <c r="D1850" s="7" t="str">
        <f>IFERROR(__xludf.DUMMYFUNCTION("""COMPUTED_VALUE"""),"Enterprise Linux System Administration (RHEL, Ubuntu, systemd)")</f>
        <v>Enterprise Linux System Administration (RHEL, Ubuntu, systemd)</v>
      </c>
    </row>
    <row r="1851">
      <c r="A1851" s="7" t="str">
        <f>IFERROR(__xludf.DUMMYFUNCTION("""COMPUTED_VALUE"""),"R45")</f>
        <v>R45</v>
      </c>
      <c r="B1851" s="7" t="str">
        <f>IFERROR(__xludf.DUMMYFUNCTION("""COMPUTED_VALUE"""),"DevSecOps Engineer")</f>
        <v>DevSecOps Engineer</v>
      </c>
      <c r="C1851" s="7" t="str">
        <f>IFERROR(__xludf.DUMMYFUNCTION("""COMPUTED_VALUE"""),"S194")</f>
        <v>S194</v>
      </c>
      <c r="D1851" s="7" t="str">
        <f>IFERROR(__xludf.DUMMYFUNCTION("""COMPUTED_VALUE"""),"TCP/IP Networking, Subnetting, VLANs &amp; VPNs")</f>
        <v>TCP/IP Networking, Subnetting, VLANs &amp; VPNs</v>
      </c>
    </row>
    <row r="1852">
      <c r="A1852" s="7" t="str">
        <f>IFERROR(__xludf.DUMMYFUNCTION("""COMPUTED_VALUE"""),"R45")</f>
        <v>R45</v>
      </c>
      <c r="B1852" s="7" t="str">
        <f>IFERROR(__xludf.DUMMYFUNCTION("""COMPUTED_VALUE"""),"DevSecOps Engineer")</f>
        <v>DevSecOps Engineer</v>
      </c>
      <c r="C1852" s="7" t="str">
        <f>IFERROR(__xludf.DUMMYFUNCTION("""COMPUTED_VALUE"""),"S196")</f>
        <v>S196</v>
      </c>
      <c r="D1852" s="7" t="str">
        <f>IFERROR(__xludf.DUMMYFUNCTION("""COMPUTED_VALUE"""),"Cybersecurity Principles &amp; CIA Triad")</f>
        <v>Cybersecurity Principles &amp; CIA Triad</v>
      </c>
    </row>
    <row r="1853">
      <c r="A1853" s="7" t="str">
        <f>IFERROR(__xludf.DUMMYFUNCTION("""COMPUTED_VALUE"""),"R45")</f>
        <v>R45</v>
      </c>
      <c r="B1853" s="7" t="str">
        <f>IFERROR(__xludf.DUMMYFUNCTION("""COMPUTED_VALUE"""),"DevSecOps Engineer")</f>
        <v>DevSecOps Engineer</v>
      </c>
      <c r="C1853" s="7" t="str">
        <f>IFERROR(__xludf.DUMMYFUNCTION("""COMPUTED_VALUE"""),"S197")</f>
        <v>S197</v>
      </c>
      <c r="D1853" s="7" t="str">
        <f>IFERROR(__xludf.DUMMYFUNCTION("""COMPUTED_VALUE"""),"Network Security, Firewalls &amp; WAF")</f>
        <v>Network Security, Firewalls &amp; WAF</v>
      </c>
    </row>
    <row r="1854">
      <c r="A1854" s="7" t="str">
        <f>IFERROR(__xludf.DUMMYFUNCTION("""COMPUTED_VALUE"""),"R45")</f>
        <v>R45</v>
      </c>
      <c r="B1854" s="7" t="str">
        <f>IFERROR(__xludf.DUMMYFUNCTION("""COMPUTED_VALUE"""),"DevSecOps Engineer")</f>
        <v>DevSecOps Engineer</v>
      </c>
      <c r="C1854" s="7" t="str">
        <f>IFERROR(__xludf.DUMMYFUNCTION("""COMPUTED_VALUE"""),"S198")</f>
        <v>S198</v>
      </c>
      <c r="D1854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1855">
      <c r="A1855" s="7" t="str">
        <f>IFERROR(__xludf.DUMMYFUNCTION("""COMPUTED_VALUE"""),"R45")</f>
        <v>R45</v>
      </c>
      <c r="B1855" s="7" t="str">
        <f>IFERROR(__xludf.DUMMYFUNCTION("""COMPUTED_VALUE"""),"DevSecOps Engineer")</f>
        <v>DevSecOps Engineer</v>
      </c>
      <c r="C1855" s="7" t="str">
        <f>IFERROR(__xludf.DUMMYFUNCTION("""COMPUTED_VALUE"""),"S200")</f>
        <v>S200</v>
      </c>
      <c r="D1855" s="7" t="str">
        <f>IFERROR(__xludf.DUMMYFUNCTION("""COMPUTED_VALUE"""),"Web Application Security &amp; OWASP Top 10")</f>
        <v>Web Application Security &amp; OWASP Top 10</v>
      </c>
    </row>
    <row r="1856">
      <c r="A1856" s="7" t="str">
        <f>IFERROR(__xludf.DUMMYFUNCTION("""COMPUTED_VALUE"""),"R45")</f>
        <v>R45</v>
      </c>
      <c r="B1856" s="7" t="str">
        <f>IFERROR(__xludf.DUMMYFUNCTION("""COMPUTED_VALUE"""),"DevSecOps Engineer")</f>
        <v>DevSecOps Engineer</v>
      </c>
      <c r="C1856" s="7" t="str">
        <f>IFERROR(__xludf.DUMMYFUNCTION("""COMPUTED_VALUE"""),"S201")</f>
        <v>S201</v>
      </c>
      <c r="D1856" s="7" t="str">
        <f>IFERROR(__xludf.DUMMYFUNCTION("""COMPUTED_VALUE"""),"Web Application Penetration Testing (Burp Suite, OWASP ZAP)")</f>
        <v>Web Application Penetration Testing (Burp Suite, OWASP ZAP)</v>
      </c>
    </row>
    <row r="1857">
      <c r="A1857" s="7" t="str">
        <f>IFERROR(__xludf.DUMMYFUNCTION("""COMPUTED_VALUE"""),"R45")</f>
        <v>R45</v>
      </c>
      <c r="B1857" s="7" t="str">
        <f>IFERROR(__xludf.DUMMYFUNCTION("""COMPUTED_VALUE"""),"DevSecOps Engineer")</f>
        <v>DevSecOps Engineer</v>
      </c>
      <c r="C1857" s="7" t="str">
        <f>IFERROR(__xludf.DUMMYFUNCTION("""COMPUTED_VALUE"""),"S203")</f>
        <v>S203</v>
      </c>
      <c r="D1857" s="7" t="str">
        <f>IFERROR(__xludf.DUMMYFUNCTION("""COMPUTED_VALUE"""),"Vulnerability Assessment &amp; Management (Nessus, OpenVAS, Qualys)")</f>
        <v>Vulnerability Assessment &amp; Management (Nessus, OpenVAS, Qualys)</v>
      </c>
    </row>
    <row r="1858">
      <c r="A1858" s="7" t="str">
        <f>IFERROR(__xludf.DUMMYFUNCTION("""COMPUTED_VALUE"""),"R45")</f>
        <v>R45</v>
      </c>
      <c r="B1858" s="7" t="str">
        <f>IFERROR(__xludf.DUMMYFUNCTION("""COMPUTED_VALUE"""),"DevSecOps Engineer")</f>
        <v>DevSecOps Engineer</v>
      </c>
      <c r="C1858" s="7" t="str">
        <f>IFERROR(__xludf.DUMMYFUNCTION("""COMPUTED_VALUE"""),"S204")</f>
        <v>S204</v>
      </c>
      <c r="D1858" s="7" t="str">
        <f>IFERROR(__xludf.DUMMYFUNCTION("""COMPUTED_VALUE"""),"Security Information &amp; Event Management (SIEM: Splunk, Sentinel, QRadar)")</f>
        <v>Security Information &amp; Event Management (SIEM: Splunk, Sentinel, QRadar)</v>
      </c>
    </row>
    <row r="1859">
      <c r="A1859" s="7" t="str">
        <f>IFERROR(__xludf.DUMMYFUNCTION("""COMPUTED_VALUE"""),"R45")</f>
        <v>R45</v>
      </c>
      <c r="B1859" s="7" t="str">
        <f>IFERROR(__xludf.DUMMYFUNCTION("""COMPUTED_VALUE"""),"DevSecOps Engineer")</f>
        <v>DevSecOps Engineer</v>
      </c>
      <c r="C1859" s="7" t="str">
        <f>IFERROR(__xludf.DUMMYFUNCTION("""COMPUTED_VALUE"""),"S209")</f>
        <v>S209</v>
      </c>
      <c r="D1859" s="7" t="str">
        <f>IFERROR(__xludf.DUMMYFUNCTION("""COMPUTED_VALUE"""),"Applied Cryptography, Hashing &amp; PKI Certificates")</f>
        <v>Applied Cryptography, Hashing &amp; PKI Certificates</v>
      </c>
    </row>
    <row r="1860">
      <c r="A1860" s="7" t="str">
        <f>IFERROR(__xludf.DUMMYFUNCTION("""COMPUTED_VALUE"""),"R45")</f>
        <v>R45</v>
      </c>
      <c r="B1860" s="7" t="str">
        <f>IFERROR(__xludf.DUMMYFUNCTION("""COMPUTED_VALUE"""),"DevSecOps Engineer")</f>
        <v>DevSecOps Engineer</v>
      </c>
      <c r="C1860" s="7" t="str">
        <f>IFERROR(__xludf.DUMMYFUNCTION("""COMPUTED_VALUE"""),"S210")</f>
        <v>S210</v>
      </c>
      <c r="D1860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861">
      <c r="A1861" s="7" t="str">
        <f>IFERROR(__xludf.DUMMYFUNCTION("""COMPUTED_VALUE"""),"R45")</f>
        <v>R45</v>
      </c>
      <c r="B1861" s="7" t="str">
        <f>IFERROR(__xludf.DUMMYFUNCTION("""COMPUTED_VALUE"""),"DevSecOps Engineer")</f>
        <v>DevSecOps Engineer</v>
      </c>
      <c r="C1861" s="7" t="str">
        <f>IFERROR(__xludf.DUMMYFUNCTION("""COMPUTED_VALUE"""),"S211")</f>
        <v>S211</v>
      </c>
      <c r="D1861" s="7" t="str">
        <f>IFERROR(__xludf.DUMMYFUNCTION("""COMPUTED_VALUE"""),"Zero Trust Network Architecture")</f>
        <v>Zero Trust Network Architecture</v>
      </c>
    </row>
    <row r="1862">
      <c r="A1862" s="7" t="str">
        <f>IFERROR(__xludf.DUMMYFUNCTION("""COMPUTED_VALUE"""),"R45")</f>
        <v>R45</v>
      </c>
      <c r="B1862" s="7" t="str">
        <f>IFERROR(__xludf.DUMMYFUNCTION("""COMPUTED_VALUE"""),"DevSecOps Engineer")</f>
        <v>DevSecOps Engineer</v>
      </c>
      <c r="C1862" s="7" t="str">
        <f>IFERROR(__xludf.DUMMYFUNCTION("""COMPUTED_VALUE"""),"S212")</f>
        <v>S212</v>
      </c>
      <c r="D1862" s="7" t="str">
        <f>IFERROR(__xludf.DUMMYFUNCTION("""COMPUTED_VALUE"""),"Cloud Security Posture Management (AWS/Azure Security, CSPM)")</f>
        <v>Cloud Security Posture Management (AWS/Azure Security, CSPM)</v>
      </c>
    </row>
    <row r="1863">
      <c r="A1863" s="7" t="str">
        <f>IFERROR(__xludf.DUMMYFUNCTION("""COMPUTED_VALUE"""),"R45")</f>
        <v>R45</v>
      </c>
      <c r="B1863" s="7" t="str">
        <f>IFERROR(__xludf.DUMMYFUNCTION("""COMPUTED_VALUE"""),"DevSecOps Engineer")</f>
        <v>DevSecOps Engineer</v>
      </c>
      <c r="C1863" s="7" t="str">
        <f>IFERROR(__xludf.DUMMYFUNCTION("""COMPUTED_VALUE"""),"S213")</f>
        <v>S213</v>
      </c>
      <c r="D1863" s="7" t="str">
        <f>IFERROR(__xludf.DUMMYFUNCTION("""COMPUTED_VALUE"""),"Container &amp; Kubernetes Security (Trivy, Falco, RBAC)")</f>
        <v>Container &amp; Kubernetes Security (Trivy, Falco, RBAC)</v>
      </c>
    </row>
    <row r="1864">
      <c r="A1864" s="7" t="str">
        <f>IFERROR(__xludf.DUMMYFUNCTION("""COMPUTED_VALUE"""),"R45")</f>
        <v>R45</v>
      </c>
      <c r="B1864" s="7" t="str">
        <f>IFERROR(__xludf.DUMMYFUNCTION("""COMPUTED_VALUE"""),"DevSecOps Engineer")</f>
        <v>DevSecOps Engineer</v>
      </c>
      <c r="C1864" s="7" t="str">
        <f>IFERROR(__xludf.DUMMYFUNCTION("""COMPUTED_VALUE"""),"S214")</f>
        <v>S214</v>
      </c>
      <c r="D1864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1865">
      <c r="A1865" s="7" t="str">
        <f>IFERROR(__xludf.DUMMYFUNCTION("""COMPUTED_VALUE"""),"R45")</f>
        <v>R45</v>
      </c>
      <c r="B1865" s="7" t="str">
        <f>IFERROR(__xludf.DUMMYFUNCTION("""COMPUTED_VALUE"""),"DevSecOps Engineer")</f>
        <v>DevSecOps Engineer</v>
      </c>
      <c r="C1865" s="7" t="str">
        <f>IFERROR(__xludf.DUMMYFUNCTION("""COMPUTED_VALUE"""),"S215")</f>
        <v>S215</v>
      </c>
      <c r="D1865" s="7" t="str">
        <f>IFERROR(__xludf.DUMMYFUNCTION("""COMPUTED_VALUE"""),"Secrets Management (HashiCorp Vault, AWS Secrets Manager)")</f>
        <v>Secrets Management (HashiCorp Vault, AWS Secrets Manager)</v>
      </c>
    </row>
    <row r="1866">
      <c r="A1866" s="7" t="str">
        <f>IFERROR(__xludf.DUMMYFUNCTION("""COMPUTED_VALUE"""),"R45")</f>
        <v>R45</v>
      </c>
      <c r="B1866" s="7" t="str">
        <f>IFERROR(__xludf.DUMMYFUNCTION("""COMPUTED_VALUE"""),"DevSecOps Engineer")</f>
        <v>DevSecOps Engineer</v>
      </c>
      <c r="C1866" s="7" t="str">
        <f>IFERROR(__xludf.DUMMYFUNCTION("""COMPUTED_VALUE"""),"S216")</f>
        <v>S216</v>
      </c>
      <c r="D1866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1867">
      <c r="A1867" s="7" t="str">
        <f>IFERROR(__xludf.DUMMYFUNCTION("""COMPUTED_VALUE"""),"R45")</f>
        <v>R45</v>
      </c>
      <c r="B1867" s="7" t="str">
        <f>IFERROR(__xludf.DUMMYFUNCTION("""COMPUTED_VALUE"""),"DevSecOps Engineer")</f>
        <v>DevSecOps Engineer</v>
      </c>
      <c r="C1867" s="7" t="str">
        <f>IFERROR(__xludf.DUMMYFUNCTION("""COMPUTED_VALUE"""),"S217")</f>
        <v>S217</v>
      </c>
      <c r="D1867" s="7" t="str">
        <f>IFERROR(__xludf.DUMMYFUNCTION("""COMPUTED_VALUE"""),"Governance, Risk &amp; Compliance (ISO 27001, SOC 2, NIST, GDPR)")</f>
        <v>Governance, Risk &amp; Compliance (ISO 27001, SOC 2, NIST, GDPR)</v>
      </c>
    </row>
    <row r="1868">
      <c r="A1868" s="7" t="str">
        <f>IFERROR(__xludf.DUMMYFUNCTION("""COMPUTED_VALUE"""),"R45")</f>
        <v>R45</v>
      </c>
      <c r="B1868" s="7" t="str">
        <f>IFERROR(__xludf.DUMMYFUNCTION("""COMPUTED_VALUE"""),"DevSecOps Engineer")</f>
        <v>DevSecOps Engineer</v>
      </c>
      <c r="C1868" s="7" t="str">
        <f>IFERROR(__xludf.DUMMYFUNCTION("""COMPUTED_VALUE"""),"S219")</f>
        <v>S219</v>
      </c>
      <c r="D1868" s="7" t="str">
        <f>IFERROR(__xludf.DUMMYFUNCTION("""COMPUTED_VALUE"""),"Secure Coding Practices &amp; Threat Mitigation")</f>
        <v>Secure Coding Practices &amp; Threat Mitigation</v>
      </c>
    </row>
    <row r="1869">
      <c r="A1869" s="7" t="str">
        <f>IFERROR(__xludf.DUMMYFUNCTION("""COMPUTED_VALUE"""),"R45")</f>
        <v>R45</v>
      </c>
      <c r="B1869" s="7" t="str">
        <f>IFERROR(__xludf.DUMMYFUNCTION("""COMPUTED_VALUE"""),"DevSecOps Engineer")</f>
        <v>DevSecOps Engineer</v>
      </c>
      <c r="C1869" s="7" t="str">
        <f>IFERROR(__xludf.DUMMYFUNCTION("""COMPUTED_VALUE"""),"S246")</f>
        <v>S246</v>
      </c>
      <c r="D1869" s="7" t="str">
        <f>IFERROR(__xludf.DUMMYFUNCTION("""COMPUTED_VALUE"""),"Agile Methodologies, Scrum Framework &amp; Kanban")</f>
        <v>Agile Methodologies, Scrum Framework &amp; Kanban</v>
      </c>
    </row>
    <row r="1870">
      <c r="A1870" s="7" t="str">
        <f>IFERROR(__xludf.DUMMYFUNCTION("""COMPUTED_VALUE"""),"R45")</f>
        <v>R45</v>
      </c>
      <c r="B1870" s="7" t="str">
        <f>IFERROR(__xludf.DUMMYFUNCTION("""COMPUTED_VALUE"""),"DevSecOps Engineer")</f>
        <v>DevSecOps Engineer</v>
      </c>
      <c r="C1870" s="7" t="str">
        <f>IFERROR(__xludf.DUMMYFUNCTION("""COMPUTED_VALUE"""),"S247")</f>
        <v>S247</v>
      </c>
      <c r="D1870" s="7" t="str">
        <f>IFERROR(__xludf.DUMMYFUNCTION("""COMPUTED_VALUE"""),"Project Tracking &amp; Documentation Tools (Jira, Confluence, Linear)")</f>
        <v>Project Tracking &amp; Documentation Tools (Jira, Confluence, Linear)</v>
      </c>
    </row>
    <row r="1871">
      <c r="A1871" s="7" t="str">
        <f>IFERROR(__xludf.DUMMYFUNCTION("""COMPUTED_VALUE"""),"R46")</f>
        <v>R46</v>
      </c>
      <c r="B1871" s="7" t="str">
        <f>IFERROR(__xludf.DUMMYFUNCTION("""COMPUTED_VALUE"""),"Data Governance Specialist")</f>
        <v>Data Governance Specialist</v>
      </c>
      <c r="C1871" s="7" t="str">
        <f>IFERROR(__xludf.DUMMYFUNCTION("""COMPUTED_VALUE"""),"S017")</f>
        <v>S017</v>
      </c>
      <c r="D1871" s="7" t="str">
        <f>IFERROR(__xludf.DUMMYFUNCTION("""COMPUTED_VALUE"""),"Git Version Control Fundamentals")</f>
        <v>Git Version Control Fundamentals</v>
      </c>
    </row>
    <row r="1872">
      <c r="A1872" s="7" t="str">
        <f>IFERROR(__xludf.DUMMYFUNCTION("""COMPUTED_VALUE"""),"R46")</f>
        <v>R46</v>
      </c>
      <c r="B1872" s="7" t="str">
        <f>IFERROR(__xludf.DUMMYFUNCTION("""COMPUTED_VALUE"""),"Data Governance Specialist")</f>
        <v>Data Governance Specialist</v>
      </c>
      <c r="C1872" s="7" t="str">
        <f>IFERROR(__xludf.DUMMYFUNCTION("""COMPUTED_VALUE"""),"S026")</f>
        <v>S026</v>
      </c>
      <c r="D1872" s="7" t="str">
        <f>IFERROR(__xludf.DUMMYFUNCTION("""COMPUTED_VALUE"""),"Data Serialization (JSON, XML, YAML, Protobuf)")</f>
        <v>Data Serialization (JSON, XML, YAML, Protobuf)</v>
      </c>
    </row>
    <row r="1873">
      <c r="A1873" s="7" t="str">
        <f>IFERROR(__xludf.DUMMYFUNCTION("""COMPUTED_VALUE"""),"R46")</f>
        <v>R46</v>
      </c>
      <c r="B1873" s="7" t="str">
        <f>IFERROR(__xludf.DUMMYFUNCTION("""COMPUTED_VALUE"""),"Data Governance Specialist")</f>
        <v>Data Governance Specialist</v>
      </c>
      <c r="C1873" s="7" t="str">
        <f>IFERROR(__xludf.DUMMYFUNCTION("""COMPUTED_VALUE"""),"S028")</f>
        <v>S028</v>
      </c>
      <c r="D1873" s="7" t="str">
        <f>IFERROR(__xludf.DUMMYFUNCTION("""COMPUTED_VALUE"""),"Technical Writing &amp; Markdown Documentation")</f>
        <v>Technical Writing &amp; Markdown Documentation</v>
      </c>
    </row>
    <row r="1874">
      <c r="A1874" s="7" t="str">
        <f>IFERROR(__xludf.DUMMYFUNCTION("""COMPUTED_VALUE"""),"R46")</f>
        <v>R46</v>
      </c>
      <c r="B1874" s="7" t="str">
        <f>IFERROR(__xludf.DUMMYFUNCTION("""COMPUTED_VALUE"""),"Data Governance Specialist")</f>
        <v>Data Governance Specialist</v>
      </c>
      <c r="C1874" s="7" t="str">
        <f>IFERROR(__xludf.DUMMYFUNCTION("""COMPUTED_VALUE"""),"S068")</f>
        <v>S068</v>
      </c>
      <c r="D1874" s="7" t="str">
        <f>IFERROR(__xludf.DUMMYFUNCTION("""COMPUTED_VALUE"""),"Python Programming Fundamentals")</f>
        <v>Python Programming Fundamentals</v>
      </c>
    </row>
    <row r="1875">
      <c r="A1875" s="7" t="str">
        <f>IFERROR(__xludf.DUMMYFUNCTION("""COMPUTED_VALUE"""),"R46")</f>
        <v>R46</v>
      </c>
      <c r="B1875" s="7" t="str">
        <f>IFERROR(__xludf.DUMMYFUNCTION("""COMPUTED_VALUE"""),"Data Governance Specialist")</f>
        <v>Data Governance Specialist</v>
      </c>
      <c r="C1875" s="7" t="str">
        <f>IFERROR(__xludf.DUMMYFUNCTION("""COMPUTED_VALUE"""),"S106")</f>
        <v>S106</v>
      </c>
      <c r="D1875" s="7" t="str">
        <f>IFERROR(__xludf.DUMMYFUNCTION("""COMPUTED_VALUE"""),"Relational Database Design &amp; Normalization (1NF-3NF)")</f>
        <v>Relational Database Design &amp; Normalization (1NF-3NF)</v>
      </c>
    </row>
    <row r="1876">
      <c r="A1876" s="7" t="str">
        <f>IFERROR(__xludf.DUMMYFUNCTION("""COMPUTED_VALUE"""),"R46")</f>
        <v>R46</v>
      </c>
      <c r="B1876" s="7" t="str">
        <f>IFERROR(__xludf.DUMMYFUNCTION("""COMPUTED_VALUE"""),"Data Governance Specialist")</f>
        <v>Data Governance Specialist</v>
      </c>
      <c r="C1876" s="7" t="str">
        <f>IFERROR(__xludf.DUMMYFUNCTION("""COMPUTED_VALUE"""),"S107")</f>
        <v>S107</v>
      </c>
      <c r="D1876" s="7" t="str">
        <f>IFERROR(__xludf.DUMMYFUNCTION("""COMPUTED_VALUE"""),"SQL Querying (Joins, Aggregations, Subqueries)")</f>
        <v>SQL Querying (Joins, Aggregations, Subqueries)</v>
      </c>
    </row>
    <row r="1877">
      <c r="A1877" s="7" t="str">
        <f>IFERROR(__xludf.DUMMYFUNCTION("""COMPUTED_VALUE"""),"R46")</f>
        <v>R46</v>
      </c>
      <c r="B1877" s="7" t="str">
        <f>IFERROR(__xludf.DUMMYFUNCTION("""COMPUTED_VALUE"""),"Data Governance Specialist")</f>
        <v>Data Governance Specialist</v>
      </c>
      <c r="C1877" s="7" t="str">
        <f>IFERROR(__xludf.DUMMYFUNCTION("""COMPUTED_VALUE"""),"S108")</f>
        <v>S108</v>
      </c>
      <c r="D1877" s="7" t="str">
        <f>IFERROR(__xludf.DUMMYFUNCTION("""COMPUTED_VALUE"""),"Advanced SQL (Window Functions, CTEs, Stored Procedures)")</f>
        <v>Advanced SQL (Window Functions, CTEs, Stored Procedures)</v>
      </c>
    </row>
    <row r="1878">
      <c r="A1878" s="7" t="str">
        <f>IFERROR(__xludf.DUMMYFUNCTION("""COMPUTED_VALUE"""),"R46")</f>
        <v>R46</v>
      </c>
      <c r="B1878" s="7" t="str">
        <f>IFERROR(__xludf.DUMMYFUNCTION("""COMPUTED_VALUE"""),"Data Governance Specialist")</f>
        <v>Data Governance Specialist</v>
      </c>
      <c r="C1878" s="7" t="str">
        <f>IFERROR(__xludf.DUMMYFUNCTION("""COMPUTED_VALUE"""),"S109")</f>
        <v>S109</v>
      </c>
      <c r="D1878" s="7" t="str">
        <f>IFERROR(__xludf.DUMMYFUNCTION("""COMPUTED_VALUE"""),"PostgreSQL Administration &amp; Development")</f>
        <v>PostgreSQL Administration &amp; Development</v>
      </c>
    </row>
    <row r="1879">
      <c r="A1879" s="7" t="str">
        <f>IFERROR(__xludf.DUMMYFUNCTION("""COMPUTED_VALUE"""),"R46")</f>
        <v>R46</v>
      </c>
      <c r="B1879" s="7" t="str">
        <f>IFERROR(__xludf.DUMMYFUNCTION("""COMPUTED_VALUE"""),"Data Governance Specialist")</f>
        <v>Data Governance Specialist</v>
      </c>
      <c r="C1879" s="7" t="str">
        <f>IFERROR(__xludf.DUMMYFUNCTION("""COMPUTED_VALUE"""),"S111")</f>
        <v>S111</v>
      </c>
      <c r="D1879" s="7" t="str">
        <f>IFERROR(__xludf.DUMMYFUNCTION("""COMPUTED_VALUE"""),"Microsoft SQL Server (T-SQL)")</f>
        <v>Microsoft SQL Server (T-SQL)</v>
      </c>
    </row>
    <row r="1880">
      <c r="A1880" s="7" t="str">
        <f>IFERROR(__xludf.DUMMYFUNCTION("""COMPUTED_VALUE"""),"R46")</f>
        <v>R46</v>
      </c>
      <c r="B1880" s="7" t="str">
        <f>IFERROR(__xludf.DUMMYFUNCTION("""COMPUTED_VALUE"""),"Data Governance Specialist")</f>
        <v>Data Governance Specialist</v>
      </c>
      <c r="C1880" s="7" t="str">
        <f>IFERROR(__xludf.DUMMYFUNCTION("""COMPUTED_VALUE"""),"S112")</f>
        <v>S112</v>
      </c>
      <c r="D1880" s="7" t="str">
        <f>IFERROR(__xludf.DUMMYFUNCTION("""COMPUTED_VALUE"""),"Oracle Database &amp; PL/SQL")</f>
        <v>Oracle Database &amp; PL/SQL</v>
      </c>
    </row>
    <row r="1881">
      <c r="A1881" s="7" t="str">
        <f>IFERROR(__xludf.DUMMYFUNCTION("""COMPUTED_VALUE"""),"R46")</f>
        <v>R46</v>
      </c>
      <c r="B1881" s="7" t="str">
        <f>IFERROR(__xludf.DUMMYFUNCTION("""COMPUTED_VALUE"""),"Data Governance Specialist")</f>
        <v>Data Governance Specialist</v>
      </c>
      <c r="C1881" s="7" t="str">
        <f>IFERROR(__xludf.DUMMYFUNCTION("""COMPUTED_VALUE"""),"S117")</f>
        <v>S117</v>
      </c>
      <c r="D1881" s="7" t="str">
        <f>IFERROR(__xludf.DUMMYFUNCTION("""COMPUTED_VALUE"""),"Database Backup, Point-in-Time Recovery &amp; Migration")</f>
        <v>Database Backup, Point-in-Time Recovery &amp; Migration</v>
      </c>
    </row>
    <row r="1882">
      <c r="A1882" s="7" t="str">
        <f>IFERROR(__xludf.DUMMYFUNCTION("""COMPUTED_VALUE"""),"R46")</f>
        <v>R46</v>
      </c>
      <c r="B1882" s="7" t="str">
        <f>IFERROR(__xludf.DUMMYFUNCTION("""COMPUTED_VALUE"""),"Data Governance Specialist")</f>
        <v>Data Governance Specialist</v>
      </c>
      <c r="C1882" s="7" t="str">
        <f>IFERROR(__xludf.DUMMYFUNCTION("""COMPUTED_VALUE"""),"S126")</f>
        <v>S126</v>
      </c>
      <c r="D1882" s="7" t="str">
        <f>IFERROR(__xludf.DUMMYFUNCTION("""COMPUTED_VALUE"""),"ETL / ELT Data Pipeline Design")</f>
        <v>ETL / ELT Data Pipeline Design</v>
      </c>
    </row>
    <row r="1883">
      <c r="A1883" s="7" t="str">
        <f>IFERROR(__xludf.DUMMYFUNCTION("""COMPUTED_VALUE"""),"R46")</f>
        <v>R46</v>
      </c>
      <c r="B1883" s="7" t="str">
        <f>IFERROR(__xludf.DUMMYFUNCTION("""COMPUTED_VALUE"""),"Data Governance Specialist")</f>
        <v>Data Governance Specialist</v>
      </c>
      <c r="C1883" s="7" t="str">
        <f>IFERROR(__xludf.DUMMYFUNCTION("""COMPUTED_VALUE"""),"S130")</f>
        <v>S130</v>
      </c>
      <c r="D1883" s="7" t="str">
        <f>IFERROR(__xludf.DUMMYFUNCTION("""COMPUTED_VALUE"""),"Data Transformation &amp; Analytics Engineering (dbt)")</f>
        <v>Data Transformation &amp; Analytics Engineering (dbt)</v>
      </c>
    </row>
    <row r="1884">
      <c r="A1884" s="7" t="str">
        <f>IFERROR(__xludf.DUMMYFUNCTION("""COMPUTED_VALUE"""),"R46")</f>
        <v>R46</v>
      </c>
      <c r="B1884" s="7" t="str">
        <f>IFERROR(__xludf.DUMMYFUNCTION("""COMPUTED_VALUE"""),"Data Governance Specialist")</f>
        <v>Data Governance Specialist</v>
      </c>
      <c r="C1884" s="7" t="str">
        <f>IFERROR(__xludf.DUMMYFUNCTION("""COMPUTED_VALUE"""),"S131")</f>
        <v>S131</v>
      </c>
      <c r="D1884" s="7" t="str">
        <f>IFERROR(__xludf.DUMMYFUNCTION("""COMPUTED_VALUE"""),"Cloud Data Warehousing (Snowflake, Google BigQuery, AWS Redshift)")</f>
        <v>Cloud Data Warehousing (Snowflake, Google BigQuery, AWS Redshift)</v>
      </c>
    </row>
    <row r="1885">
      <c r="A1885" s="7" t="str">
        <f>IFERROR(__xludf.DUMMYFUNCTION("""COMPUTED_VALUE"""),"R46")</f>
        <v>R46</v>
      </c>
      <c r="B1885" s="7" t="str">
        <f>IFERROR(__xludf.DUMMYFUNCTION("""COMPUTED_VALUE"""),"Data Governance Specialist")</f>
        <v>Data Governance Specialist</v>
      </c>
      <c r="C1885" s="7" t="str">
        <f>IFERROR(__xludf.DUMMYFUNCTION("""COMPUTED_VALUE"""),"S132")</f>
        <v>S132</v>
      </c>
      <c r="D1885" s="7" t="str">
        <f>IFERROR(__xludf.DUMMYFUNCTION("""COMPUTED_VALUE"""),"Data Lakehouse Architecture (Delta Lake, Apache Iceberg, Databricks)")</f>
        <v>Data Lakehouse Architecture (Delta Lake, Apache Iceberg, Databricks)</v>
      </c>
    </row>
    <row r="1886">
      <c r="A1886" s="7" t="str">
        <f>IFERROR(__xludf.DUMMYFUNCTION("""COMPUTED_VALUE"""),"R46")</f>
        <v>R46</v>
      </c>
      <c r="B1886" s="7" t="str">
        <f>IFERROR(__xludf.DUMMYFUNCTION("""COMPUTED_VALUE"""),"Data Governance Specialist")</f>
        <v>Data Governance Specialist</v>
      </c>
      <c r="C1886" s="7" t="str">
        <f>IFERROR(__xludf.DUMMYFUNCTION("""COMPUTED_VALUE"""),"S134")</f>
        <v>S134</v>
      </c>
      <c r="D1886" s="7" t="str">
        <f>IFERROR(__xludf.DUMMYFUNCTION("""COMPUTED_VALUE"""),"Data Modeling (Star Schema, Snowflake Schema, Data Vault)")</f>
        <v>Data Modeling (Star Schema, Snowflake Schema, Data Vault)</v>
      </c>
    </row>
    <row r="1887">
      <c r="A1887" s="7" t="str">
        <f>IFERROR(__xludf.DUMMYFUNCTION("""COMPUTED_VALUE"""),"R46")</f>
        <v>R46</v>
      </c>
      <c r="B1887" s="7" t="str">
        <f>IFERROR(__xludf.DUMMYFUNCTION("""COMPUTED_VALUE"""),"Data Governance Specialist")</f>
        <v>Data Governance Specialist</v>
      </c>
      <c r="C1887" s="7" t="str">
        <f>IFERROR(__xludf.DUMMYFUNCTION("""COMPUTED_VALUE"""),"S135")</f>
        <v>S135</v>
      </c>
      <c r="D1887" s="7" t="str">
        <f>IFERROR(__xludf.DUMMYFUNCTION("""COMPUTED_VALUE"""),"Data Quality, Lineage &amp; Governance (Great Expectations, Collibra)")</f>
        <v>Data Quality, Lineage &amp; Governance (Great Expectations, Collibra)</v>
      </c>
    </row>
    <row r="1888">
      <c r="A1888" s="7" t="str">
        <f>IFERROR(__xludf.DUMMYFUNCTION("""COMPUTED_VALUE"""),"R46")</f>
        <v>R46</v>
      </c>
      <c r="B1888" s="7" t="str">
        <f>IFERROR(__xludf.DUMMYFUNCTION("""COMPUTED_VALUE"""),"Data Governance Specialist")</f>
        <v>Data Governance Specialist</v>
      </c>
      <c r="C1888" s="7" t="str">
        <f>IFERROR(__xludf.DUMMYFUNCTION("""COMPUTED_VALUE"""),"S140")</f>
        <v>S140</v>
      </c>
      <c r="D1888" s="7" t="str">
        <f>IFERROR(__xludf.DUMMYFUNCTION("""COMPUTED_VALUE"""),"Data Manipulation &amp; Analysis with Pandas / Polars")</f>
        <v>Data Manipulation &amp; Analysis with Pandas / Polars</v>
      </c>
    </row>
    <row r="1889">
      <c r="A1889" s="7" t="str">
        <f>IFERROR(__xludf.DUMMYFUNCTION("""COMPUTED_VALUE"""),"R46")</f>
        <v>R46</v>
      </c>
      <c r="B1889" s="7" t="str">
        <f>IFERROR(__xludf.DUMMYFUNCTION("""COMPUTED_VALUE"""),"Data Governance Specialist")</f>
        <v>Data Governance Specialist</v>
      </c>
      <c r="C1889" s="7" t="str">
        <f>IFERROR(__xludf.DUMMYFUNCTION("""COMPUTED_VALUE"""),"S141")</f>
        <v>S141</v>
      </c>
      <c r="D1889" s="7" t="str">
        <f>IFERROR(__xludf.DUMMYFUNCTION("""COMPUTED_VALUE"""),"Exploratory Data Analysis (EDA) &amp; Data Wrangling")</f>
        <v>Exploratory Data Analysis (EDA) &amp; Data Wrangling</v>
      </c>
    </row>
    <row r="1890">
      <c r="A1890" s="7" t="str">
        <f>IFERROR(__xludf.DUMMYFUNCTION("""COMPUTED_VALUE"""),"R46")</f>
        <v>R46</v>
      </c>
      <c r="B1890" s="7" t="str">
        <f>IFERROR(__xludf.DUMMYFUNCTION("""COMPUTED_VALUE"""),"Data Governance Specialist")</f>
        <v>Data Governance Specialist</v>
      </c>
      <c r="C1890" s="7" t="str">
        <f>IFERROR(__xludf.DUMMYFUNCTION("""COMPUTED_VALUE"""),"S144")</f>
        <v>S144</v>
      </c>
      <c r="D1890" s="7" t="str">
        <f>IFERROR(__xludf.DUMMYFUNCTION("""COMPUTED_VALUE"""),"Business Intelligence &amp; Dashboards (Tableau)")</f>
        <v>Business Intelligence &amp; Dashboards (Tableau)</v>
      </c>
    </row>
    <row r="1891">
      <c r="A1891" s="7" t="str">
        <f>IFERROR(__xludf.DUMMYFUNCTION("""COMPUTED_VALUE"""),"R46")</f>
        <v>R46</v>
      </c>
      <c r="B1891" s="7" t="str">
        <f>IFERROR(__xludf.DUMMYFUNCTION("""COMPUTED_VALUE"""),"Data Governance Specialist")</f>
        <v>Data Governance Specialist</v>
      </c>
      <c r="C1891" s="7" t="str">
        <f>IFERROR(__xludf.DUMMYFUNCTION("""COMPUTED_VALUE"""),"S145")</f>
        <v>S145</v>
      </c>
      <c r="D1891" s="7" t="str">
        <f>IFERROR(__xludf.DUMMYFUNCTION("""COMPUTED_VALUE"""),"Business Intelligence &amp; DAX Modeling (Power BI)")</f>
        <v>Business Intelligence &amp; DAX Modeling (Power BI)</v>
      </c>
    </row>
    <row r="1892">
      <c r="A1892" s="7" t="str">
        <f>IFERROR(__xludf.DUMMYFUNCTION("""COMPUTED_VALUE"""),"R46")</f>
        <v>R46</v>
      </c>
      <c r="B1892" s="7" t="str">
        <f>IFERROR(__xludf.DUMMYFUNCTION("""COMPUTED_VALUE"""),"Data Governance Specialist")</f>
        <v>Data Governance Specialist</v>
      </c>
      <c r="C1892" s="7" t="str">
        <f>IFERROR(__xludf.DUMMYFUNCTION("""COMPUTED_VALUE"""),"S146")</f>
        <v>S146</v>
      </c>
      <c r="D1892" s="7" t="str">
        <f>IFERROR(__xludf.DUMMYFUNCTION("""COMPUTED_VALUE"""),"Advanced Excel, Pivot Tables &amp; Financial Modeling")</f>
        <v>Advanced Excel, Pivot Tables &amp; Financial Modeling</v>
      </c>
    </row>
    <row r="1893">
      <c r="A1893" s="7" t="str">
        <f>IFERROR(__xludf.DUMMYFUNCTION("""COMPUTED_VALUE"""),"R46")</f>
        <v>R46</v>
      </c>
      <c r="B1893" s="7" t="str">
        <f>IFERROR(__xludf.DUMMYFUNCTION("""COMPUTED_VALUE"""),"Data Governance Specialist")</f>
        <v>Data Governance Specialist</v>
      </c>
      <c r="C1893" s="7" t="str">
        <f>IFERROR(__xludf.DUMMYFUNCTION("""COMPUTED_VALUE"""),"S167")</f>
        <v>S167</v>
      </c>
      <c r="D1893" s="7" t="str">
        <f>IFERROR(__xludf.DUMMYFUNCTION("""COMPUTED_VALUE"""),"AI Ethics, Bias Mitigation &amp; Explainable AI (SHAP, LIME)")</f>
        <v>AI Ethics, Bias Mitigation &amp; Explainable AI (SHAP, LIME)</v>
      </c>
    </row>
    <row r="1894">
      <c r="A1894" s="7" t="str">
        <f>IFERROR(__xludf.DUMMYFUNCTION("""COMPUTED_VALUE"""),"R46")</f>
        <v>R46</v>
      </c>
      <c r="B1894" s="7" t="str">
        <f>IFERROR(__xludf.DUMMYFUNCTION("""COMPUTED_VALUE"""),"Data Governance Specialist")</f>
        <v>Data Governance Specialist</v>
      </c>
      <c r="C1894" s="7" t="str">
        <f>IFERROR(__xludf.DUMMYFUNCTION("""COMPUTED_VALUE"""),"S196")</f>
        <v>S196</v>
      </c>
      <c r="D1894" s="7" t="str">
        <f>IFERROR(__xludf.DUMMYFUNCTION("""COMPUTED_VALUE"""),"Cybersecurity Principles &amp; CIA Triad")</f>
        <v>Cybersecurity Principles &amp; CIA Triad</v>
      </c>
    </row>
    <row r="1895">
      <c r="A1895" s="7" t="str">
        <f>IFERROR(__xludf.DUMMYFUNCTION("""COMPUTED_VALUE"""),"R46")</f>
        <v>R46</v>
      </c>
      <c r="B1895" s="7" t="str">
        <f>IFERROR(__xludf.DUMMYFUNCTION("""COMPUTED_VALUE"""),"Data Governance Specialist")</f>
        <v>Data Governance Specialist</v>
      </c>
      <c r="C1895" s="7" t="str">
        <f>IFERROR(__xludf.DUMMYFUNCTION("""COMPUTED_VALUE"""),"S210")</f>
        <v>S210</v>
      </c>
      <c r="D1895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896">
      <c r="A1896" s="7" t="str">
        <f>IFERROR(__xludf.DUMMYFUNCTION("""COMPUTED_VALUE"""),"R46")</f>
        <v>R46</v>
      </c>
      <c r="B1896" s="7" t="str">
        <f>IFERROR(__xludf.DUMMYFUNCTION("""COMPUTED_VALUE"""),"Data Governance Specialist")</f>
        <v>Data Governance Specialist</v>
      </c>
      <c r="C1896" s="7" t="str">
        <f>IFERROR(__xludf.DUMMYFUNCTION("""COMPUTED_VALUE"""),"S217")</f>
        <v>S217</v>
      </c>
      <c r="D1896" s="7" t="str">
        <f>IFERROR(__xludf.DUMMYFUNCTION("""COMPUTED_VALUE"""),"Governance, Risk &amp; Compliance (ISO 27001, SOC 2, NIST, GDPR)")</f>
        <v>Governance, Risk &amp; Compliance (ISO 27001, SOC 2, NIST, GDPR)</v>
      </c>
    </row>
    <row r="1897">
      <c r="A1897" s="7" t="str">
        <f>IFERROR(__xludf.DUMMYFUNCTION("""COMPUTED_VALUE"""),"R46")</f>
        <v>R46</v>
      </c>
      <c r="B1897" s="7" t="str">
        <f>IFERROR(__xludf.DUMMYFUNCTION("""COMPUTED_VALUE"""),"Data Governance Specialist")</f>
        <v>Data Governance Specialist</v>
      </c>
      <c r="C1897" s="7" t="str">
        <f>IFERROR(__xludf.DUMMYFUNCTION("""COMPUTED_VALUE"""),"S218")</f>
        <v>S218</v>
      </c>
      <c r="D1897" s="7" t="str">
        <f>IFERROR(__xludf.DUMMYFUNCTION("""COMPUTED_VALUE"""),"Security Auditing &amp; IT Risk Assessment")</f>
        <v>Security Auditing &amp; IT Risk Assessment</v>
      </c>
    </row>
    <row r="1898">
      <c r="A1898" s="7" t="str">
        <f>IFERROR(__xludf.DUMMYFUNCTION("""COMPUTED_VALUE"""),"R46")</f>
        <v>R46</v>
      </c>
      <c r="B1898" s="7" t="str">
        <f>IFERROR(__xludf.DUMMYFUNCTION("""COMPUTED_VALUE"""),"Data Governance Specialist")</f>
        <v>Data Governance Specialist</v>
      </c>
      <c r="C1898" s="7" t="str">
        <f>IFERROR(__xludf.DUMMYFUNCTION("""COMPUTED_VALUE"""),"S240")</f>
        <v>S240</v>
      </c>
      <c r="D1898" s="7" t="str">
        <f>IFERROR(__xludf.DUMMYFUNCTION("""COMPUTED_VALUE"""),"Enterprise Resource Planning Systems (SAP ERP, S/4HANA, ABAP)")</f>
        <v>Enterprise Resource Planning Systems (SAP ERP, S/4HANA, ABAP)</v>
      </c>
    </row>
    <row r="1899">
      <c r="A1899" s="7" t="str">
        <f>IFERROR(__xludf.DUMMYFUNCTION("""COMPUTED_VALUE"""),"R46")</f>
        <v>R46</v>
      </c>
      <c r="B1899" s="7" t="str">
        <f>IFERROR(__xludf.DUMMYFUNCTION("""COMPUTED_VALUE"""),"Data Governance Specialist")</f>
        <v>Data Governance Specialist</v>
      </c>
      <c r="C1899" s="7" t="str">
        <f>IFERROR(__xludf.DUMMYFUNCTION("""COMPUTED_VALUE"""),"S246")</f>
        <v>S246</v>
      </c>
      <c r="D1899" s="7" t="str">
        <f>IFERROR(__xludf.DUMMYFUNCTION("""COMPUTED_VALUE"""),"Agile Methodologies, Scrum Framework &amp; Kanban")</f>
        <v>Agile Methodologies, Scrum Framework &amp; Kanban</v>
      </c>
    </row>
    <row r="1900">
      <c r="A1900" s="7" t="str">
        <f>IFERROR(__xludf.DUMMYFUNCTION("""COMPUTED_VALUE"""),"R46")</f>
        <v>R46</v>
      </c>
      <c r="B1900" s="7" t="str">
        <f>IFERROR(__xludf.DUMMYFUNCTION("""COMPUTED_VALUE"""),"Data Governance Specialist")</f>
        <v>Data Governance Specialist</v>
      </c>
      <c r="C1900" s="7" t="str">
        <f>IFERROR(__xludf.DUMMYFUNCTION("""COMPUTED_VALUE"""),"S247")</f>
        <v>S247</v>
      </c>
      <c r="D1900" s="7" t="str">
        <f>IFERROR(__xludf.DUMMYFUNCTION("""COMPUTED_VALUE"""),"Project Tracking &amp; Documentation Tools (Jira, Confluence, Linear)")</f>
        <v>Project Tracking &amp; Documentation Tools (Jira, Confluence, Linear)</v>
      </c>
    </row>
    <row r="1901">
      <c r="A1901" s="7" t="str">
        <f>IFERROR(__xludf.DUMMYFUNCTION("""COMPUTED_VALUE"""),"R46")</f>
        <v>R46</v>
      </c>
      <c r="B1901" s="7" t="str">
        <f>IFERROR(__xludf.DUMMYFUNCTION("""COMPUTED_VALUE"""),"Data Governance Specialist")</f>
        <v>Data Governance Specialist</v>
      </c>
      <c r="C1901" s="7" t="str">
        <f>IFERROR(__xludf.DUMMYFUNCTION("""COMPUTED_VALUE"""),"S249")</f>
        <v>S249</v>
      </c>
      <c r="D1901" s="7" t="str">
        <f>IFERROR(__xludf.DUMMYFUNCTION("""COMPUTED_VALUE"""),"Business Process Modeling, Requirements Gathering &amp; Stakeholder Management")</f>
        <v>Business Process Modeling, Requirements Gathering &amp; Stakeholder Management</v>
      </c>
    </row>
    <row r="1902">
      <c r="A1902" s="7" t="str">
        <f>IFERROR(__xludf.DUMMYFUNCTION("""COMPUTED_VALUE"""),"R47")</f>
        <v>R47</v>
      </c>
      <c r="B1902" s="7" t="str">
        <f>IFERROR(__xludf.DUMMYFUNCTION("""COMPUTED_VALUE"""),"Cloud Security Architect")</f>
        <v>Cloud Security Architect</v>
      </c>
      <c r="C1902" s="7" t="str">
        <f>IFERROR(__xludf.DUMMYFUNCTION("""COMPUTED_VALUE"""),"S002")</f>
        <v>S002</v>
      </c>
      <c r="D1902" s="7" t="str">
        <f>IFERROR(__xludf.DUMMYFUNCTION("""COMPUTED_VALUE"""),"Operating Systems Concepts")</f>
        <v>Operating Systems Concepts</v>
      </c>
    </row>
    <row r="1903">
      <c r="A1903" s="7" t="str">
        <f>IFERROR(__xludf.DUMMYFUNCTION("""COMPUTED_VALUE"""),"R47")</f>
        <v>R47</v>
      </c>
      <c r="B1903" s="7" t="str">
        <f>IFERROR(__xludf.DUMMYFUNCTION("""COMPUTED_VALUE"""),"Cloud Security Architect")</f>
        <v>Cloud Security Architect</v>
      </c>
      <c r="C1903" s="7" t="str">
        <f>IFERROR(__xludf.DUMMYFUNCTION("""COMPUTED_VALUE"""),"S003")</f>
        <v>S003</v>
      </c>
      <c r="D1903" s="7" t="str">
        <f>IFERROR(__xludf.DUMMYFUNCTION("""COMPUTED_VALUE"""),"Process &amp; Thread Management")</f>
        <v>Process &amp; Thread Management</v>
      </c>
    </row>
    <row r="1904">
      <c r="A1904" s="7" t="str">
        <f>IFERROR(__xludf.DUMMYFUNCTION("""COMPUTED_VALUE"""),"R47")</f>
        <v>R47</v>
      </c>
      <c r="B1904" s="7" t="str">
        <f>IFERROR(__xludf.DUMMYFUNCTION("""COMPUTED_VALUE"""),"Cloud Security Architect")</f>
        <v>Cloud Security Architect</v>
      </c>
      <c r="C1904" s="7" t="str">
        <f>IFERROR(__xludf.DUMMYFUNCTION("""COMPUTED_VALUE"""),"S005")</f>
        <v>S005</v>
      </c>
      <c r="D1904" s="7" t="str">
        <f>IFERROR(__xludf.DUMMYFUNCTION("""COMPUTED_VALUE"""),"File Systems &amp; Storage I/O")</f>
        <v>File Systems &amp; Storage I/O</v>
      </c>
    </row>
    <row r="1905">
      <c r="A1905" s="7" t="str">
        <f>IFERROR(__xludf.DUMMYFUNCTION("""COMPUTED_VALUE"""),"R47")</f>
        <v>R47</v>
      </c>
      <c r="B1905" s="7" t="str">
        <f>IFERROR(__xludf.DUMMYFUNCTION("""COMPUTED_VALUE"""),"Cloud Security Architect")</f>
        <v>Cloud Security Architect</v>
      </c>
      <c r="C1905" s="7" t="str">
        <f>IFERROR(__xludf.DUMMYFUNCTION("""COMPUTED_VALUE"""),"S017")</f>
        <v>S017</v>
      </c>
      <c r="D1905" s="7" t="str">
        <f>IFERROR(__xludf.DUMMYFUNCTION("""COMPUTED_VALUE"""),"Git Version Control Fundamentals")</f>
        <v>Git Version Control Fundamentals</v>
      </c>
    </row>
    <row r="1906">
      <c r="A1906" s="7" t="str">
        <f>IFERROR(__xludf.DUMMYFUNCTION("""COMPUTED_VALUE"""),"R47")</f>
        <v>R47</v>
      </c>
      <c r="B1906" s="7" t="str">
        <f>IFERROR(__xludf.DUMMYFUNCTION("""COMPUTED_VALUE"""),"Cloud Security Architect")</f>
        <v>Cloud Security Architect</v>
      </c>
      <c r="C1906" s="7" t="str">
        <f>IFERROR(__xludf.DUMMYFUNCTION("""COMPUTED_VALUE"""),"S018")</f>
        <v>S018</v>
      </c>
      <c r="D1906" s="7" t="str">
        <f>IFERROR(__xludf.DUMMYFUNCTION("""COMPUTED_VALUE"""),"GitHub / GitLab Workflows &amp; Pull Requests")</f>
        <v>GitHub / GitLab Workflows &amp; Pull Requests</v>
      </c>
    </row>
    <row r="1907">
      <c r="A1907" s="7" t="str">
        <f>IFERROR(__xludf.DUMMYFUNCTION("""COMPUTED_VALUE"""),"R47")</f>
        <v>R47</v>
      </c>
      <c r="B1907" s="7" t="str">
        <f>IFERROR(__xludf.DUMMYFUNCTION("""COMPUTED_VALUE"""),"Cloud Security Architect")</f>
        <v>Cloud Security Architect</v>
      </c>
      <c r="C1907" s="7" t="str">
        <f>IFERROR(__xludf.DUMMYFUNCTION("""COMPUTED_VALUE"""),"S019")</f>
        <v>S019</v>
      </c>
      <c r="D1907" s="7" t="str">
        <f>IFERROR(__xludf.DUMMYFUNCTION("""COMPUTED_VALUE"""),"Linux Command Line &amp; File Permissions")</f>
        <v>Linux Command Line &amp; File Permissions</v>
      </c>
    </row>
    <row r="1908">
      <c r="A1908" s="7" t="str">
        <f>IFERROR(__xludf.DUMMYFUNCTION("""COMPUTED_VALUE"""),"R47")</f>
        <v>R47</v>
      </c>
      <c r="B1908" s="7" t="str">
        <f>IFERROR(__xludf.DUMMYFUNCTION("""COMPUTED_VALUE"""),"Cloud Security Architect")</f>
        <v>Cloud Security Architect</v>
      </c>
      <c r="C1908" s="7" t="str">
        <f>IFERROR(__xludf.DUMMYFUNCTION("""COMPUTED_VALUE"""),"S020")</f>
        <v>S020</v>
      </c>
      <c r="D1908" s="7" t="str">
        <f>IFERROR(__xludf.DUMMYFUNCTION("""COMPUTED_VALUE"""),"Bash &amp; Shell Scripting")</f>
        <v>Bash &amp; Shell Scripting</v>
      </c>
    </row>
    <row r="1909">
      <c r="A1909" s="7" t="str">
        <f>IFERROR(__xludf.DUMMYFUNCTION("""COMPUTED_VALUE"""),"R47")</f>
        <v>R47</v>
      </c>
      <c r="B1909" s="7" t="str">
        <f>IFERROR(__xludf.DUMMYFUNCTION("""COMPUTED_VALUE"""),"Cloud Security Architect")</f>
        <v>Cloud Security Architect</v>
      </c>
      <c r="C1909" s="7" t="str">
        <f>IFERROR(__xludf.DUMMYFUNCTION("""COMPUTED_VALUE"""),"S022")</f>
        <v>S022</v>
      </c>
      <c r="D1909" s="7" t="str">
        <f>IFERROR(__xludf.DUMMYFUNCTION("""COMPUTED_VALUE"""),"Computer Networking &amp; OSI Model")</f>
        <v>Computer Networking &amp; OSI Model</v>
      </c>
    </row>
    <row r="1910">
      <c r="A1910" s="7" t="str">
        <f>IFERROR(__xludf.DUMMYFUNCTION("""COMPUTED_VALUE"""),"R47")</f>
        <v>R47</v>
      </c>
      <c r="B1910" s="7" t="str">
        <f>IFERROR(__xludf.DUMMYFUNCTION("""COMPUTED_VALUE"""),"Cloud Security Architect")</f>
        <v>Cloud Security Architect</v>
      </c>
      <c r="C1910" s="7" t="str">
        <f>IFERROR(__xludf.DUMMYFUNCTION("""COMPUTED_VALUE"""),"S023")</f>
        <v>S023</v>
      </c>
      <c r="D1910" s="7" t="str">
        <f>IFERROR(__xludf.DUMMYFUNCTION("""COMPUTED_VALUE"""),"HTTP/HTTPS Protocols &amp; Status Codes")</f>
        <v>HTTP/HTTPS Protocols &amp; Status Codes</v>
      </c>
    </row>
    <row r="1911">
      <c r="A1911" s="7" t="str">
        <f>IFERROR(__xludf.DUMMYFUNCTION("""COMPUTED_VALUE"""),"R47")</f>
        <v>R47</v>
      </c>
      <c r="B1911" s="7" t="str">
        <f>IFERROR(__xludf.DUMMYFUNCTION("""COMPUTED_VALUE"""),"Cloud Security Architect")</f>
        <v>Cloud Security Architect</v>
      </c>
      <c r="C1911" s="7" t="str">
        <f>IFERROR(__xludf.DUMMYFUNCTION("""COMPUTED_VALUE"""),"S024")</f>
        <v>S024</v>
      </c>
      <c r="D1911" s="7" t="str">
        <f>IFERROR(__xludf.DUMMYFUNCTION("""COMPUTED_VALUE"""),"DNS, Domain Routing &amp; SSL/TLS")</f>
        <v>DNS, Domain Routing &amp; SSL/TLS</v>
      </c>
    </row>
    <row r="1912">
      <c r="A1912" s="7" t="str">
        <f>IFERROR(__xludf.DUMMYFUNCTION("""COMPUTED_VALUE"""),"R47")</f>
        <v>R47</v>
      </c>
      <c r="B1912" s="7" t="str">
        <f>IFERROR(__xludf.DUMMYFUNCTION("""COMPUTED_VALUE"""),"Cloud Security Architect")</f>
        <v>Cloud Security Architect</v>
      </c>
      <c r="C1912" s="7" t="str">
        <f>IFERROR(__xludf.DUMMYFUNCTION("""COMPUTED_VALUE"""),"S026")</f>
        <v>S026</v>
      </c>
      <c r="D1912" s="7" t="str">
        <f>IFERROR(__xludf.DUMMYFUNCTION("""COMPUTED_VALUE"""),"Data Serialization (JSON, XML, YAML, Protobuf)")</f>
        <v>Data Serialization (JSON, XML, YAML, Protobuf)</v>
      </c>
    </row>
    <row r="1913">
      <c r="A1913" s="7" t="str">
        <f>IFERROR(__xludf.DUMMYFUNCTION("""COMPUTED_VALUE"""),"R47")</f>
        <v>R47</v>
      </c>
      <c r="B1913" s="7" t="str">
        <f>IFERROR(__xludf.DUMMYFUNCTION("""COMPUTED_VALUE"""),"Cloud Security Architect")</f>
        <v>Cloud Security Architect</v>
      </c>
      <c r="C1913" s="7" t="str">
        <f>IFERROR(__xludf.DUMMYFUNCTION("""COMPUTED_VALUE"""),"S028")</f>
        <v>S028</v>
      </c>
      <c r="D1913" s="7" t="str">
        <f>IFERROR(__xludf.DUMMYFUNCTION("""COMPUTED_VALUE"""),"Technical Writing &amp; Markdown Documentation")</f>
        <v>Technical Writing &amp; Markdown Documentation</v>
      </c>
    </row>
    <row r="1914">
      <c r="A1914" s="7" t="str">
        <f>IFERROR(__xludf.DUMMYFUNCTION("""COMPUTED_VALUE"""),"R47")</f>
        <v>R47</v>
      </c>
      <c r="B1914" s="7" t="str">
        <f>IFERROR(__xludf.DUMMYFUNCTION("""COMPUTED_VALUE"""),"Cloud Security Architect")</f>
        <v>Cloud Security Architect</v>
      </c>
      <c r="C1914" s="7" t="str">
        <f>IFERROR(__xludf.DUMMYFUNCTION("""COMPUTED_VALUE"""),"S068")</f>
        <v>S068</v>
      </c>
      <c r="D1914" s="7" t="str">
        <f>IFERROR(__xludf.DUMMYFUNCTION("""COMPUTED_VALUE"""),"Python Programming Fundamentals")</f>
        <v>Python Programming Fundamentals</v>
      </c>
    </row>
    <row r="1915">
      <c r="A1915" s="7" t="str">
        <f>IFERROR(__xludf.DUMMYFUNCTION("""COMPUTED_VALUE"""),"R47")</f>
        <v>R47</v>
      </c>
      <c r="B1915" s="7" t="str">
        <f>IFERROR(__xludf.DUMMYFUNCTION("""COMPUTED_VALUE"""),"Cloud Security Architect")</f>
        <v>Cloud Security Architect</v>
      </c>
      <c r="C1915" s="7" t="str">
        <f>IFERROR(__xludf.DUMMYFUNCTION("""COMPUTED_VALUE"""),"S077")</f>
        <v>S077</v>
      </c>
      <c r="D1915" s="7" t="str">
        <f>IFERROR(__xludf.DUMMYFUNCTION("""COMPUTED_VALUE"""),"Go (Golang) Programming")</f>
        <v>Go (Golang) Programming</v>
      </c>
    </row>
    <row r="1916">
      <c r="A1916" s="7" t="str">
        <f>IFERROR(__xludf.DUMMYFUNCTION("""COMPUTED_VALUE"""),"R47")</f>
        <v>R47</v>
      </c>
      <c r="B1916" s="7" t="str">
        <f>IFERROR(__xludf.DUMMYFUNCTION("""COMPUTED_VALUE"""),"Cloud Security Architect")</f>
        <v>Cloud Security Architect</v>
      </c>
      <c r="C1916" s="7" t="str">
        <f>IFERROR(__xludf.DUMMYFUNCTION("""COMPUTED_VALUE"""),"S086")</f>
        <v>S086</v>
      </c>
      <c r="D1916" s="7" t="str">
        <f>IFERROR(__xludf.DUMMYFUNCTION("""COMPUTED_VALUE"""),"RESTful API Design &amp; OpenAPI/Swagger")</f>
        <v>RESTful API Design &amp; OpenAPI/Swagger</v>
      </c>
    </row>
    <row r="1917">
      <c r="A1917" s="7" t="str">
        <f>IFERROR(__xludf.DUMMYFUNCTION("""COMPUTED_VALUE"""),"R47")</f>
        <v>R47</v>
      </c>
      <c r="B1917" s="7" t="str">
        <f>IFERROR(__xludf.DUMMYFUNCTION("""COMPUTED_VALUE"""),"Cloud Security Architect")</f>
        <v>Cloud Security Architect</v>
      </c>
      <c r="C1917" s="7" t="str">
        <f>IFERROR(__xludf.DUMMYFUNCTION("""COMPUTED_VALUE"""),"S091")</f>
        <v>S091</v>
      </c>
      <c r="D1917" s="7" t="str">
        <f>IFERROR(__xludf.DUMMYFUNCTION("""COMPUTED_VALUE"""),"Authentication &amp; Session Management (JWT, Cookies)")</f>
        <v>Authentication &amp; Session Management (JWT, Cookies)</v>
      </c>
    </row>
    <row r="1918">
      <c r="A1918" s="7" t="str">
        <f>IFERROR(__xludf.DUMMYFUNCTION("""COMPUTED_VALUE"""),"R47")</f>
        <v>R47</v>
      </c>
      <c r="B1918" s="7" t="str">
        <f>IFERROR(__xludf.DUMMYFUNCTION("""COMPUTED_VALUE"""),"Cloud Security Architect")</f>
        <v>Cloud Security Architect</v>
      </c>
      <c r="C1918" s="7" t="str">
        <f>IFERROR(__xludf.DUMMYFUNCTION("""COMPUTED_VALUE"""),"S092")</f>
        <v>S092</v>
      </c>
      <c r="D1918" s="7" t="str">
        <f>IFERROR(__xludf.DUMMYFUNCTION("""COMPUTED_VALUE"""),"OAuth 2.0, OpenID Connect (OIDC) &amp; SSO")</f>
        <v>OAuth 2.0, OpenID Connect (OIDC) &amp; SSO</v>
      </c>
    </row>
    <row r="1919">
      <c r="A1919" s="7" t="str">
        <f>IFERROR(__xludf.DUMMYFUNCTION("""COMPUTED_VALUE"""),"R47")</f>
        <v>R47</v>
      </c>
      <c r="B1919" s="7" t="str">
        <f>IFERROR(__xludf.DUMMYFUNCTION("""COMPUTED_VALUE"""),"Cloud Security Architect")</f>
        <v>Cloud Security Architect</v>
      </c>
      <c r="C1919" s="7" t="str">
        <f>IFERROR(__xludf.DUMMYFUNCTION("""COMPUTED_VALUE"""),"S093")</f>
        <v>S093</v>
      </c>
      <c r="D1919" s="7" t="str">
        <f>IFERROR(__xludf.DUMMYFUNCTION("""COMPUTED_VALUE"""),"Role-Based &amp; Attribute-Based Access Control (RBAC/ABAC)")</f>
        <v>Role-Based &amp; Attribute-Based Access Control (RBAC/ABAC)</v>
      </c>
    </row>
    <row r="1920">
      <c r="A1920" s="7" t="str">
        <f>IFERROR(__xludf.DUMMYFUNCTION("""COMPUTED_VALUE"""),"R47")</f>
        <v>R47</v>
      </c>
      <c r="B1920" s="7" t="str">
        <f>IFERROR(__xludf.DUMMYFUNCTION("""COMPUTED_VALUE"""),"Cloud Security Architect")</f>
        <v>Cloud Security Architect</v>
      </c>
      <c r="C1920" s="7" t="str">
        <f>IFERROR(__xludf.DUMMYFUNCTION("""COMPUTED_VALUE"""),"S094")</f>
        <v>S094</v>
      </c>
      <c r="D1920" s="7" t="str">
        <f>IFERROR(__xludf.DUMMYFUNCTION("""COMPUTED_VALUE"""),"API Gateways, Rate Limiting &amp; Throttling (Kong, Envoy)")</f>
        <v>API Gateways, Rate Limiting &amp; Throttling (Kong, Envoy)</v>
      </c>
    </row>
    <row r="1921">
      <c r="A1921" s="7" t="str">
        <f>IFERROR(__xludf.DUMMYFUNCTION("""COMPUTED_VALUE"""),"R47")</f>
        <v>R47</v>
      </c>
      <c r="B1921" s="7" t="str">
        <f>IFERROR(__xludf.DUMMYFUNCTION("""COMPUTED_VALUE"""),"Cloud Security Architect")</f>
        <v>Cloud Security Architect</v>
      </c>
      <c r="C1921" s="7" t="str">
        <f>IFERROR(__xludf.DUMMYFUNCTION("""COMPUTED_VALUE"""),"S095")</f>
        <v>S095</v>
      </c>
      <c r="D1921" s="7" t="str">
        <f>IFERROR(__xludf.DUMMYFUNCTION("""COMPUTED_VALUE"""),"Microservices Architecture &amp; Service Mesh")</f>
        <v>Microservices Architecture &amp; Service Mesh</v>
      </c>
    </row>
    <row r="1922">
      <c r="A1922" s="7" t="str">
        <f>IFERROR(__xludf.DUMMYFUNCTION("""COMPUTED_VALUE"""),"R47")</f>
        <v>R47</v>
      </c>
      <c r="B1922" s="7" t="str">
        <f>IFERROR(__xludf.DUMMYFUNCTION("""COMPUTED_VALUE"""),"Cloud Security Architect")</f>
        <v>Cloud Security Architect</v>
      </c>
      <c r="C1922" s="7" t="str">
        <f>IFERROR(__xludf.DUMMYFUNCTION("""COMPUTED_VALUE"""),"S171")</f>
        <v>S171</v>
      </c>
      <c r="D1922" s="7" t="str">
        <f>IFERROR(__xludf.DUMMYFUNCTION("""COMPUTED_VALUE"""),"Containerization with Docker")</f>
        <v>Containerization with Docker</v>
      </c>
    </row>
    <row r="1923">
      <c r="A1923" s="7" t="str">
        <f>IFERROR(__xludf.DUMMYFUNCTION("""COMPUTED_VALUE"""),"R47")</f>
        <v>R47</v>
      </c>
      <c r="B1923" s="7" t="str">
        <f>IFERROR(__xludf.DUMMYFUNCTION("""COMPUTED_VALUE"""),"Cloud Security Architect")</f>
        <v>Cloud Security Architect</v>
      </c>
      <c r="C1923" s="7" t="str">
        <f>IFERROR(__xludf.DUMMYFUNCTION("""COMPUTED_VALUE"""),"S172")</f>
        <v>S172</v>
      </c>
      <c r="D1923" s="7" t="str">
        <f>IFERROR(__xludf.DUMMYFUNCTION("""COMPUTED_VALUE"""),"Kubernetes Cluster Orchestration (K8s)")</f>
        <v>Kubernetes Cluster Orchestration (K8s)</v>
      </c>
    </row>
    <row r="1924">
      <c r="A1924" s="7" t="str">
        <f>IFERROR(__xludf.DUMMYFUNCTION("""COMPUTED_VALUE"""),"R47")</f>
        <v>R47</v>
      </c>
      <c r="B1924" s="7" t="str">
        <f>IFERROR(__xludf.DUMMYFUNCTION("""COMPUTED_VALUE"""),"Cloud Security Architect")</f>
        <v>Cloud Security Architect</v>
      </c>
      <c r="C1924" s="7" t="str">
        <f>IFERROR(__xludf.DUMMYFUNCTION("""COMPUTED_VALUE"""),"S173")</f>
        <v>S173</v>
      </c>
      <c r="D1924" s="7" t="str">
        <f>IFERROR(__xludf.DUMMYFUNCTION("""COMPUTED_VALUE"""),"Kubernetes Package Management (Helm &amp; Kustomize)")</f>
        <v>Kubernetes Package Management (Helm &amp; Kustomize)</v>
      </c>
    </row>
    <row r="1925">
      <c r="A1925" s="7" t="str">
        <f>IFERROR(__xludf.DUMMYFUNCTION("""COMPUTED_VALUE"""),"R47")</f>
        <v>R47</v>
      </c>
      <c r="B1925" s="7" t="str">
        <f>IFERROR(__xludf.DUMMYFUNCTION("""COMPUTED_VALUE"""),"Cloud Security Architect")</f>
        <v>Cloud Security Architect</v>
      </c>
      <c r="C1925" s="7" t="str">
        <f>IFERROR(__xludf.DUMMYFUNCTION("""COMPUTED_VALUE"""),"S174")</f>
        <v>S174</v>
      </c>
      <c r="D1925" s="7" t="str">
        <f>IFERROR(__xludf.DUMMYFUNCTION("""COMPUTED_VALUE"""),"Amazon Web Services Core (EC2, S3, RDS, IAM, VPC)")</f>
        <v>Amazon Web Services Core (EC2, S3, RDS, IAM, VPC)</v>
      </c>
    </row>
    <row r="1926">
      <c r="A1926" s="7" t="str">
        <f>IFERROR(__xludf.DUMMYFUNCTION("""COMPUTED_VALUE"""),"R47")</f>
        <v>R47</v>
      </c>
      <c r="B1926" s="7" t="str">
        <f>IFERROR(__xludf.DUMMYFUNCTION("""COMPUTED_VALUE"""),"Cloud Security Architect")</f>
        <v>Cloud Security Architect</v>
      </c>
      <c r="C1926" s="7" t="str">
        <f>IFERROR(__xludf.DUMMYFUNCTION("""COMPUTED_VALUE"""),"S175")</f>
        <v>S175</v>
      </c>
      <c r="D1926" s="7" t="str">
        <f>IFERROR(__xludf.DUMMYFUNCTION("""COMPUTED_VALUE"""),"Microsoft Azure Cloud Services")</f>
        <v>Microsoft Azure Cloud Services</v>
      </c>
    </row>
    <row r="1927">
      <c r="A1927" s="7" t="str">
        <f>IFERROR(__xludf.DUMMYFUNCTION("""COMPUTED_VALUE"""),"R47")</f>
        <v>R47</v>
      </c>
      <c r="B1927" s="7" t="str">
        <f>IFERROR(__xludf.DUMMYFUNCTION("""COMPUTED_VALUE"""),"Cloud Security Architect")</f>
        <v>Cloud Security Architect</v>
      </c>
      <c r="C1927" s="7" t="str">
        <f>IFERROR(__xludf.DUMMYFUNCTION("""COMPUTED_VALUE"""),"S176")</f>
        <v>S176</v>
      </c>
      <c r="D1927" s="7" t="str">
        <f>IFERROR(__xludf.DUMMYFUNCTION("""COMPUTED_VALUE"""),"Google Cloud Platform (GCP) Services")</f>
        <v>Google Cloud Platform (GCP) Services</v>
      </c>
    </row>
    <row r="1928">
      <c r="A1928" s="7" t="str">
        <f>IFERROR(__xludf.DUMMYFUNCTION("""COMPUTED_VALUE"""),"R47")</f>
        <v>R47</v>
      </c>
      <c r="B1928" s="7" t="str">
        <f>IFERROR(__xludf.DUMMYFUNCTION("""COMPUTED_VALUE"""),"Cloud Security Architect")</f>
        <v>Cloud Security Architect</v>
      </c>
      <c r="C1928" s="7" t="str">
        <f>IFERROR(__xludf.DUMMYFUNCTION("""COMPUTED_VALUE"""),"S177")</f>
        <v>S177</v>
      </c>
      <c r="D1928" s="7" t="str">
        <f>IFERROR(__xludf.DUMMYFUNCTION("""COMPUTED_VALUE"""),"Serverless Computing (AWS Lambda, Cloud Functions)")</f>
        <v>Serverless Computing (AWS Lambda, Cloud Functions)</v>
      </c>
    </row>
    <row r="1929">
      <c r="A1929" s="7" t="str">
        <f>IFERROR(__xludf.DUMMYFUNCTION("""COMPUTED_VALUE"""),"R47")</f>
        <v>R47</v>
      </c>
      <c r="B1929" s="7" t="str">
        <f>IFERROR(__xludf.DUMMYFUNCTION("""COMPUTED_VALUE"""),"Cloud Security Architect")</f>
        <v>Cloud Security Architect</v>
      </c>
      <c r="C1929" s="7" t="str">
        <f>IFERROR(__xludf.DUMMYFUNCTION("""COMPUTED_VALUE"""),"S178")</f>
        <v>S178</v>
      </c>
      <c r="D1929" s="7" t="str">
        <f>IFERROR(__xludf.DUMMYFUNCTION("""COMPUTED_VALUE"""),"Infrastructure as Code (Terraform &amp; OpenTofu)")</f>
        <v>Infrastructure as Code (Terraform &amp; OpenTofu)</v>
      </c>
    </row>
    <row r="1930">
      <c r="A1930" s="7" t="str">
        <f>IFERROR(__xludf.DUMMYFUNCTION("""COMPUTED_VALUE"""),"R47")</f>
        <v>R47</v>
      </c>
      <c r="B1930" s="7" t="str">
        <f>IFERROR(__xludf.DUMMYFUNCTION("""COMPUTED_VALUE"""),"Cloud Security Architect")</f>
        <v>Cloud Security Architect</v>
      </c>
      <c r="C1930" s="7" t="str">
        <f>IFERROR(__xludf.DUMMYFUNCTION("""COMPUTED_VALUE"""),"S179")</f>
        <v>S179</v>
      </c>
      <c r="D1930" s="7" t="str">
        <f>IFERROR(__xludf.DUMMYFUNCTION("""COMPUTED_VALUE"""),"Configuration Management (Ansible, Chef, Puppet)")</f>
        <v>Configuration Management (Ansible, Chef, Puppet)</v>
      </c>
    </row>
    <row r="1931">
      <c r="A1931" s="7" t="str">
        <f>IFERROR(__xludf.DUMMYFUNCTION("""COMPUTED_VALUE"""),"R47")</f>
        <v>R47</v>
      </c>
      <c r="B1931" s="7" t="str">
        <f>IFERROR(__xludf.DUMMYFUNCTION("""COMPUTED_VALUE"""),"Cloud Security Architect")</f>
        <v>Cloud Security Architect</v>
      </c>
      <c r="C1931" s="7" t="str">
        <f>IFERROR(__xludf.DUMMYFUNCTION("""COMPUTED_VALUE"""),"S180")</f>
        <v>S180</v>
      </c>
      <c r="D1931" s="7" t="str">
        <f>IFERROR(__xludf.DUMMYFUNCTION("""COMPUTED_VALUE"""),"CI/CD Pipelines with GitHub Actions")</f>
        <v>CI/CD Pipelines with GitHub Actions</v>
      </c>
    </row>
    <row r="1932">
      <c r="A1932" s="7" t="str">
        <f>IFERROR(__xludf.DUMMYFUNCTION("""COMPUTED_VALUE"""),"R47")</f>
        <v>R47</v>
      </c>
      <c r="B1932" s="7" t="str">
        <f>IFERROR(__xludf.DUMMYFUNCTION("""COMPUTED_VALUE"""),"Cloud Security Architect")</f>
        <v>Cloud Security Architect</v>
      </c>
      <c r="C1932" s="7" t="str">
        <f>IFERROR(__xludf.DUMMYFUNCTION("""COMPUTED_VALUE"""),"S182")</f>
        <v>S182</v>
      </c>
      <c r="D1932" s="7" t="str">
        <f>IFERROR(__xludf.DUMMYFUNCTION("""COMPUTED_VALUE"""),"GitOps &amp; Continuous Delivery (ArgoCD, Flux)")</f>
        <v>GitOps &amp; Continuous Delivery (ArgoCD, Flux)</v>
      </c>
    </row>
    <row r="1933">
      <c r="A1933" s="7" t="str">
        <f>IFERROR(__xludf.DUMMYFUNCTION("""COMPUTED_VALUE"""),"R47")</f>
        <v>R47</v>
      </c>
      <c r="B1933" s="7" t="str">
        <f>IFERROR(__xludf.DUMMYFUNCTION("""COMPUTED_VALUE"""),"Cloud Security Architect")</f>
        <v>Cloud Security Architect</v>
      </c>
      <c r="C1933" s="7" t="str">
        <f>IFERROR(__xludf.DUMMYFUNCTION("""COMPUTED_VALUE"""),"S183")</f>
        <v>S183</v>
      </c>
      <c r="D1933" s="7" t="str">
        <f>IFERROR(__xludf.DUMMYFUNCTION("""COMPUTED_VALUE"""),"Web Servers, Reverse Proxy &amp; Load Balancing (Nginx, HAProxy)")</f>
        <v>Web Servers, Reverse Proxy &amp; Load Balancing (Nginx, HAProxy)</v>
      </c>
    </row>
    <row r="1934">
      <c r="A1934" s="7" t="str">
        <f>IFERROR(__xludf.DUMMYFUNCTION("""COMPUTED_VALUE"""),"R47")</f>
        <v>R47</v>
      </c>
      <c r="B1934" s="7" t="str">
        <f>IFERROR(__xludf.DUMMYFUNCTION("""COMPUTED_VALUE"""),"Cloud Security Architect")</f>
        <v>Cloud Security Architect</v>
      </c>
      <c r="C1934" s="7" t="str">
        <f>IFERROR(__xludf.DUMMYFUNCTION("""COMPUTED_VALUE"""),"S184")</f>
        <v>S184</v>
      </c>
      <c r="D1934" s="7" t="str">
        <f>IFERROR(__xludf.DUMMYFUNCTION("""COMPUTED_VALUE"""),"Infrastructure &amp; Metrics Monitoring (Prometheus &amp; Grafana)")</f>
        <v>Infrastructure &amp; Metrics Monitoring (Prometheus &amp; Grafana)</v>
      </c>
    </row>
    <row r="1935">
      <c r="A1935" s="7" t="str">
        <f>IFERROR(__xludf.DUMMYFUNCTION("""COMPUTED_VALUE"""),"R47")</f>
        <v>R47</v>
      </c>
      <c r="B1935" s="7" t="str">
        <f>IFERROR(__xludf.DUMMYFUNCTION("""COMPUTED_VALUE"""),"Cloud Security Architect")</f>
        <v>Cloud Security Architect</v>
      </c>
      <c r="C1935" s="7" t="str">
        <f>IFERROR(__xludf.DUMMYFUNCTION("""COMPUTED_VALUE"""),"S185")</f>
        <v>S185</v>
      </c>
      <c r="D193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1936">
      <c r="A1936" s="7" t="str">
        <f>IFERROR(__xludf.DUMMYFUNCTION("""COMPUTED_VALUE"""),"R47")</f>
        <v>R47</v>
      </c>
      <c r="B1936" s="7" t="str">
        <f>IFERROR(__xludf.DUMMYFUNCTION("""COMPUTED_VALUE"""),"Cloud Security Architect")</f>
        <v>Cloud Security Architect</v>
      </c>
      <c r="C1936" s="7" t="str">
        <f>IFERROR(__xludf.DUMMYFUNCTION("""COMPUTED_VALUE"""),"S188")</f>
        <v>S188</v>
      </c>
      <c r="D1936" s="7" t="str">
        <f>IFERROR(__xludf.DUMMYFUNCTION("""COMPUTED_VALUE"""),"High Availability, Failover &amp; Disaster Recovery")</f>
        <v>High Availability, Failover &amp; Disaster Recovery</v>
      </c>
    </row>
    <row r="1937">
      <c r="A1937" s="7" t="str">
        <f>IFERROR(__xludf.DUMMYFUNCTION("""COMPUTED_VALUE"""),"R47")</f>
        <v>R47</v>
      </c>
      <c r="B1937" s="7" t="str">
        <f>IFERROR(__xludf.DUMMYFUNCTION("""COMPUTED_VALUE"""),"Cloud Security Architect")</f>
        <v>Cloud Security Architect</v>
      </c>
      <c r="C1937" s="7" t="str">
        <f>IFERROR(__xludf.DUMMYFUNCTION("""COMPUTED_VALUE"""),"S191")</f>
        <v>S191</v>
      </c>
      <c r="D1937" s="7" t="str">
        <f>IFERROR(__xludf.DUMMYFUNCTION("""COMPUTED_VALUE"""),"Enterprise Linux System Administration (RHEL, Ubuntu, systemd)")</f>
        <v>Enterprise Linux System Administration (RHEL, Ubuntu, systemd)</v>
      </c>
    </row>
    <row r="1938">
      <c r="A1938" s="7" t="str">
        <f>IFERROR(__xludf.DUMMYFUNCTION("""COMPUTED_VALUE"""),"R47")</f>
        <v>R47</v>
      </c>
      <c r="B1938" s="7" t="str">
        <f>IFERROR(__xludf.DUMMYFUNCTION("""COMPUTED_VALUE"""),"Cloud Security Architect")</f>
        <v>Cloud Security Architect</v>
      </c>
      <c r="C1938" s="7" t="str">
        <f>IFERROR(__xludf.DUMMYFUNCTION("""COMPUTED_VALUE"""),"S193")</f>
        <v>S193</v>
      </c>
      <c r="D1938" s="7" t="str">
        <f>IFERROR(__xludf.DUMMYFUNCTION("""COMPUTED_VALUE"""),"Virtualization &amp; Hypervisors (VMware vSphere, Proxmox, KVM)")</f>
        <v>Virtualization &amp; Hypervisors (VMware vSphere, Proxmox, KVM)</v>
      </c>
    </row>
    <row r="1939">
      <c r="A1939" s="7" t="str">
        <f>IFERROR(__xludf.DUMMYFUNCTION("""COMPUTED_VALUE"""),"R47")</f>
        <v>R47</v>
      </c>
      <c r="B1939" s="7" t="str">
        <f>IFERROR(__xludf.DUMMYFUNCTION("""COMPUTED_VALUE"""),"Cloud Security Architect")</f>
        <v>Cloud Security Architect</v>
      </c>
      <c r="C1939" s="7" t="str">
        <f>IFERROR(__xludf.DUMMYFUNCTION("""COMPUTED_VALUE"""),"S194")</f>
        <v>S194</v>
      </c>
      <c r="D1939" s="7" t="str">
        <f>IFERROR(__xludf.DUMMYFUNCTION("""COMPUTED_VALUE"""),"TCP/IP Networking, Subnetting, VLANs &amp; VPNs")</f>
        <v>TCP/IP Networking, Subnetting, VLANs &amp; VPNs</v>
      </c>
    </row>
    <row r="1940">
      <c r="A1940" s="7" t="str">
        <f>IFERROR(__xludf.DUMMYFUNCTION("""COMPUTED_VALUE"""),"R47")</f>
        <v>R47</v>
      </c>
      <c r="B1940" s="7" t="str">
        <f>IFERROR(__xludf.DUMMYFUNCTION("""COMPUTED_VALUE"""),"Cloud Security Architect")</f>
        <v>Cloud Security Architect</v>
      </c>
      <c r="C1940" s="7" t="str">
        <f>IFERROR(__xludf.DUMMYFUNCTION("""COMPUTED_VALUE"""),"S196")</f>
        <v>S196</v>
      </c>
      <c r="D1940" s="7" t="str">
        <f>IFERROR(__xludf.DUMMYFUNCTION("""COMPUTED_VALUE"""),"Cybersecurity Principles &amp; CIA Triad")</f>
        <v>Cybersecurity Principles &amp; CIA Triad</v>
      </c>
    </row>
    <row r="1941">
      <c r="A1941" s="7" t="str">
        <f>IFERROR(__xludf.DUMMYFUNCTION("""COMPUTED_VALUE"""),"R47")</f>
        <v>R47</v>
      </c>
      <c r="B1941" s="7" t="str">
        <f>IFERROR(__xludf.DUMMYFUNCTION("""COMPUTED_VALUE"""),"Cloud Security Architect")</f>
        <v>Cloud Security Architect</v>
      </c>
      <c r="C1941" s="7" t="str">
        <f>IFERROR(__xludf.DUMMYFUNCTION("""COMPUTED_VALUE"""),"S197")</f>
        <v>S197</v>
      </c>
      <c r="D1941" s="7" t="str">
        <f>IFERROR(__xludf.DUMMYFUNCTION("""COMPUTED_VALUE"""),"Network Security, Firewalls &amp; WAF")</f>
        <v>Network Security, Firewalls &amp; WAF</v>
      </c>
    </row>
    <row r="1942">
      <c r="A1942" s="7" t="str">
        <f>IFERROR(__xludf.DUMMYFUNCTION("""COMPUTED_VALUE"""),"R47")</f>
        <v>R47</v>
      </c>
      <c r="B1942" s="7" t="str">
        <f>IFERROR(__xludf.DUMMYFUNCTION("""COMPUTED_VALUE"""),"Cloud Security Architect")</f>
        <v>Cloud Security Architect</v>
      </c>
      <c r="C1942" s="7" t="str">
        <f>IFERROR(__xludf.DUMMYFUNCTION("""COMPUTED_VALUE"""),"S198")</f>
        <v>S198</v>
      </c>
      <c r="D1942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1943">
      <c r="A1943" s="7" t="str">
        <f>IFERROR(__xludf.DUMMYFUNCTION("""COMPUTED_VALUE"""),"R47")</f>
        <v>R47</v>
      </c>
      <c r="B1943" s="7" t="str">
        <f>IFERROR(__xludf.DUMMYFUNCTION("""COMPUTED_VALUE"""),"Cloud Security Architect")</f>
        <v>Cloud Security Architect</v>
      </c>
      <c r="C1943" s="7" t="str">
        <f>IFERROR(__xludf.DUMMYFUNCTION("""COMPUTED_VALUE"""),"S199")</f>
        <v>S199</v>
      </c>
      <c r="D1943" s="7" t="str">
        <f>IFERROR(__xludf.DUMMYFUNCTION("""COMPUTED_VALUE"""),"Packet Capture &amp; Traffic Analysis (Wireshark, tcpdump, Nmap)")</f>
        <v>Packet Capture &amp; Traffic Analysis (Wireshark, tcpdump, Nmap)</v>
      </c>
    </row>
    <row r="1944">
      <c r="A1944" s="7" t="str">
        <f>IFERROR(__xludf.DUMMYFUNCTION("""COMPUTED_VALUE"""),"R47")</f>
        <v>R47</v>
      </c>
      <c r="B1944" s="7" t="str">
        <f>IFERROR(__xludf.DUMMYFUNCTION("""COMPUTED_VALUE"""),"Cloud Security Architect")</f>
        <v>Cloud Security Architect</v>
      </c>
      <c r="C1944" s="7" t="str">
        <f>IFERROR(__xludf.DUMMYFUNCTION("""COMPUTED_VALUE"""),"S200")</f>
        <v>S200</v>
      </c>
      <c r="D1944" s="7" t="str">
        <f>IFERROR(__xludf.DUMMYFUNCTION("""COMPUTED_VALUE"""),"Web Application Security &amp; OWASP Top 10")</f>
        <v>Web Application Security &amp; OWASP Top 10</v>
      </c>
    </row>
    <row r="1945">
      <c r="A1945" s="7" t="str">
        <f>IFERROR(__xludf.DUMMYFUNCTION("""COMPUTED_VALUE"""),"R47")</f>
        <v>R47</v>
      </c>
      <c r="B1945" s="7" t="str">
        <f>IFERROR(__xludf.DUMMYFUNCTION("""COMPUTED_VALUE"""),"Cloud Security Architect")</f>
        <v>Cloud Security Architect</v>
      </c>
      <c r="C1945" s="7" t="str">
        <f>IFERROR(__xludf.DUMMYFUNCTION("""COMPUTED_VALUE"""),"S203")</f>
        <v>S203</v>
      </c>
      <c r="D1945" s="7" t="str">
        <f>IFERROR(__xludf.DUMMYFUNCTION("""COMPUTED_VALUE"""),"Vulnerability Assessment &amp; Management (Nessus, OpenVAS, Qualys)")</f>
        <v>Vulnerability Assessment &amp; Management (Nessus, OpenVAS, Qualys)</v>
      </c>
    </row>
    <row r="1946">
      <c r="A1946" s="7" t="str">
        <f>IFERROR(__xludf.DUMMYFUNCTION("""COMPUTED_VALUE"""),"R47")</f>
        <v>R47</v>
      </c>
      <c r="B1946" s="7" t="str">
        <f>IFERROR(__xludf.DUMMYFUNCTION("""COMPUTED_VALUE"""),"Cloud Security Architect")</f>
        <v>Cloud Security Architect</v>
      </c>
      <c r="C1946" s="7" t="str">
        <f>IFERROR(__xludf.DUMMYFUNCTION("""COMPUTED_VALUE"""),"S204")</f>
        <v>S204</v>
      </c>
      <c r="D1946" s="7" t="str">
        <f>IFERROR(__xludf.DUMMYFUNCTION("""COMPUTED_VALUE"""),"Security Information &amp; Event Management (SIEM: Splunk, Sentinel, QRadar)")</f>
        <v>Security Information &amp; Event Management (SIEM: Splunk, Sentinel, QRadar)</v>
      </c>
    </row>
    <row r="1947">
      <c r="A1947" s="7" t="str">
        <f>IFERROR(__xludf.DUMMYFUNCTION("""COMPUTED_VALUE"""),"R47")</f>
        <v>R47</v>
      </c>
      <c r="B1947" s="7" t="str">
        <f>IFERROR(__xludf.DUMMYFUNCTION("""COMPUTED_VALUE"""),"Cloud Security Architect")</f>
        <v>Cloud Security Architect</v>
      </c>
      <c r="C1947" s="7" t="str">
        <f>IFERROR(__xludf.DUMMYFUNCTION("""COMPUTED_VALUE"""),"S205")</f>
        <v>S205</v>
      </c>
      <c r="D1947" s="7" t="str">
        <f>IFERROR(__xludf.DUMMYFUNCTION("""COMPUTED_VALUE"""),"Security Operations Center (SOC) &amp; Threat Hunting")</f>
        <v>Security Operations Center (SOC) &amp; Threat Hunting</v>
      </c>
    </row>
    <row r="1948">
      <c r="A1948" s="7" t="str">
        <f>IFERROR(__xludf.DUMMYFUNCTION("""COMPUTED_VALUE"""),"R47")</f>
        <v>R47</v>
      </c>
      <c r="B1948" s="7" t="str">
        <f>IFERROR(__xludf.DUMMYFUNCTION("""COMPUTED_VALUE"""),"Cloud Security Architect")</f>
        <v>Cloud Security Architect</v>
      </c>
      <c r="C1948" s="7" t="str">
        <f>IFERROR(__xludf.DUMMYFUNCTION("""COMPUTED_VALUE"""),"S207")</f>
        <v>S207</v>
      </c>
      <c r="D1948" s="7" t="str">
        <f>IFERROR(__xludf.DUMMYFUNCTION("""COMPUTED_VALUE"""),"Incident Response &amp; Digital Forensics (DFIR)")</f>
        <v>Incident Response &amp; Digital Forensics (DFIR)</v>
      </c>
    </row>
    <row r="1949">
      <c r="A1949" s="7" t="str">
        <f>IFERROR(__xludf.DUMMYFUNCTION("""COMPUTED_VALUE"""),"R47")</f>
        <v>R47</v>
      </c>
      <c r="B1949" s="7" t="str">
        <f>IFERROR(__xludf.DUMMYFUNCTION("""COMPUTED_VALUE"""),"Cloud Security Architect")</f>
        <v>Cloud Security Architect</v>
      </c>
      <c r="C1949" s="7" t="str">
        <f>IFERROR(__xludf.DUMMYFUNCTION("""COMPUTED_VALUE"""),"S209")</f>
        <v>S209</v>
      </c>
      <c r="D1949" s="7" t="str">
        <f>IFERROR(__xludf.DUMMYFUNCTION("""COMPUTED_VALUE"""),"Applied Cryptography, Hashing &amp; PKI Certificates")</f>
        <v>Applied Cryptography, Hashing &amp; PKI Certificates</v>
      </c>
    </row>
    <row r="1950">
      <c r="A1950" s="7" t="str">
        <f>IFERROR(__xludf.DUMMYFUNCTION("""COMPUTED_VALUE"""),"R47")</f>
        <v>R47</v>
      </c>
      <c r="B1950" s="7" t="str">
        <f>IFERROR(__xludf.DUMMYFUNCTION("""COMPUTED_VALUE"""),"Cloud Security Architect")</f>
        <v>Cloud Security Architect</v>
      </c>
      <c r="C1950" s="7" t="str">
        <f>IFERROR(__xludf.DUMMYFUNCTION("""COMPUTED_VALUE"""),"S210")</f>
        <v>S210</v>
      </c>
      <c r="D1950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1951">
      <c r="A1951" s="7" t="str">
        <f>IFERROR(__xludf.DUMMYFUNCTION("""COMPUTED_VALUE"""),"R47")</f>
        <v>R47</v>
      </c>
      <c r="B1951" s="7" t="str">
        <f>IFERROR(__xludf.DUMMYFUNCTION("""COMPUTED_VALUE"""),"Cloud Security Architect")</f>
        <v>Cloud Security Architect</v>
      </c>
      <c r="C1951" s="7" t="str">
        <f>IFERROR(__xludf.DUMMYFUNCTION("""COMPUTED_VALUE"""),"S211")</f>
        <v>S211</v>
      </c>
      <c r="D1951" s="7" t="str">
        <f>IFERROR(__xludf.DUMMYFUNCTION("""COMPUTED_VALUE"""),"Zero Trust Network Architecture")</f>
        <v>Zero Trust Network Architecture</v>
      </c>
    </row>
    <row r="1952">
      <c r="A1952" s="7" t="str">
        <f>IFERROR(__xludf.DUMMYFUNCTION("""COMPUTED_VALUE"""),"R47")</f>
        <v>R47</v>
      </c>
      <c r="B1952" s="7" t="str">
        <f>IFERROR(__xludf.DUMMYFUNCTION("""COMPUTED_VALUE"""),"Cloud Security Architect")</f>
        <v>Cloud Security Architect</v>
      </c>
      <c r="C1952" s="7" t="str">
        <f>IFERROR(__xludf.DUMMYFUNCTION("""COMPUTED_VALUE"""),"S212")</f>
        <v>S212</v>
      </c>
      <c r="D1952" s="7" t="str">
        <f>IFERROR(__xludf.DUMMYFUNCTION("""COMPUTED_VALUE"""),"Cloud Security Posture Management (AWS/Azure Security, CSPM)")</f>
        <v>Cloud Security Posture Management (AWS/Azure Security, CSPM)</v>
      </c>
    </row>
    <row r="1953">
      <c r="A1953" s="7" t="str">
        <f>IFERROR(__xludf.DUMMYFUNCTION("""COMPUTED_VALUE"""),"R47")</f>
        <v>R47</v>
      </c>
      <c r="B1953" s="7" t="str">
        <f>IFERROR(__xludf.DUMMYFUNCTION("""COMPUTED_VALUE"""),"Cloud Security Architect")</f>
        <v>Cloud Security Architect</v>
      </c>
      <c r="C1953" s="7" t="str">
        <f>IFERROR(__xludf.DUMMYFUNCTION("""COMPUTED_VALUE"""),"S213")</f>
        <v>S213</v>
      </c>
      <c r="D1953" s="7" t="str">
        <f>IFERROR(__xludf.DUMMYFUNCTION("""COMPUTED_VALUE"""),"Container &amp; Kubernetes Security (Trivy, Falco, RBAC)")</f>
        <v>Container &amp; Kubernetes Security (Trivy, Falco, RBAC)</v>
      </c>
    </row>
    <row r="1954">
      <c r="A1954" s="7" t="str">
        <f>IFERROR(__xludf.DUMMYFUNCTION("""COMPUTED_VALUE"""),"R47")</f>
        <v>R47</v>
      </c>
      <c r="B1954" s="7" t="str">
        <f>IFERROR(__xludf.DUMMYFUNCTION("""COMPUTED_VALUE"""),"Cloud Security Architect")</f>
        <v>Cloud Security Architect</v>
      </c>
      <c r="C1954" s="7" t="str">
        <f>IFERROR(__xludf.DUMMYFUNCTION("""COMPUTED_VALUE"""),"S214")</f>
        <v>S214</v>
      </c>
      <c r="D1954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1955">
      <c r="A1955" s="7" t="str">
        <f>IFERROR(__xludf.DUMMYFUNCTION("""COMPUTED_VALUE"""),"R47")</f>
        <v>R47</v>
      </c>
      <c r="B1955" s="7" t="str">
        <f>IFERROR(__xludf.DUMMYFUNCTION("""COMPUTED_VALUE"""),"Cloud Security Architect")</f>
        <v>Cloud Security Architect</v>
      </c>
      <c r="C1955" s="7" t="str">
        <f>IFERROR(__xludf.DUMMYFUNCTION("""COMPUTED_VALUE"""),"S215")</f>
        <v>S215</v>
      </c>
      <c r="D1955" s="7" t="str">
        <f>IFERROR(__xludf.DUMMYFUNCTION("""COMPUTED_VALUE"""),"Secrets Management (HashiCorp Vault, AWS Secrets Manager)")</f>
        <v>Secrets Management (HashiCorp Vault, AWS Secrets Manager)</v>
      </c>
    </row>
    <row r="1956">
      <c r="A1956" s="7" t="str">
        <f>IFERROR(__xludf.DUMMYFUNCTION("""COMPUTED_VALUE"""),"R47")</f>
        <v>R47</v>
      </c>
      <c r="B1956" s="7" t="str">
        <f>IFERROR(__xludf.DUMMYFUNCTION("""COMPUTED_VALUE"""),"Cloud Security Architect")</f>
        <v>Cloud Security Architect</v>
      </c>
      <c r="C1956" s="7" t="str">
        <f>IFERROR(__xludf.DUMMYFUNCTION("""COMPUTED_VALUE"""),"S216")</f>
        <v>S216</v>
      </c>
      <c r="D1956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1957">
      <c r="A1957" s="7" t="str">
        <f>IFERROR(__xludf.DUMMYFUNCTION("""COMPUTED_VALUE"""),"R47")</f>
        <v>R47</v>
      </c>
      <c r="B1957" s="7" t="str">
        <f>IFERROR(__xludf.DUMMYFUNCTION("""COMPUTED_VALUE"""),"Cloud Security Architect")</f>
        <v>Cloud Security Architect</v>
      </c>
      <c r="C1957" s="7" t="str">
        <f>IFERROR(__xludf.DUMMYFUNCTION("""COMPUTED_VALUE"""),"S217")</f>
        <v>S217</v>
      </c>
      <c r="D1957" s="7" t="str">
        <f>IFERROR(__xludf.DUMMYFUNCTION("""COMPUTED_VALUE"""),"Governance, Risk &amp; Compliance (ISO 27001, SOC 2, NIST, GDPR)")</f>
        <v>Governance, Risk &amp; Compliance (ISO 27001, SOC 2, NIST, GDPR)</v>
      </c>
    </row>
    <row r="1958">
      <c r="A1958" s="7" t="str">
        <f>IFERROR(__xludf.DUMMYFUNCTION("""COMPUTED_VALUE"""),"R47")</f>
        <v>R47</v>
      </c>
      <c r="B1958" s="7" t="str">
        <f>IFERROR(__xludf.DUMMYFUNCTION("""COMPUTED_VALUE"""),"Cloud Security Architect")</f>
        <v>Cloud Security Architect</v>
      </c>
      <c r="C1958" s="7" t="str">
        <f>IFERROR(__xludf.DUMMYFUNCTION("""COMPUTED_VALUE"""),"S218")</f>
        <v>S218</v>
      </c>
      <c r="D1958" s="7" t="str">
        <f>IFERROR(__xludf.DUMMYFUNCTION("""COMPUTED_VALUE"""),"Security Auditing &amp; IT Risk Assessment")</f>
        <v>Security Auditing &amp; IT Risk Assessment</v>
      </c>
    </row>
    <row r="1959">
      <c r="A1959" s="7" t="str">
        <f>IFERROR(__xludf.DUMMYFUNCTION("""COMPUTED_VALUE"""),"R47")</f>
        <v>R47</v>
      </c>
      <c r="B1959" s="7" t="str">
        <f>IFERROR(__xludf.DUMMYFUNCTION("""COMPUTED_VALUE"""),"Cloud Security Architect")</f>
        <v>Cloud Security Architect</v>
      </c>
      <c r="C1959" s="7" t="str">
        <f>IFERROR(__xludf.DUMMYFUNCTION("""COMPUTED_VALUE"""),"S219")</f>
        <v>S219</v>
      </c>
      <c r="D1959" s="7" t="str">
        <f>IFERROR(__xludf.DUMMYFUNCTION("""COMPUTED_VALUE"""),"Secure Coding Practices &amp; Threat Mitigation")</f>
        <v>Secure Coding Practices &amp; Threat Mitigation</v>
      </c>
    </row>
    <row r="1960">
      <c r="A1960" s="7" t="str">
        <f>IFERROR(__xludf.DUMMYFUNCTION("""COMPUTED_VALUE"""),"R47")</f>
        <v>R47</v>
      </c>
      <c r="B1960" s="7" t="str">
        <f>IFERROR(__xludf.DUMMYFUNCTION("""COMPUTED_VALUE"""),"Cloud Security Architect")</f>
        <v>Cloud Security Architect</v>
      </c>
      <c r="C1960" s="7" t="str">
        <f>IFERROR(__xludf.DUMMYFUNCTION("""COMPUTED_VALUE"""),"S243")</f>
        <v>S243</v>
      </c>
      <c r="D1960" s="7" t="str">
        <f>IFERROR(__xludf.DUMMYFUNCTION("""COMPUTED_VALUE"""),"Large-Scale System Design &amp; High-Scalability Architecture")</f>
        <v>Large-Scale System Design &amp; High-Scalability Architecture</v>
      </c>
    </row>
    <row r="1961">
      <c r="A1961" s="7" t="str">
        <f>IFERROR(__xludf.DUMMYFUNCTION("""COMPUTED_VALUE"""),"R47")</f>
        <v>R47</v>
      </c>
      <c r="B1961" s="7" t="str">
        <f>IFERROR(__xludf.DUMMYFUNCTION("""COMPUTED_VALUE"""),"Cloud Security Architect")</f>
        <v>Cloud Security Architect</v>
      </c>
      <c r="C1961" s="7" t="str">
        <f>IFERROR(__xludf.DUMMYFUNCTION("""COMPUTED_VALUE"""),"S245")</f>
        <v>S245</v>
      </c>
      <c r="D1961" s="7" t="str">
        <f>IFERROR(__xludf.DUMMYFUNCTION("""COMPUTED_VALUE"""),"Enterprise Architecture Frameworks (TOGAF, Domain-Driven Design)")</f>
        <v>Enterprise Architecture Frameworks (TOGAF, Domain-Driven Design)</v>
      </c>
    </row>
    <row r="1962">
      <c r="A1962" s="7" t="str">
        <f>IFERROR(__xludf.DUMMYFUNCTION("""COMPUTED_VALUE"""),"R47")</f>
        <v>R47</v>
      </c>
      <c r="B1962" s="7" t="str">
        <f>IFERROR(__xludf.DUMMYFUNCTION("""COMPUTED_VALUE"""),"Cloud Security Architect")</f>
        <v>Cloud Security Architect</v>
      </c>
      <c r="C1962" s="7" t="str">
        <f>IFERROR(__xludf.DUMMYFUNCTION("""COMPUTED_VALUE"""),"S246")</f>
        <v>S246</v>
      </c>
      <c r="D1962" s="7" t="str">
        <f>IFERROR(__xludf.DUMMYFUNCTION("""COMPUTED_VALUE"""),"Agile Methodologies, Scrum Framework &amp; Kanban")</f>
        <v>Agile Methodologies, Scrum Framework &amp; Kanban</v>
      </c>
    </row>
    <row r="1963">
      <c r="A1963" s="7" t="str">
        <f>IFERROR(__xludf.DUMMYFUNCTION("""COMPUTED_VALUE"""),"R47")</f>
        <v>R47</v>
      </c>
      <c r="B1963" s="7" t="str">
        <f>IFERROR(__xludf.DUMMYFUNCTION("""COMPUTED_VALUE"""),"Cloud Security Architect")</f>
        <v>Cloud Security Architect</v>
      </c>
      <c r="C1963" s="7" t="str">
        <f>IFERROR(__xludf.DUMMYFUNCTION("""COMPUTED_VALUE"""),"S247")</f>
        <v>S247</v>
      </c>
      <c r="D1963" s="7" t="str">
        <f>IFERROR(__xludf.DUMMYFUNCTION("""COMPUTED_VALUE"""),"Project Tracking &amp; Documentation Tools (Jira, Confluence, Linear)")</f>
        <v>Project Tracking &amp; Documentation Tools (Jira, Confluence, Linear)</v>
      </c>
    </row>
    <row r="1964">
      <c r="A1964" s="7" t="str">
        <f>IFERROR(__xludf.DUMMYFUNCTION("""COMPUTED_VALUE"""),"R47")</f>
        <v>R47</v>
      </c>
      <c r="B1964" s="7" t="str">
        <f>IFERROR(__xludf.DUMMYFUNCTION("""COMPUTED_VALUE"""),"Cloud Security Architect")</f>
        <v>Cloud Security Architect</v>
      </c>
      <c r="C1964" s="7" t="str">
        <f>IFERROR(__xludf.DUMMYFUNCTION("""COMPUTED_VALUE"""),"S250")</f>
        <v>S250</v>
      </c>
      <c r="D1964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1965">
      <c r="A1965" s="7" t="str">
        <f>IFERROR(__xludf.DUMMYFUNCTION("""COMPUTED_VALUE"""),"R48")</f>
        <v>R48</v>
      </c>
      <c r="B1965" s="7" t="str">
        <f>IFERROR(__xludf.DUMMYFUNCTION("""COMPUTED_VALUE"""),"MLOps Engineer")</f>
        <v>MLOps Engineer</v>
      </c>
      <c r="C1965" s="7" t="str">
        <f>IFERROR(__xludf.DUMMYFUNCTION("""COMPUTED_VALUE"""),"S002")</f>
        <v>S002</v>
      </c>
      <c r="D1965" s="7" t="str">
        <f>IFERROR(__xludf.DUMMYFUNCTION("""COMPUTED_VALUE"""),"Operating Systems Concepts")</f>
        <v>Operating Systems Concepts</v>
      </c>
    </row>
    <row r="1966">
      <c r="A1966" s="7" t="str">
        <f>IFERROR(__xludf.DUMMYFUNCTION("""COMPUTED_VALUE"""),"R48")</f>
        <v>R48</v>
      </c>
      <c r="B1966" s="7" t="str">
        <f>IFERROR(__xludf.DUMMYFUNCTION("""COMPUTED_VALUE"""),"MLOps Engineer")</f>
        <v>MLOps Engineer</v>
      </c>
      <c r="C1966" s="7" t="str">
        <f>IFERROR(__xludf.DUMMYFUNCTION("""COMPUTED_VALUE"""),"S003")</f>
        <v>S003</v>
      </c>
      <c r="D1966" s="7" t="str">
        <f>IFERROR(__xludf.DUMMYFUNCTION("""COMPUTED_VALUE"""),"Process &amp; Thread Management")</f>
        <v>Process &amp; Thread Management</v>
      </c>
    </row>
    <row r="1967">
      <c r="A1967" s="7" t="str">
        <f>IFERROR(__xludf.DUMMYFUNCTION("""COMPUTED_VALUE"""),"R48")</f>
        <v>R48</v>
      </c>
      <c r="B1967" s="7" t="str">
        <f>IFERROR(__xludf.DUMMYFUNCTION("""COMPUTED_VALUE"""),"MLOps Engineer")</f>
        <v>MLOps Engineer</v>
      </c>
      <c r="C1967" s="7" t="str">
        <f>IFERROR(__xludf.DUMMYFUNCTION("""COMPUTED_VALUE"""),"S005")</f>
        <v>S005</v>
      </c>
      <c r="D1967" s="7" t="str">
        <f>IFERROR(__xludf.DUMMYFUNCTION("""COMPUTED_VALUE"""),"File Systems &amp; Storage I/O")</f>
        <v>File Systems &amp; Storage I/O</v>
      </c>
    </row>
    <row r="1968">
      <c r="A1968" s="7" t="str">
        <f>IFERROR(__xludf.DUMMYFUNCTION("""COMPUTED_VALUE"""),"R48")</f>
        <v>R48</v>
      </c>
      <c r="B1968" s="7" t="str">
        <f>IFERROR(__xludf.DUMMYFUNCTION("""COMPUTED_VALUE"""),"MLOps Engineer")</f>
        <v>MLOps Engineer</v>
      </c>
      <c r="C1968" s="7" t="str">
        <f>IFERROR(__xludf.DUMMYFUNCTION("""COMPUTED_VALUE"""),"S006")</f>
        <v>S006</v>
      </c>
      <c r="D1968" s="7" t="str">
        <f>IFERROR(__xludf.DUMMYFUNCTION("""COMPUTED_VALUE"""),"Basic Data Structures (Arrays, Lists, Stacks, Queues)")</f>
        <v>Basic Data Structures (Arrays, Lists, Stacks, Queues)</v>
      </c>
    </row>
    <row r="1969">
      <c r="A1969" s="7" t="str">
        <f>IFERROR(__xludf.DUMMYFUNCTION("""COMPUTED_VALUE"""),"R48")</f>
        <v>R48</v>
      </c>
      <c r="B1969" s="7" t="str">
        <f>IFERROR(__xludf.DUMMYFUNCTION("""COMPUTED_VALUE"""),"MLOps Engineer")</f>
        <v>MLOps Engineer</v>
      </c>
      <c r="C1969" s="7" t="str">
        <f>IFERROR(__xludf.DUMMYFUNCTION("""COMPUTED_VALUE"""),"S012")</f>
        <v>S012</v>
      </c>
      <c r="D1969" s="7" t="str">
        <f>IFERROR(__xludf.DUMMYFUNCTION("""COMPUTED_VALUE"""),"Time &amp; Space Complexity (Big-O Analysis)")</f>
        <v>Time &amp; Space Complexity (Big-O Analysis)</v>
      </c>
    </row>
    <row r="1970">
      <c r="A1970" s="7" t="str">
        <f>IFERROR(__xludf.DUMMYFUNCTION("""COMPUTED_VALUE"""),"R48")</f>
        <v>R48</v>
      </c>
      <c r="B1970" s="7" t="str">
        <f>IFERROR(__xludf.DUMMYFUNCTION("""COMPUTED_VALUE"""),"MLOps Engineer")</f>
        <v>MLOps Engineer</v>
      </c>
      <c r="C1970" s="7" t="str">
        <f>IFERROR(__xludf.DUMMYFUNCTION("""COMPUTED_VALUE"""),"S013")</f>
        <v>S013</v>
      </c>
      <c r="D1970" s="7" t="str">
        <f>IFERROR(__xludf.DUMMYFUNCTION("""COMPUTED_VALUE"""),"Object-Oriented Programming (OOP)")</f>
        <v>Object-Oriented Programming (OOP)</v>
      </c>
    </row>
    <row r="1971">
      <c r="A1971" s="7" t="str">
        <f>IFERROR(__xludf.DUMMYFUNCTION("""COMPUTED_VALUE"""),"R48")</f>
        <v>R48</v>
      </c>
      <c r="B1971" s="7" t="str">
        <f>IFERROR(__xludf.DUMMYFUNCTION("""COMPUTED_VALUE"""),"MLOps Engineer")</f>
        <v>MLOps Engineer</v>
      </c>
      <c r="C1971" s="7" t="str">
        <f>IFERROR(__xludf.DUMMYFUNCTION("""COMPUTED_VALUE"""),"S017")</f>
        <v>S017</v>
      </c>
      <c r="D1971" s="7" t="str">
        <f>IFERROR(__xludf.DUMMYFUNCTION("""COMPUTED_VALUE"""),"Git Version Control Fundamentals")</f>
        <v>Git Version Control Fundamentals</v>
      </c>
    </row>
    <row r="1972">
      <c r="A1972" s="7" t="str">
        <f>IFERROR(__xludf.DUMMYFUNCTION("""COMPUTED_VALUE"""),"R48")</f>
        <v>R48</v>
      </c>
      <c r="B1972" s="7" t="str">
        <f>IFERROR(__xludf.DUMMYFUNCTION("""COMPUTED_VALUE"""),"MLOps Engineer")</f>
        <v>MLOps Engineer</v>
      </c>
      <c r="C1972" s="7" t="str">
        <f>IFERROR(__xludf.DUMMYFUNCTION("""COMPUTED_VALUE"""),"S018")</f>
        <v>S018</v>
      </c>
      <c r="D1972" s="7" t="str">
        <f>IFERROR(__xludf.DUMMYFUNCTION("""COMPUTED_VALUE"""),"GitHub / GitLab Workflows &amp; Pull Requests")</f>
        <v>GitHub / GitLab Workflows &amp; Pull Requests</v>
      </c>
    </row>
    <row r="1973">
      <c r="A1973" s="7" t="str">
        <f>IFERROR(__xludf.DUMMYFUNCTION("""COMPUTED_VALUE"""),"R48")</f>
        <v>R48</v>
      </c>
      <c r="B1973" s="7" t="str">
        <f>IFERROR(__xludf.DUMMYFUNCTION("""COMPUTED_VALUE"""),"MLOps Engineer")</f>
        <v>MLOps Engineer</v>
      </c>
      <c r="C1973" s="7" t="str">
        <f>IFERROR(__xludf.DUMMYFUNCTION("""COMPUTED_VALUE"""),"S019")</f>
        <v>S019</v>
      </c>
      <c r="D1973" s="7" t="str">
        <f>IFERROR(__xludf.DUMMYFUNCTION("""COMPUTED_VALUE"""),"Linux Command Line &amp; File Permissions")</f>
        <v>Linux Command Line &amp; File Permissions</v>
      </c>
    </row>
    <row r="1974">
      <c r="A1974" s="7" t="str">
        <f>IFERROR(__xludf.DUMMYFUNCTION("""COMPUTED_VALUE"""),"R48")</f>
        <v>R48</v>
      </c>
      <c r="B1974" s="7" t="str">
        <f>IFERROR(__xludf.DUMMYFUNCTION("""COMPUTED_VALUE"""),"MLOps Engineer")</f>
        <v>MLOps Engineer</v>
      </c>
      <c r="C1974" s="7" t="str">
        <f>IFERROR(__xludf.DUMMYFUNCTION("""COMPUTED_VALUE"""),"S020")</f>
        <v>S020</v>
      </c>
      <c r="D1974" s="7" t="str">
        <f>IFERROR(__xludf.DUMMYFUNCTION("""COMPUTED_VALUE"""),"Bash &amp; Shell Scripting")</f>
        <v>Bash &amp; Shell Scripting</v>
      </c>
    </row>
    <row r="1975">
      <c r="A1975" s="7" t="str">
        <f>IFERROR(__xludf.DUMMYFUNCTION("""COMPUTED_VALUE"""),"R48")</f>
        <v>R48</v>
      </c>
      <c r="B1975" s="7" t="str">
        <f>IFERROR(__xludf.DUMMYFUNCTION("""COMPUTED_VALUE"""),"MLOps Engineer")</f>
        <v>MLOps Engineer</v>
      </c>
      <c r="C1975" s="7" t="str">
        <f>IFERROR(__xludf.DUMMYFUNCTION("""COMPUTED_VALUE"""),"S022")</f>
        <v>S022</v>
      </c>
      <c r="D1975" s="7" t="str">
        <f>IFERROR(__xludf.DUMMYFUNCTION("""COMPUTED_VALUE"""),"Computer Networking &amp; OSI Model")</f>
        <v>Computer Networking &amp; OSI Model</v>
      </c>
    </row>
    <row r="1976">
      <c r="A1976" s="7" t="str">
        <f>IFERROR(__xludf.DUMMYFUNCTION("""COMPUTED_VALUE"""),"R48")</f>
        <v>R48</v>
      </c>
      <c r="B1976" s="7" t="str">
        <f>IFERROR(__xludf.DUMMYFUNCTION("""COMPUTED_VALUE"""),"MLOps Engineer")</f>
        <v>MLOps Engineer</v>
      </c>
      <c r="C1976" s="7" t="str">
        <f>IFERROR(__xludf.DUMMYFUNCTION("""COMPUTED_VALUE"""),"S023")</f>
        <v>S023</v>
      </c>
      <c r="D1976" s="7" t="str">
        <f>IFERROR(__xludf.DUMMYFUNCTION("""COMPUTED_VALUE"""),"HTTP/HTTPS Protocols &amp; Status Codes")</f>
        <v>HTTP/HTTPS Protocols &amp; Status Codes</v>
      </c>
    </row>
    <row r="1977">
      <c r="A1977" s="7" t="str">
        <f>IFERROR(__xludf.DUMMYFUNCTION("""COMPUTED_VALUE"""),"R48")</f>
        <v>R48</v>
      </c>
      <c r="B1977" s="7" t="str">
        <f>IFERROR(__xludf.DUMMYFUNCTION("""COMPUTED_VALUE"""),"MLOps Engineer")</f>
        <v>MLOps Engineer</v>
      </c>
      <c r="C1977" s="7" t="str">
        <f>IFERROR(__xludf.DUMMYFUNCTION("""COMPUTED_VALUE"""),"S026")</f>
        <v>S026</v>
      </c>
      <c r="D1977" s="7" t="str">
        <f>IFERROR(__xludf.DUMMYFUNCTION("""COMPUTED_VALUE"""),"Data Serialization (JSON, XML, YAML, Protobuf)")</f>
        <v>Data Serialization (JSON, XML, YAML, Protobuf)</v>
      </c>
    </row>
    <row r="1978">
      <c r="A1978" s="7" t="str">
        <f>IFERROR(__xludf.DUMMYFUNCTION("""COMPUTED_VALUE"""),"R48")</f>
        <v>R48</v>
      </c>
      <c r="B1978" s="7" t="str">
        <f>IFERROR(__xludf.DUMMYFUNCTION("""COMPUTED_VALUE"""),"MLOps Engineer")</f>
        <v>MLOps Engineer</v>
      </c>
      <c r="C1978" s="7" t="str">
        <f>IFERROR(__xludf.DUMMYFUNCTION("""COMPUTED_VALUE"""),"S028")</f>
        <v>S028</v>
      </c>
      <c r="D1978" s="7" t="str">
        <f>IFERROR(__xludf.DUMMYFUNCTION("""COMPUTED_VALUE"""),"Technical Writing &amp; Markdown Documentation")</f>
        <v>Technical Writing &amp; Markdown Documentation</v>
      </c>
    </row>
    <row r="1979">
      <c r="A1979" s="7" t="str">
        <f>IFERROR(__xludf.DUMMYFUNCTION("""COMPUTED_VALUE"""),"R48")</f>
        <v>R48</v>
      </c>
      <c r="B1979" s="7" t="str">
        <f>IFERROR(__xludf.DUMMYFUNCTION("""COMPUTED_VALUE"""),"MLOps Engineer")</f>
        <v>MLOps Engineer</v>
      </c>
      <c r="C1979" s="7" t="str">
        <f>IFERROR(__xludf.DUMMYFUNCTION("""COMPUTED_VALUE"""),"S068")</f>
        <v>S068</v>
      </c>
      <c r="D1979" s="7" t="str">
        <f>IFERROR(__xludf.DUMMYFUNCTION("""COMPUTED_VALUE"""),"Python Programming Fundamentals")</f>
        <v>Python Programming Fundamentals</v>
      </c>
    </row>
    <row r="1980">
      <c r="A1980" s="7" t="str">
        <f>IFERROR(__xludf.DUMMYFUNCTION("""COMPUTED_VALUE"""),"R48")</f>
        <v>R48</v>
      </c>
      <c r="B1980" s="7" t="str">
        <f>IFERROR(__xludf.DUMMYFUNCTION("""COMPUTED_VALUE"""),"MLOps Engineer")</f>
        <v>MLOps Engineer</v>
      </c>
      <c r="C1980" s="7" t="str">
        <f>IFERROR(__xludf.DUMMYFUNCTION("""COMPUTED_VALUE"""),"S070")</f>
        <v>S070</v>
      </c>
      <c r="D1980" s="7" t="str">
        <f>IFERROR(__xludf.DUMMYFUNCTION("""COMPUTED_VALUE"""),"FastAPI High-Performance APIs")</f>
        <v>FastAPI High-Performance APIs</v>
      </c>
    </row>
    <row r="1981">
      <c r="A1981" s="7" t="str">
        <f>IFERROR(__xludf.DUMMYFUNCTION("""COMPUTED_VALUE"""),"R48")</f>
        <v>R48</v>
      </c>
      <c r="B1981" s="7" t="str">
        <f>IFERROR(__xludf.DUMMYFUNCTION("""COMPUTED_VALUE"""),"MLOps Engineer")</f>
        <v>MLOps Engineer</v>
      </c>
      <c r="C1981" s="7" t="str">
        <f>IFERROR(__xludf.DUMMYFUNCTION("""COMPUTED_VALUE"""),"S077")</f>
        <v>S077</v>
      </c>
      <c r="D1981" s="7" t="str">
        <f>IFERROR(__xludf.DUMMYFUNCTION("""COMPUTED_VALUE"""),"Go (Golang) Programming")</f>
        <v>Go (Golang) Programming</v>
      </c>
    </row>
    <row r="1982">
      <c r="A1982" s="7" t="str">
        <f>IFERROR(__xludf.DUMMYFUNCTION("""COMPUTED_VALUE"""),"R48")</f>
        <v>R48</v>
      </c>
      <c r="B1982" s="7" t="str">
        <f>IFERROR(__xludf.DUMMYFUNCTION("""COMPUTED_VALUE"""),"MLOps Engineer")</f>
        <v>MLOps Engineer</v>
      </c>
      <c r="C1982" s="7" t="str">
        <f>IFERROR(__xludf.DUMMYFUNCTION("""COMPUTED_VALUE"""),"S086")</f>
        <v>S086</v>
      </c>
      <c r="D1982" s="7" t="str">
        <f>IFERROR(__xludf.DUMMYFUNCTION("""COMPUTED_VALUE"""),"RESTful API Design &amp; OpenAPI/Swagger")</f>
        <v>RESTful API Design &amp; OpenAPI/Swagger</v>
      </c>
    </row>
    <row r="1983">
      <c r="A1983" s="7" t="str">
        <f>IFERROR(__xludf.DUMMYFUNCTION("""COMPUTED_VALUE"""),"R48")</f>
        <v>R48</v>
      </c>
      <c r="B1983" s="7" t="str">
        <f>IFERROR(__xludf.DUMMYFUNCTION("""COMPUTED_VALUE"""),"MLOps Engineer")</f>
        <v>MLOps Engineer</v>
      </c>
      <c r="C1983" s="7" t="str">
        <f>IFERROR(__xludf.DUMMYFUNCTION("""COMPUTED_VALUE"""),"S088")</f>
        <v>S088</v>
      </c>
      <c r="D1983" s="7" t="str">
        <f>IFERROR(__xludf.DUMMYFUNCTION("""COMPUTED_VALUE"""),"gRPC &amp; Protocol Buffers")</f>
        <v>gRPC &amp; Protocol Buffers</v>
      </c>
    </row>
    <row r="1984">
      <c r="A1984" s="7" t="str">
        <f>IFERROR(__xludf.DUMMYFUNCTION("""COMPUTED_VALUE"""),"R48")</f>
        <v>R48</v>
      </c>
      <c r="B1984" s="7" t="str">
        <f>IFERROR(__xludf.DUMMYFUNCTION("""COMPUTED_VALUE"""),"MLOps Engineer")</f>
        <v>MLOps Engineer</v>
      </c>
      <c r="C1984" s="7" t="str">
        <f>IFERROR(__xludf.DUMMYFUNCTION("""COMPUTED_VALUE"""),"S095")</f>
        <v>S095</v>
      </c>
      <c r="D1984" s="7" t="str">
        <f>IFERROR(__xludf.DUMMYFUNCTION("""COMPUTED_VALUE"""),"Microservices Architecture &amp; Service Mesh")</f>
        <v>Microservices Architecture &amp; Service Mesh</v>
      </c>
    </row>
    <row r="1985">
      <c r="A1985" s="7" t="str">
        <f>IFERROR(__xludf.DUMMYFUNCTION("""COMPUTED_VALUE"""),"R48")</f>
        <v>R48</v>
      </c>
      <c r="B1985" s="7" t="str">
        <f>IFERROR(__xludf.DUMMYFUNCTION("""COMPUTED_VALUE"""),"MLOps Engineer")</f>
        <v>MLOps Engineer</v>
      </c>
      <c r="C1985" s="7" t="str">
        <f>IFERROR(__xludf.DUMMYFUNCTION("""COMPUTED_VALUE"""),"S098")</f>
        <v>S098</v>
      </c>
      <c r="D1985" s="7" t="str">
        <f>IFERROR(__xludf.DUMMYFUNCTION("""COMPUTED_VALUE"""),"Distributed Event Streaming (Apache Kafka)")</f>
        <v>Distributed Event Streaming (Apache Kafka)</v>
      </c>
    </row>
    <row r="1986">
      <c r="A1986" s="7" t="str">
        <f>IFERROR(__xludf.DUMMYFUNCTION("""COMPUTED_VALUE"""),"R48")</f>
        <v>R48</v>
      </c>
      <c r="B1986" s="7" t="str">
        <f>IFERROR(__xludf.DUMMYFUNCTION("""COMPUTED_VALUE"""),"MLOps Engineer")</f>
        <v>MLOps Engineer</v>
      </c>
      <c r="C1986" s="7" t="str">
        <f>IFERROR(__xludf.DUMMYFUNCTION("""COMPUTED_VALUE"""),"S107")</f>
        <v>S107</v>
      </c>
      <c r="D1986" s="7" t="str">
        <f>IFERROR(__xludf.DUMMYFUNCTION("""COMPUTED_VALUE"""),"SQL Querying (Joins, Aggregations, Subqueries)")</f>
        <v>SQL Querying (Joins, Aggregations, Subqueries)</v>
      </c>
    </row>
    <row r="1987">
      <c r="A1987" s="7" t="str">
        <f>IFERROR(__xludf.DUMMYFUNCTION("""COMPUTED_VALUE"""),"R48")</f>
        <v>R48</v>
      </c>
      <c r="B1987" s="7" t="str">
        <f>IFERROR(__xludf.DUMMYFUNCTION("""COMPUTED_VALUE"""),"MLOps Engineer")</f>
        <v>MLOps Engineer</v>
      </c>
      <c r="C1987" s="7" t="str">
        <f>IFERROR(__xludf.DUMMYFUNCTION("""COMPUTED_VALUE"""),"S109")</f>
        <v>S109</v>
      </c>
      <c r="D1987" s="7" t="str">
        <f>IFERROR(__xludf.DUMMYFUNCTION("""COMPUTED_VALUE"""),"PostgreSQL Administration &amp; Development")</f>
        <v>PostgreSQL Administration &amp; Development</v>
      </c>
    </row>
    <row r="1988">
      <c r="A1988" s="7" t="str">
        <f>IFERROR(__xludf.DUMMYFUNCTION("""COMPUTED_VALUE"""),"R48")</f>
        <v>R48</v>
      </c>
      <c r="B1988" s="7" t="str">
        <f>IFERROR(__xludf.DUMMYFUNCTION("""COMPUTED_VALUE"""),"MLOps Engineer")</f>
        <v>MLOps Engineer</v>
      </c>
      <c r="C1988" s="7" t="str">
        <f>IFERROR(__xludf.DUMMYFUNCTION("""COMPUTED_VALUE"""),"S120")</f>
        <v>S120</v>
      </c>
      <c r="D1988" s="7" t="str">
        <f>IFERROR(__xludf.DUMMYFUNCTION("""COMPUTED_VALUE"""),"Key-Value Stores &amp; In-Memory DBs (Redis, Memcached)")</f>
        <v>Key-Value Stores &amp; In-Memory DBs (Redis, Memcached)</v>
      </c>
    </row>
    <row r="1989">
      <c r="A1989" s="7" t="str">
        <f>IFERROR(__xludf.DUMMYFUNCTION("""COMPUTED_VALUE"""),"R48")</f>
        <v>R48</v>
      </c>
      <c r="B1989" s="7" t="str">
        <f>IFERROR(__xludf.DUMMYFUNCTION("""COMPUTED_VALUE"""),"MLOps Engineer")</f>
        <v>MLOps Engineer</v>
      </c>
      <c r="C1989" s="7" t="str">
        <f>IFERROR(__xludf.DUMMYFUNCTION("""COMPUTED_VALUE"""),"S125")</f>
        <v>S125</v>
      </c>
      <c r="D1989" s="7" t="str">
        <f>IFERROR(__xludf.DUMMYFUNCTION("""COMPUTED_VALUE"""),"Vector Databases (Pinecone, Milvus, Weaviate, pgvector)")</f>
        <v>Vector Databases (Pinecone, Milvus, Weaviate, pgvector)</v>
      </c>
    </row>
    <row r="1990">
      <c r="A1990" s="7" t="str">
        <f>IFERROR(__xludf.DUMMYFUNCTION("""COMPUTED_VALUE"""),"R48")</f>
        <v>R48</v>
      </c>
      <c r="B1990" s="7" t="str">
        <f>IFERROR(__xludf.DUMMYFUNCTION("""COMPUTED_VALUE"""),"MLOps Engineer")</f>
        <v>MLOps Engineer</v>
      </c>
      <c r="C1990" s="7" t="str">
        <f>IFERROR(__xludf.DUMMYFUNCTION("""COMPUTED_VALUE"""),"S126")</f>
        <v>S126</v>
      </c>
      <c r="D1990" s="7" t="str">
        <f>IFERROR(__xludf.DUMMYFUNCTION("""COMPUTED_VALUE"""),"ETL / ELT Data Pipeline Design")</f>
        <v>ETL / ELT Data Pipeline Design</v>
      </c>
    </row>
    <row r="1991">
      <c r="A1991" s="7" t="str">
        <f>IFERROR(__xludf.DUMMYFUNCTION("""COMPUTED_VALUE"""),"R48")</f>
        <v>R48</v>
      </c>
      <c r="B1991" s="7" t="str">
        <f>IFERROR(__xludf.DUMMYFUNCTION("""COMPUTED_VALUE"""),"MLOps Engineer")</f>
        <v>MLOps Engineer</v>
      </c>
      <c r="C1991" s="7" t="str">
        <f>IFERROR(__xludf.DUMMYFUNCTION("""COMPUTED_VALUE"""),"S127")</f>
        <v>S127</v>
      </c>
      <c r="D1991" s="7" t="str">
        <f>IFERROR(__xludf.DUMMYFUNCTION("""COMPUTED_VALUE"""),"Workflow Orchestration (Apache Airflow, Prefect, Dagster)")</f>
        <v>Workflow Orchestration (Apache Airflow, Prefect, Dagster)</v>
      </c>
    </row>
    <row r="1992">
      <c r="A1992" s="7" t="str">
        <f>IFERROR(__xludf.DUMMYFUNCTION("""COMPUTED_VALUE"""),"R48")</f>
        <v>R48</v>
      </c>
      <c r="B1992" s="7" t="str">
        <f>IFERROR(__xludf.DUMMYFUNCTION("""COMPUTED_VALUE"""),"MLOps Engineer")</f>
        <v>MLOps Engineer</v>
      </c>
      <c r="C1992" s="7" t="str">
        <f>IFERROR(__xludf.DUMMYFUNCTION("""COMPUTED_VALUE"""),"S128")</f>
        <v>S128</v>
      </c>
      <c r="D1992" s="7" t="str">
        <f>IFERROR(__xludf.DUMMYFUNCTION("""COMPUTED_VALUE"""),"Distributed Data Processing (Apache Spark, PySpark)")</f>
        <v>Distributed Data Processing (Apache Spark, PySpark)</v>
      </c>
    </row>
    <row r="1993">
      <c r="A1993" s="7" t="str">
        <f>IFERROR(__xludf.DUMMYFUNCTION("""COMPUTED_VALUE"""),"R48")</f>
        <v>R48</v>
      </c>
      <c r="B1993" s="7" t="str">
        <f>IFERROR(__xludf.DUMMYFUNCTION("""COMPUTED_VALUE"""),"MLOps Engineer")</f>
        <v>MLOps Engineer</v>
      </c>
      <c r="C1993" s="7" t="str">
        <f>IFERROR(__xludf.DUMMYFUNCTION("""COMPUTED_VALUE"""),"S131")</f>
        <v>S131</v>
      </c>
      <c r="D1993" s="7" t="str">
        <f>IFERROR(__xludf.DUMMYFUNCTION("""COMPUTED_VALUE"""),"Cloud Data Warehousing (Snowflake, Google BigQuery, AWS Redshift)")</f>
        <v>Cloud Data Warehousing (Snowflake, Google BigQuery, AWS Redshift)</v>
      </c>
    </row>
    <row r="1994">
      <c r="A1994" s="7" t="str">
        <f>IFERROR(__xludf.DUMMYFUNCTION("""COMPUTED_VALUE"""),"R48")</f>
        <v>R48</v>
      </c>
      <c r="B1994" s="7" t="str">
        <f>IFERROR(__xludf.DUMMYFUNCTION("""COMPUTED_VALUE"""),"MLOps Engineer")</f>
        <v>MLOps Engineer</v>
      </c>
      <c r="C1994" s="7" t="str">
        <f>IFERROR(__xludf.DUMMYFUNCTION("""COMPUTED_VALUE"""),"S132")</f>
        <v>S132</v>
      </c>
      <c r="D1994" s="7" t="str">
        <f>IFERROR(__xludf.DUMMYFUNCTION("""COMPUTED_VALUE"""),"Data Lakehouse Architecture (Delta Lake, Apache Iceberg, Databricks)")</f>
        <v>Data Lakehouse Architecture (Delta Lake, Apache Iceberg, Databricks)</v>
      </c>
    </row>
    <row r="1995">
      <c r="A1995" s="7" t="str">
        <f>IFERROR(__xludf.DUMMYFUNCTION("""COMPUTED_VALUE"""),"R48")</f>
        <v>R48</v>
      </c>
      <c r="B1995" s="7" t="str">
        <f>IFERROR(__xludf.DUMMYFUNCTION("""COMPUTED_VALUE"""),"MLOps Engineer")</f>
        <v>MLOps Engineer</v>
      </c>
      <c r="C1995" s="7" t="str">
        <f>IFERROR(__xludf.DUMMYFUNCTION("""COMPUTED_VALUE"""),"S139")</f>
        <v>S139</v>
      </c>
      <c r="D1995" s="7" t="str">
        <f>IFERROR(__xludf.DUMMYFUNCTION("""COMPUTED_VALUE"""),"Scientific Computing with NumPy &amp; SciPy")</f>
        <v>Scientific Computing with NumPy &amp; SciPy</v>
      </c>
    </row>
    <row r="1996">
      <c r="A1996" s="7" t="str">
        <f>IFERROR(__xludf.DUMMYFUNCTION("""COMPUTED_VALUE"""),"R48")</f>
        <v>R48</v>
      </c>
      <c r="B1996" s="7" t="str">
        <f>IFERROR(__xludf.DUMMYFUNCTION("""COMPUTED_VALUE"""),"MLOps Engineer")</f>
        <v>MLOps Engineer</v>
      </c>
      <c r="C1996" s="7" t="str">
        <f>IFERROR(__xludf.DUMMYFUNCTION("""COMPUTED_VALUE"""),"S140")</f>
        <v>S140</v>
      </c>
      <c r="D1996" s="7" t="str">
        <f>IFERROR(__xludf.DUMMYFUNCTION("""COMPUTED_VALUE"""),"Data Manipulation &amp; Analysis with Pandas / Polars")</f>
        <v>Data Manipulation &amp; Analysis with Pandas / Polars</v>
      </c>
    </row>
    <row r="1997">
      <c r="A1997" s="7" t="str">
        <f>IFERROR(__xludf.DUMMYFUNCTION("""COMPUTED_VALUE"""),"R48")</f>
        <v>R48</v>
      </c>
      <c r="B1997" s="7" t="str">
        <f>IFERROR(__xludf.DUMMYFUNCTION("""COMPUTED_VALUE"""),"MLOps Engineer")</f>
        <v>MLOps Engineer</v>
      </c>
      <c r="C1997" s="7" t="str">
        <f>IFERROR(__xludf.DUMMYFUNCTION("""COMPUTED_VALUE"""),"S148")</f>
        <v>S148</v>
      </c>
      <c r="D1997" s="7" t="str">
        <f>IFERROR(__xludf.DUMMYFUNCTION("""COMPUTED_VALUE"""),"Supervised Machine Learning (Regression, Classification, SVM)")</f>
        <v>Supervised Machine Learning (Regression, Classification, SVM)</v>
      </c>
    </row>
    <row r="1998">
      <c r="A1998" s="7" t="str">
        <f>IFERROR(__xludf.DUMMYFUNCTION("""COMPUTED_VALUE"""),"R48")</f>
        <v>R48</v>
      </c>
      <c r="B1998" s="7" t="str">
        <f>IFERROR(__xludf.DUMMYFUNCTION("""COMPUTED_VALUE"""),"MLOps Engineer")</f>
        <v>MLOps Engineer</v>
      </c>
      <c r="C1998" s="7" t="str">
        <f>IFERROR(__xludf.DUMMYFUNCTION("""COMPUTED_VALUE"""),"S151")</f>
        <v>S151</v>
      </c>
      <c r="D1998" s="7" t="str">
        <f>IFERROR(__xludf.DUMMYFUNCTION("""COMPUTED_VALUE"""),"Model Evaluation Metrics, Cross-Validation &amp; Hyperparameter Tuning")</f>
        <v>Model Evaluation Metrics, Cross-Validation &amp; Hyperparameter Tuning</v>
      </c>
    </row>
    <row r="1999">
      <c r="A1999" s="7" t="str">
        <f>IFERROR(__xludf.DUMMYFUNCTION("""COMPUTED_VALUE"""),"R48")</f>
        <v>R48</v>
      </c>
      <c r="B1999" s="7" t="str">
        <f>IFERROR(__xludf.DUMMYFUNCTION("""COMPUTED_VALUE"""),"MLOps Engineer")</f>
        <v>MLOps Engineer</v>
      </c>
      <c r="C1999" s="7" t="str">
        <f>IFERROR(__xludf.DUMMYFUNCTION("""COMPUTED_VALUE"""),"S154")</f>
        <v>S154</v>
      </c>
      <c r="D1999" s="7" t="str">
        <f>IFERROR(__xludf.DUMMYFUNCTION("""COMPUTED_VALUE"""),"Neural Networks &amp; Deep Learning Fundamentals")</f>
        <v>Neural Networks &amp; Deep Learning Fundamentals</v>
      </c>
    </row>
    <row r="2000">
      <c r="A2000" s="7" t="str">
        <f>IFERROR(__xludf.DUMMYFUNCTION("""COMPUTED_VALUE"""),"R48")</f>
        <v>R48</v>
      </c>
      <c r="B2000" s="7" t="str">
        <f>IFERROR(__xludf.DUMMYFUNCTION("""COMPUTED_VALUE"""),"MLOps Engineer")</f>
        <v>MLOps Engineer</v>
      </c>
      <c r="C2000" s="7" t="str">
        <f>IFERROR(__xludf.DUMMYFUNCTION("""COMPUTED_VALUE"""),"S155")</f>
        <v>S155</v>
      </c>
      <c r="D2000" s="7" t="str">
        <f>IFERROR(__xludf.DUMMYFUNCTION("""COMPUTED_VALUE"""),"Deep Learning with PyTorch")</f>
        <v>Deep Learning with PyTorch</v>
      </c>
    </row>
    <row r="2001">
      <c r="A2001" s="7" t="str">
        <f>IFERROR(__xludf.DUMMYFUNCTION("""COMPUTED_VALUE"""),"R48")</f>
        <v>R48</v>
      </c>
      <c r="B2001" s="7" t="str">
        <f>IFERROR(__xludf.DUMMYFUNCTION("""COMPUTED_VALUE"""),"MLOps Engineer")</f>
        <v>MLOps Engineer</v>
      </c>
      <c r="C2001" s="7" t="str">
        <f>IFERROR(__xludf.DUMMYFUNCTION("""COMPUTED_VALUE"""),"S156")</f>
        <v>S156</v>
      </c>
      <c r="D2001" s="7" t="str">
        <f>IFERROR(__xludf.DUMMYFUNCTION("""COMPUTED_VALUE"""),"Deep Learning with TensorFlow &amp; Keras")</f>
        <v>Deep Learning with TensorFlow &amp; Keras</v>
      </c>
    </row>
    <row r="2002">
      <c r="A2002" s="7" t="str">
        <f>IFERROR(__xludf.DUMMYFUNCTION("""COMPUTED_VALUE"""),"R48")</f>
        <v>R48</v>
      </c>
      <c r="B2002" s="7" t="str">
        <f>IFERROR(__xludf.DUMMYFUNCTION("""COMPUTED_VALUE"""),"MLOps Engineer")</f>
        <v>MLOps Engineer</v>
      </c>
      <c r="C2002" s="7" t="str">
        <f>IFERROR(__xludf.DUMMYFUNCTION("""COMPUTED_VALUE"""),"S158")</f>
        <v>S158</v>
      </c>
      <c r="D2002" s="7" t="str">
        <f>IFERROR(__xludf.DUMMYFUNCTION("""COMPUTED_VALUE"""),"Transformer Architecture &amp; Attention Mechanisms (Hugging Face)")</f>
        <v>Transformer Architecture &amp; Attention Mechanisms (Hugging Face)</v>
      </c>
    </row>
    <row r="2003">
      <c r="A2003" s="7" t="str">
        <f>IFERROR(__xludf.DUMMYFUNCTION("""COMPUTED_VALUE"""),"R48")</f>
        <v>R48</v>
      </c>
      <c r="B2003" s="7" t="str">
        <f>IFERROR(__xludf.DUMMYFUNCTION("""COMPUTED_VALUE"""),"MLOps Engineer")</f>
        <v>MLOps Engineer</v>
      </c>
      <c r="C2003" s="7" t="str">
        <f>IFERROR(__xludf.DUMMYFUNCTION("""COMPUTED_VALUE"""),"S159")</f>
        <v>S159</v>
      </c>
      <c r="D2003" s="7" t="str">
        <f>IFERROR(__xludf.DUMMYFUNCTION("""COMPUTED_VALUE"""),"Large Language Models (LLMs), Fine-Tuning (LoRA/QLoRA) &amp; Evaluation")</f>
        <v>Large Language Models (LLMs), Fine-Tuning (LoRA/QLoRA) &amp; Evaluation</v>
      </c>
    </row>
    <row r="2004">
      <c r="A2004" s="7" t="str">
        <f>IFERROR(__xludf.DUMMYFUNCTION("""COMPUTED_VALUE"""),"R48")</f>
        <v>R48</v>
      </c>
      <c r="B2004" s="7" t="str">
        <f>IFERROR(__xludf.DUMMYFUNCTION("""COMPUTED_VALUE"""),"MLOps Engineer")</f>
        <v>MLOps Engineer</v>
      </c>
      <c r="C2004" s="7" t="str">
        <f>IFERROR(__xludf.DUMMYFUNCTION("""COMPUTED_VALUE"""),"S160")</f>
        <v>S160</v>
      </c>
      <c r="D2004" s="7" t="str">
        <f>IFERROR(__xludf.DUMMYFUNCTION("""COMPUTED_VALUE"""),"Prompt Engineering, RAG &amp; AI Agents (LangChain, LlamaIndex)")</f>
        <v>Prompt Engineering, RAG &amp; AI Agents (LangChain, LlamaIndex)</v>
      </c>
    </row>
    <row r="2005">
      <c r="A2005" s="7" t="str">
        <f>IFERROR(__xludf.DUMMYFUNCTION("""COMPUTED_VALUE"""),"R48")</f>
        <v>R48</v>
      </c>
      <c r="B2005" s="7" t="str">
        <f>IFERROR(__xludf.DUMMYFUNCTION("""COMPUTED_VALUE"""),"MLOps Engineer")</f>
        <v>MLOps Engineer</v>
      </c>
      <c r="C2005" s="7" t="str">
        <f>IFERROR(__xludf.DUMMYFUNCTION("""COMPUTED_VALUE"""),"S165")</f>
        <v>S165</v>
      </c>
      <c r="D2005" s="7" t="str">
        <f>IFERROR(__xludf.DUMMYFUNCTION("""COMPUTED_VALUE"""),"MLOps &amp; Experiment Tracking (MLflow, Weights &amp; Biases, Kubeflow)")</f>
        <v>MLOps &amp; Experiment Tracking (MLflow, Weights &amp; Biases, Kubeflow)</v>
      </c>
    </row>
    <row r="2006">
      <c r="A2006" s="7" t="str">
        <f>IFERROR(__xludf.DUMMYFUNCTION("""COMPUTED_VALUE"""),"R48")</f>
        <v>R48</v>
      </c>
      <c r="B2006" s="7" t="str">
        <f>IFERROR(__xludf.DUMMYFUNCTION("""COMPUTED_VALUE"""),"MLOps Engineer")</f>
        <v>MLOps Engineer</v>
      </c>
      <c r="C2006" s="7" t="str">
        <f>IFERROR(__xludf.DUMMYFUNCTION("""COMPUTED_VALUE"""),"S166")</f>
        <v>S166</v>
      </c>
      <c r="D2006" s="7" t="str">
        <f>IFERROR(__xludf.DUMMYFUNCTION("""COMPUTED_VALUE"""),"Model Serving &amp; Inference Optimization (ONNX, TensorRT, Triton, BentoML)")</f>
        <v>Model Serving &amp; Inference Optimization (ONNX, TensorRT, Triton, BentoML)</v>
      </c>
    </row>
    <row r="2007">
      <c r="A2007" s="7" t="str">
        <f>IFERROR(__xludf.DUMMYFUNCTION("""COMPUTED_VALUE"""),"R48")</f>
        <v>R48</v>
      </c>
      <c r="B2007" s="7" t="str">
        <f>IFERROR(__xludf.DUMMYFUNCTION("""COMPUTED_VALUE"""),"MLOps Engineer")</f>
        <v>MLOps Engineer</v>
      </c>
      <c r="C2007" s="7" t="str">
        <f>IFERROR(__xludf.DUMMYFUNCTION("""COMPUTED_VALUE"""),"S171")</f>
        <v>S171</v>
      </c>
      <c r="D2007" s="7" t="str">
        <f>IFERROR(__xludf.DUMMYFUNCTION("""COMPUTED_VALUE"""),"Containerization with Docker")</f>
        <v>Containerization with Docker</v>
      </c>
    </row>
    <row r="2008">
      <c r="A2008" s="7" t="str">
        <f>IFERROR(__xludf.DUMMYFUNCTION("""COMPUTED_VALUE"""),"R48")</f>
        <v>R48</v>
      </c>
      <c r="B2008" s="7" t="str">
        <f>IFERROR(__xludf.DUMMYFUNCTION("""COMPUTED_VALUE"""),"MLOps Engineer")</f>
        <v>MLOps Engineer</v>
      </c>
      <c r="C2008" s="7" t="str">
        <f>IFERROR(__xludf.DUMMYFUNCTION("""COMPUTED_VALUE"""),"S172")</f>
        <v>S172</v>
      </c>
      <c r="D2008" s="7" t="str">
        <f>IFERROR(__xludf.DUMMYFUNCTION("""COMPUTED_VALUE"""),"Kubernetes Cluster Orchestration (K8s)")</f>
        <v>Kubernetes Cluster Orchestration (K8s)</v>
      </c>
    </row>
    <row r="2009">
      <c r="A2009" s="7" t="str">
        <f>IFERROR(__xludf.DUMMYFUNCTION("""COMPUTED_VALUE"""),"R48")</f>
        <v>R48</v>
      </c>
      <c r="B2009" s="7" t="str">
        <f>IFERROR(__xludf.DUMMYFUNCTION("""COMPUTED_VALUE"""),"MLOps Engineer")</f>
        <v>MLOps Engineer</v>
      </c>
      <c r="C2009" s="7" t="str">
        <f>IFERROR(__xludf.DUMMYFUNCTION("""COMPUTED_VALUE"""),"S173")</f>
        <v>S173</v>
      </c>
      <c r="D2009" s="7" t="str">
        <f>IFERROR(__xludf.DUMMYFUNCTION("""COMPUTED_VALUE"""),"Kubernetes Package Management (Helm &amp; Kustomize)")</f>
        <v>Kubernetes Package Management (Helm &amp; Kustomize)</v>
      </c>
    </row>
    <row r="2010">
      <c r="A2010" s="7" t="str">
        <f>IFERROR(__xludf.DUMMYFUNCTION("""COMPUTED_VALUE"""),"R48")</f>
        <v>R48</v>
      </c>
      <c r="B2010" s="7" t="str">
        <f>IFERROR(__xludf.DUMMYFUNCTION("""COMPUTED_VALUE"""),"MLOps Engineer")</f>
        <v>MLOps Engineer</v>
      </c>
      <c r="C2010" s="7" t="str">
        <f>IFERROR(__xludf.DUMMYFUNCTION("""COMPUTED_VALUE"""),"S174")</f>
        <v>S174</v>
      </c>
      <c r="D2010" s="7" t="str">
        <f>IFERROR(__xludf.DUMMYFUNCTION("""COMPUTED_VALUE"""),"Amazon Web Services Core (EC2, S3, RDS, IAM, VPC)")</f>
        <v>Amazon Web Services Core (EC2, S3, RDS, IAM, VPC)</v>
      </c>
    </row>
    <row r="2011">
      <c r="A2011" s="7" t="str">
        <f>IFERROR(__xludf.DUMMYFUNCTION("""COMPUTED_VALUE"""),"R48")</f>
        <v>R48</v>
      </c>
      <c r="B2011" s="7" t="str">
        <f>IFERROR(__xludf.DUMMYFUNCTION("""COMPUTED_VALUE"""),"MLOps Engineer")</f>
        <v>MLOps Engineer</v>
      </c>
      <c r="C2011" s="7" t="str">
        <f>IFERROR(__xludf.DUMMYFUNCTION("""COMPUTED_VALUE"""),"S175")</f>
        <v>S175</v>
      </c>
      <c r="D2011" s="7" t="str">
        <f>IFERROR(__xludf.DUMMYFUNCTION("""COMPUTED_VALUE"""),"Microsoft Azure Cloud Services")</f>
        <v>Microsoft Azure Cloud Services</v>
      </c>
    </row>
    <row r="2012">
      <c r="A2012" s="7" t="str">
        <f>IFERROR(__xludf.DUMMYFUNCTION("""COMPUTED_VALUE"""),"R48")</f>
        <v>R48</v>
      </c>
      <c r="B2012" s="7" t="str">
        <f>IFERROR(__xludf.DUMMYFUNCTION("""COMPUTED_VALUE"""),"MLOps Engineer")</f>
        <v>MLOps Engineer</v>
      </c>
      <c r="C2012" s="7" t="str">
        <f>IFERROR(__xludf.DUMMYFUNCTION("""COMPUTED_VALUE"""),"S176")</f>
        <v>S176</v>
      </c>
      <c r="D2012" s="7" t="str">
        <f>IFERROR(__xludf.DUMMYFUNCTION("""COMPUTED_VALUE"""),"Google Cloud Platform (GCP) Services")</f>
        <v>Google Cloud Platform (GCP) Services</v>
      </c>
    </row>
    <row r="2013">
      <c r="A2013" s="7" t="str">
        <f>IFERROR(__xludf.DUMMYFUNCTION("""COMPUTED_VALUE"""),"R48")</f>
        <v>R48</v>
      </c>
      <c r="B2013" s="7" t="str">
        <f>IFERROR(__xludf.DUMMYFUNCTION("""COMPUTED_VALUE"""),"MLOps Engineer")</f>
        <v>MLOps Engineer</v>
      </c>
      <c r="C2013" s="7" t="str">
        <f>IFERROR(__xludf.DUMMYFUNCTION("""COMPUTED_VALUE"""),"S178")</f>
        <v>S178</v>
      </c>
      <c r="D2013" s="7" t="str">
        <f>IFERROR(__xludf.DUMMYFUNCTION("""COMPUTED_VALUE"""),"Infrastructure as Code (Terraform &amp; OpenTofu)")</f>
        <v>Infrastructure as Code (Terraform &amp; OpenTofu)</v>
      </c>
    </row>
    <row r="2014">
      <c r="A2014" s="7" t="str">
        <f>IFERROR(__xludf.DUMMYFUNCTION("""COMPUTED_VALUE"""),"R48")</f>
        <v>R48</v>
      </c>
      <c r="B2014" s="7" t="str">
        <f>IFERROR(__xludf.DUMMYFUNCTION("""COMPUTED_VALUE"""),"MLOps Engineer")</f>
        <v>MLOps Engineer</v>
      </c>
      <c r="C2014" s="7" t="str">
        <f>IFERROR(__xludf.DUMMYFUNCTION("""COMPUTED_VALUE"""),"S180")</f>
        <v>S180</v>
      </c>
      <c r="D2014" s="7" t="str">
        <f>IFERROR(__xludf.DUMMYFUNCTION("""COMPUTED_VALUE"""),"CI/CD Pipelines with GitHub Actions")</f>
        <v>CI/CD Pipelines with GitHub Actions</v>
      </c>
    </row>
    <row r="2015">
      <c r="A2015" s="7" t="str">
        <f>IFERROR(__xludf.DUMMYFUNCTION("""COMPUTED_VALUE"""),"R48")</f>
        <v>R48</v>
      </c>
      <c r="B2015" s="7" t="str">
        <f>IFERROR(__xludf.DUMMYFUNCTION("""COMPUTED_VALUE"""),"MLOps Engineer")</f>
        <v>MLOps Engineer</v>
      </c>
      <c r="C2015" s="7" t="str">
        <f>IFERROR(__xludf.DUMMYFUNCTION("""COMPUTED_VALUE"""),"S181")</f>
        <v>S181</v>
      </c>
      <c r="D2015" s="7" t="str">
        <f>IFERROR(__xludf.DUMMYFUNCTION("""COMPUTED_VALUE"""),"CI/CD Automation with GitLab CI &amp; Jenkins")</f>
        <v>CI/CD Automation with GitLab CI &amp; Jenkins</v>
      </c>
    </row>
    <row r="2016">
      <c r="A2016" s="7" t="str">
        <f>IFERROR(__xludf.DUMMYFUNCTION("""COMPUTED_VALUE"""),"R48")</f>
        <v>R48</v>
      </c>
      <c r="B2016" s="7" t="str">
        <f>IFERROR(__xludf.DUMMYFUNCTION("""COMPUTED_VALUE"""),"MLOps Engineer")</f>
        <v>MLOps Engineer</v>
      </c>
      <c r="C2016" s="7" t="str">
        <f>IFERROR(__xludf.DUMMYFUNCTION("""COMPUTED_VALUE"""),"S182")</f>
        <v>S182</v>
      </c>
      <c r="D2016" s="7" t="str">
        <f>IFERROR(__xludf.DUMMYFUNCTION("""COMPUTED_VALUE"""),"GitOps &amp; Continuous Delivery (ArgoCD, Flux)")</f>
        <v>GitOps &amp; Continuous Delivery (ArgoCD, Flux)</v>
      </c>
    </row>
    <row r="2017">
      <c r="A2017" s="7" t="str">
        <f>IFERROR(__xludf.DUMMYFUNCTION("""COMPUTED_VALUE"""),"R48")</f>
        <v>R48</v>
      </c>
      <c r="B2017" s="7" t="str">
        <f>IFERROR(__xludf.DUMMYFUNCTION("""COMPUTED_VALUE"""),"MLOps Engineer")</f>
        <v>MLOps Engineer</v>
      </c>
      <c r="C2017" s="7" t="str">
        <f>IFERROR(__xludf.DUMMYFUNCTION("""COMPUTED_VALUE"""),"S184")</f>
        <v>S184</v>
      </c>
      <c r="D2017" s="7" t="str">
        <f>IFERROR(__xludf.DUMMYFUNCTION("""COMPUTED_VALUE"""),"Infrastructure &amp; Metrics Monitoring (Prometheus &amp; Grafana)")</f>
        <v>Infrastructure &amp; Metrics Monitoring (Prometheus &amp; Grafana)</v>
      </c>
    </row>
    <row r="2018">
      <c r="A2018" s="7" t="str">
        <f>IFERROR(__xludf.DUMMYFUNCTION("""COMPUTED_VALUE"""),"R48")</f>
        <v>R48</v>
      </c>
      <c r="B2018" s="7" t="str">
        <f>IFERROR(__xludf.DUMMYFUNCTION("""COMPUTED_VALUE"""),"MLOps Engineer")</f>
        <v>MLOps Engineer</v>
      </c>
      <c r="C2018" s="7" t="str">
        <f>IFERROR(__xludf.DUMMYFUNCTION("""COMPUTED_VALUE"""),"S185")</f>
        <v>S185</v>
      </c>
      <c r="D2018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019">
      <c r="A2019" s="7" t="str">
        <f>IFERROR(__xludf.DUMMYFUNCTION("""COMPUTED_VALUE"""),"R48")</f>
        <v>R48</v>
      </c>
      <c r="B2019" s="7" t="str">
        <f>IFERROR(__xludf.DUMMYFUNCTION("""COMPUTED_VALUE"""),"MLOps Engineer")</f>
        <v>MLOps Engineer</v>
      </c>
      <c r="C2019" s="7" t="str">
        <f>IFERROR(__xludf.DUMMYFUNCTION("""COMPUTED_VALUE"""),"S246")</f>
        <v>S246</v>
      </c>
      <c r="D2019" s="7" t="str">
        <f>IFERROR(__xludf.DUMMYFUNCTION("""COMPUTED_VALUE"""),"Agile Methodologies, Scrum Framework &amp; Kanban")</f>
        <v>Agile Methodologies, Scrum Framework &amp; Kanban</v>
      </c>
    </row>
    <row r="2020">
      <c r="A2020" s="7" t="str">
        <f>IFERROR(__xludf.DUMMYFUNCTION("""COMPUTED_VALUE"""),"R48")</f>
        <v>R48</v>
      </c>
      <c r="B2020" s="7" t="str">
        <f>IFERROR(__xludf.DUMMYFUNCTION("""COMPUTED_VALUE"""),"MLOps Engineer")</f>
        <v>MLOps Engineer</v>
      </c>
      <c r="C2020" s="7" t="str">
        <f>IFERROR(__xludf.DUMMYFUNCTION("""COMPUTED_VALUE"""),"S247")</f>
        <v>S247</v>
      </c>
      <c r="D2020" s="7" t="str">
        <f>IFERROR(__xludf.DUMMYFUNCTION("""COMPUTED_VALUE"""),"Project Tracking &amp; Documentation Tools (Jira, Confluence, Linear)")</f>
        <v>Project Tracking &amp; Documentation Tools (Jira, Confluence, Linear)</v>
      </c>
    </row>
    <row r="2021">
      <c r="A2021" s="7" t="str">
        <f>IFERROR(__xludf.DUMMYFUNCTION("""COMPUTED_VALUE"""),"R49")</f>
        <v>R49</v>
      </c>
      <c r="B2021" s="7" t="str">
        <f>IFERROR(__xludf.DUMMYFUNCTION("""COMPUTED_VALUE"""),"Site Reliability Architect")</f>
        <v>Site Reliability Architect</v>
      </c>
      <c r="C2021" s="7" t="str">
        <f>IFERROR(__xludf.DUMMYFUNCTION("""COMPUTED_VALUE"""),"S001")</f>
        <v>S001</v>
      </c>
      <c r="D2021" s="7" t="str">
        <f>IFERROR(__xludf.DUMMYFUNCTION("""COMPUTED_VALUE"""),"Computer Architecture &amp; Organization")</f>
        <v>Computer Architecture &amp; Organization</v>
      </c>
    </row>
    <row r="2022">
      <c r="A2022" s="7" t="str">
        <f>IFERROR(__xludf.DUMMYFUNCTION("""COMPUTED_VALUE"""),"R49")</f>
        <v>R49</v>
      </c>
      <c r="B2022" s="7" t="str">
        <f>IFERROR(__xludf.DUMMYFUNCTION("""COMPUTED_VALUE"""),"Site Reliability Architect")</f>
        <v>Site Reliability Architect</v>
      </c>
      <c r="C2022" s="7" t="str">
        <f>IFERROR(__xludf.DUMMYFUNCTION("""COMPUTED_VALUE"""),"S002")</f>
        <v>S002</v>
      </c>
      <c r="D2022" s="7" t="str">
        <f>IFERROR(__xludf.DUMMYFUNCTION("""COMPUTED_VALUE"""),"Operating Systems Concepts")</f>
        <v>Operating Systems Concepts</v>
      </c>
    </row>
    <row r="2023">
      <c r="A2023" s="7" t="str">
        <f>IFERROR(__xludf.DUMMYFUNCTION("""COMPUTED_VALUE"""),"R49")</f>
        <v>R49</v>
      </c>
      <c r="B2023" s="7" t="str">
        <f>IFERROR(__xludf.DUMMYFUNCTION("""COMPUTED_VALUE"""),"Site Reliability Architect")</f>
        <v>Site Reliability Architect</v>
      </c>
      <c r="C2023" s="7" t="str">
        <f>IFERROR(__xludf.DUMMYFUNCTION("""COMPUTED_VALUE"""),"S003")</f>
        <v>S003</v>
      </c>
      <c r="D2023" s="7" t="str">
        <f>IFERROR(__xludf.DUMMYFUNCTION("""COMPUTED_VALUE"""),"Process &amp; Thread Management")</f>
        <v>Process &amp; Thread Management</v>
      </c>
    </row>
    <row r="2024">
      <c r="A2024" s="7" t="str">
        <f>IFERROR(__xludf.DUMMYFUNCTION("""COMPUTED_VALUE"""),"R49")</f>
        <v>R49</v>
      </c>
      <c r="B2024" s="7" t="str">
        <f>IFERROR(__xludf.DUMMYFUNCTION("""COMPUTED_VALUE"""),"Site Reliability Architect")</f>
        <v>Site Reliability Architect</v>
      </c>
      <c r="C2024" s="7" t="str">
        <f>IFERROR(__xludf.DUMMYFUNCTION("""COMPUTED_VALUE"""),"S004")</f>
        <v>S004</v>
      </c>
      <c r="D2024" s="7" t="str">
        <f>IFERROR(__xludf.DUMMYFUNCTION("""COMPUTED_VALUE"""),"Memory Management &amp; Paging")</f>
        <v>Memory Management &amp; Paging</v>
      </c>
    </row>
    <row r="2025">
      <c r="A2025" s="7" t="str">
        <f>IFERROR(__xludf.DUMMYFUNCTION("""COMPUTED_VALUE"""),"R49")</f>
        <v>R49</v>
      </c>
      <c r="B2025" s="7" t="str">
        <f>IFERROR(__xludf.DUMMYFUNCTION("""COMPUTED_VALUE"""),"Site Reliability Architect")</f>
        <v>Site Reliability Architect</v>
      </c>
      <c r="C2025" s="7" t="str">
        <f>IFERROR(__xludf.DUMMYFUNCTION("""COMPUTED_VALUE"""),"S005")</f>
        <v>S005</v>
      </c>
      <c r="D2025" s="7" t="str">
        <f>IFERROR(__xludf.DUMMYFUNCTION("""COMPUTED_VALUE"""),"File Systems &amp; Storage I/O")</f>
        <v>File Systems &amp; Storage I/O</v>
      </c>
    </row>
    <row r="2026">
      <c r="A2026" s="7" t="str">
        <f>IFERROR(__xludf.DUMMYFUNCTION("""COMPUTED_VALUE"""),"R49")</f>
        <v>R49</v>
      </c>
      <c r="B2026" s="7" t="str">
        <f>IFERROR(__xludf.DUMMYFUNCTION("""COMPUTED_VALUE"""),"Site Reliability Architect")</f>
        <v>Site Reliability Architect</v>
      </c>
      <c r="C2026" s="7" t="str">
        <f>IFERROR(__xludf.DUMMYFUNCTION("""COMPUTED_VALUE"""),"S006")</f>
        <v>S006</v>
      </c>
      <c r="D2026" s="7" t="str">
        <f>IFERROR(__xludf.DUMMYFUNCTION("""COMPUTED_VALUE"""),"Basic Data Structures (Arrays, Lists, Stacks, Queues)")</f>
        <v>Basic Data Structures (Arrays, Lists, Stacks, Queues)</v>
      </c>
    </row>
    <row r="2027">
      <c r="A2027" s="7" t="str">
        <f>IFERROR(__xludf.DUMMYFUNCTION("""COMPUTED_VALUE"""),"R49")</f>
        <v>R49</v>
      </c>
      <c r="B2027" s="7" t="str">
        <f>IFERROR(__xludf.DUMMYFUNCTION("""COMPUTED_VALUE"""),"Site Reliability Architect")</f>
        <v>Site Reliability Architect</v>
      </c>
      <c r="C2027" s="7" t="str">
        <f>IFERROR(__xludf.DUMMYFUNCTION("""COMPUTED_VALUE"""),"S008")</f>
        <v>S008</v>
      </c>
      <c r="D2027" s="7" t="str">
        <f>IFERROR(__xludf.DUMMYFUNCTION("""COMPUTED_VALUE"""),"Heaps, Priority Queues &amp; Hashing")</f>
        <v>Heaps, Priority Queues &amp; Hashing</v>
      </c>
    </row>
    <row r="2028">
      <c r="A2028" s="7" t="str">
        <f>IFERROR(__xludf.DUMMYFUNCTION("""COMPUTED_VALUE"""),"R49")</f>
        <v>R49</v>
      </c>
      <c r="B2028" s="7" t="str">
        <f>IFERROR(__xludf.DUMMYFUNCTION("""COMPUTED_VALUE"""),"Site Reliability Architect")</f>
        <v>Site Reliability Architect</v>
      </c>
      <c r="C2028" s="7" t="str">
        <f>IFERROR(__xludf.DUMMYFUNCTION("""COMPUTED_VALUE"""),"S010")</f>
        <v>S010</v>
      </c>
      <c r="D2028" s="7" t="str">
        <f>IFERROR(__xludf.DUMMYFUNCTION("""COMPUTED_VALUE"""),"Sorting &amp; Searching Algorithms")</f>
        <v>Sorting &amp; Searching Algorithms</v>
      </c>
    </row>
    <row r="2029">
      <c r="A2029" s="7" t="str">
        <f>IFERROR(__xludf.DUMMYFUNCTION("""COMPUTED_VALUE"""),"R49")</f>
        <v>R49</v>
      </c>
      <c r="B2029" s="7" t="str">
        <f>IFERROR(__xludf.DUMMYFUNCTION("""COMPUTED_VALUE"""),"Site Reliability Architect")</f>
        <v>Site Reliability Architect</v>
      </c>
      <c r="C2029" s="7" t="str">
        <f>IFERROR(__xludf.DUMMYFUNCTION("""COMPUTED_VALUE"""),"S012")</f>
        <v>S012</v>
      </c>
      <c r="D2029" s="7" t="str">
        <f>IFERROR(__xludf.DUMMYFUNCTION("""COMPUTED_VALUE"""),"Time &amp; Space Complexity (Big-O Analysis)")</f>
        <v>Time &amp; Space Complexity (Big-O Analysis)</v>
      </c>
    </row>
    <row r="2030">
      <c r="A2030" s="7" t="str">
        <f>IFERROR(__xludf.DUMMYFUNCTION("""COMPUTED_VALUE"""),"R49")</f>
        <v>R49</v>
      </c>
      <c r="B2030" s="7" t="str">
        <f>IFERROR(__xludf.DUMMYFUNCTION("""COMPUTED_VALUE"""),"Site Reliability Architect")</f>
        <v>Site Reliability Architect</v>
      </c>
      <c r="C2030" s="7" t="str">
        <f>IFERROR(__xludf.DUMMYFUNCTION("""COMPUTED_VALUE"""),"S013")</f>
        <v>S013</v>
      </c>
      <c r="D2030" s="7" t="str">
        <f>IFERROR(__xludf.DUMMYFUNCTION("""COMPUTED_VALUE"""),"Object-Oriented Programming (OOP)")</f>
        <v>Object-Oriented Programming (OOP)</v>
      </c>
    </row>
    <row r="2031">
      <c r="A2031" s="7" t="str">
        <f>IFERROR(__xludf.DUMMYFUNCTION("""COMPUTED_VALUE"""),"R49")</f>
        <v>R49</v>
      </c>
      <c r="B2031" s="7" t="str">
        <f>IFERROR(__xludf.DUMMYFUNCTION("""COMPUTED_VALUE"""),"Site Reliability Architect")</f>
        <v>Site Reliability Architect</v>
      </c>
      <c r="C2031" s="7" t="str">
        <f>IFERROR(__xludf.DUMMYFUNCTION("""COMPUTED_VALUE"""),"S015")</f>
        <v>S015</v>
      </c>
      <c r="D2031" s="7" t="str">
        <f>IFERROR(__xludf.DUMMYFUNCTION("""COMPUTED_VALUE"""),"Software Design Patterns (GoF)")</f>
        <v>Software Design Patterns (GoF)</v>
      </c>
    </row>
    <row r="2032">
      <c r="A2032" s="7" t="str">
        <f>IFERROR(__xludf.DUMMYFUNCTION("""COMPUTED_VALUE"""),"R49")</f>
        <v>R49</v>
      </c>
      <c r="B2032" s="7" t="str">
        <f>IFERROR(__xludf.DUMMYFUNCTION("""COMPUTED_VALUE"""),"Site Reliability Architect")</f>
        <v>Site Reliability Architect</v>
      </c>
      <c r="C2032" s="7" t="str">
        <f>IFERROR(__xludf.DUMMYFUNCTION("""COMPUTED_VALUE"""),"S017")</f>
        <v>S017</v>
      </c>
      <c r="D2032" s="7" t="str">
        <f>IFERROR(__xludf.DUMMYFUNCTION("""COMPUTED_VALUE"""),"Git Version Control Fundamentals")</f>
        <v>Git Version Control Fundamentals</v>
      </c>
    </row>
    <row r="2033">
      <c r="A2033" s="7" t="str">
        <f>IFERROR(__xludf.DUMMYFUNCTION("""COMPUTED_VALUE"""),"R49")</f>
        <v>R49</v>
      </c>
      <c r="B2033" s="7" t="str">
        <f>IFERROR(__xludf.DUMMYFUNCTION("""COMPUTED_VALUE"""),"Site Reliability Architect")</f>
        <v>Site Reliability Architect</v>
      </c>
      <c r="C2033" s="7" t="str">
        <f>IFERROR(__xludf.DUMMYFUNCTION("""COMPUTED_VALUE"""),"S018")</f>
        <v>S018</v>
      </c>
      <c r="D2033" s="7" t="str">
        <f>IFERROR(__xludf.DUMMYFUNCTION("""COMPUTED_VALUE"""),"GitHub / GitLab Workflows &amp; Pull Requests")</f>
        <v>GitHub / GitLab Workflows &amp; Pull Requests</v>
      </c>
    </row>
    <row r="2034">
      <c r="A2034" s="7" t="str">
        <f>IFERROR(__xludf.DUMMYFUNCTION("""COMPUTED_VALUE"""),"R49")</f>
        <v>R49</v>
      </c>
      <c r="B2034" s="7" t="str">
        <f>IFERROR(__xludf.DUMMYFUNCTION("""COMPUTED_VALUE"""),"Site Reliability Architect")</f>
        <v>Site Reliability Architect</v>
      </c>
      <c r="C2034" s="7" t="str">
        <f>IFERROR(__xludf.DUMMYFUNCTION("""COMPUTED_VALUE"""),"S019")</f>
        <v>S019</v>
      </c>
      <c r="D2034" s="7" t="str">
        <f>IFERROR(__xludf.DUMMYFUNCTION("""COMPUTED_VALUE"""),"Linux Command Line &amp; File Permissions")</f>
        <v>Linux Command Line &amp; File Permissions</v>
      </c>
    </row>
    <row r="2035">
      <c r="A2035" s="7" t="str">
        <f>IFERROR(__xludf.DUMMYFUNCTION("""COMPUTED_VALUE"""),"R49")</f>
        <v>R49</v>
      </c>
      <c r="B2035" s="7" t="str">
        <f>IFERROR(__xludf.DUMMYFUNCTION("""COMPUTED_VALUE"""),"Site Reliability Architect")</f>
        <v>Site Reliability Architect</v>
      </c>
      <c r="C2035" s="7" t="str">
        <f>IFERROR(__xludf.DUMMYFUNCTION("""COMPUTED_VALUE"""),"S020")</f>
        <v>S020</v>
      </c>
      <c r="D2035" s="7" t="str">
        <f>IFERROR(__xludf.DUMMYFUNCTION("""COMPUTED_VALUE"""),"Bash &amp; Shell Scripting")</f>
        <v>Bash &amp; Shell Scripting</v>
      </c>
    </row>
    <row r="2036">
      <c r="A2036" s="7" t="str">
        <f>IFERROR(__xludf.DUMMYFUNCTION("""COMPUTED_VALUE"""),"R49")</f>
        <v>R49</v>
      </c>
      <c r="B2036" s="7" t="str">
        <f>IFERROR(__xludf.DUMMYFUNCTION("""COMPUTED_VALUE"""),"Site Reliability Architect")</f>
        <v>Site Reliability Architect</v>
      </c>
      <c r="C2036" s="7" t="str">
        <f>IFERROR(__xludf.DUMMYFUNCTION("""COMPUTED_VALUE"""),"S022")</f>
        <v>S022</v>
      </c>
      <c r="D2036" s="7" t="str">
        <f>IFERROR(__xludf.DUMMYFUNCTION("""COMPUTED_VALUE"""),"Computer Networking &amp; OSI Model")</f>
        <v>Computer Networking &amp; OSI Model</v>
      </c>
    </row>
    <row r="2037">
      <c r="A2037" s="7" t="str">
        <f>IFERROR(__xludf.DUMMYFUNCTION("""COMPUTED_VALUE"""),"R49")</f>
        <v>R49</v>
      </c>
      <c r="B2037" s="7" t="str">
        <f>IFERROR(__xludf.DUMMYFUNCTION("""COMPUTED_VALUE"""),"Site Reliability Architect")</f>
        <v>Site Reliability Architect</v>
      </c>
      <c r="C2037" s="7" t="str">
        <f>IFERROR(__xludf.DUMMYFUNCTION("""COMPUTED_VALUE"""),"S023")</f>
        <v>S023</v>
      </c>
      <c r="D2037" s="7" t="str">
        <f>IFERROR(__xludf.DUMMYFUNCTION("""COMPUTED_VALUE"""),"HTTP/HTTPS Protocols &amp; Status Codes")</f>
        <v>HTTP/HTTPS Protocols &amp; Status Codes</v>
      </c>
    </row>
    <row r="2038">
      <c r="A2038" s="7" t="str">
        <f>IFERROR(__xludf.DUMMYFUNCTION("""COMPUTED_VALUE"""),"R49")</f>
        <v>R49</v>
      </c>
      <c r="B2038" s="7" t="str">
        <f>IFERROR(__xludf.DUMMYFUNCTION("""COMPUTED_VALUE"""),"Site Reliability Architect")</f>
        <v>Site Reliability Architect</v>
      </c>
      <c r="C2038" s="7" t="str">
        <f>IFERROR(__xludf.DUMMYFUNCTION("""COMPUTED_VALUE"""),"S024")</f>
        <v>S024</v>
      </c>
      <c r="D2038" s="7" t="str">
        <f>IFERROR(__xludf.DUMMYFUNCTION("""COMPUTED_VALUE"""),"DNS, Domain Routing &amp; SSL/TLS")</f>
        <v>DNS, Domain Routing &amp; SSL/TLS</v>
      </c>
    </row>
    <row r="2039">
      <c r="A2039" s="7" t="str">
        <f>IFERROR(__xludf.DUMMYFUNCTION("""COMPUTED_VALUE"""),"R49")</f>
        <v>R49</v>
      </c>
      <c r="B2039" s="7" t="str">
        <f>IFERROR(__xludf.DUMMYFUNCTION("""COMPUTED_VALUE"""),"Site Reliability Architect")</f>
        <v>Site Reliability Architect</v>
      </c>
      <c r="C2039" s="7" t="str">
        <f>IFERROR(__xludf.DUMMYFUNCTION("""COMPUTED_VALUE"""),"S026")</f>
        <v>S026</v>
      </c>
      <c r="D2039" s="7" t="str">
        <f>IFERROR(__xludf.DUMMYFUNCTION("""COMPUTED_VALUE"""),"Data Serialization (JSON, XML, YAML, Protobuf)")</f>
        <v>Data Serialization (JSON, XML, YAML, Protobuf)</v>
      </c>
    </row>
    <row r="2040">
      <c r="A2040" s="7" t="str">
        <f>IFERROR(__xludf.DUMMYFUNCTION("""COMPUTED_VALUE"""),"R49")</f>
        <v>R49</v>
      </c>
      <c r="B2040" s="7" t="str">
        <f>IFERROR(__xludf.DUMMYFUNCTION("""COMPUTED_VALUE"""),"Site Reliability Architect")</f>
        <v>Site Reliability Architect</v>
      </c>
      <c r="C2040" s="7" t="str">
        <f>IFERROR(__xludf.DUMMYFUNCTION("""COMPUTED_VALUE"""),"S028")</f>
        <v>S028</v>
      </c>
      <c r="D2040" s="7" t="str">
        <f>IFERROR(__xludf.DUMMYFUNCTION("""COMPUTED_VALUE"""),"Technical Writing &amp; Markdown Documentation")</f>
        <v>Technical Writing &amp; Markdown Documentation</v>
      </c>
    </row>
    <row r="2041">
      <c r="A2041" s="7" t="str">
        <f>IFERROR(__xludf.DUMMYFUNCTION("""COMPUTED_VALUE"""),"R49")</f>
        <v>R49</v>
      </c>
      <c r="B2041" s="7" t="str">
        <f>IFERROR(__xludf.DUMMYFUNCTION("""COMPUTED_VALUE"""),"Site Reliability Architect")</f>
        <v>Site Reliability Architect</v>
      </c>
      <c r="C2041" s="7" t="str">
        <f>IFERROR(__xludf.DUMMYFUNCTION("""COMPUTED_VALUE"""),"S029")</f>
        <v>S029</v>
      </c>
      <c r="D2041" s="7" t="str">
        <f>IFERROR(__xludf.DUMMYFUNCTION("""COMPUTED_VALUE"""),"Debugging, Profiling &amp; Root Cause Analysis")</f>
        <v>Debugging, Profiling &amp; Root Cause Analysis</v>
      </c>
    </row>
    <row r="2042">
      <c r="A2042" s="7" t="str">
        <f>IFERROR(__xludf.DUMMYFUNCTION("""COMPUTED_VALUE"""),"R49")</f>
        <v>R49</v>
      </c>
      <c r="B2042" s="7" t="str">
        <f>IFERROR(__xludf.DUMMYFUNCTION("""COMPUTED_VALUE"""),"Site Reliability Architect")</f>
        <v>Site Reliability Architect</v>
      </c>
      <c r="C2042" s="7" t="str">
        <f>IFERROR(__xludf.DUMMYFUNCTION("""COMPUTED_VALUE"""),"S068")</f>
        <v>S068</v>
      </c>
      <c r="D2042" s="7" t="str">
        <f>IFERROR(__xludf.DUMMYFUNCTION("""COMPUTED_VALUE"""),"Python Programming Fundamentals")</f>
        <v>Python Programming Fundamentals</v>
      </c>
    </row>
    <row r="2043">
      <c r="A2043" s="7" t="str">
        <f>IFERROR(__xludf.DUMMYFUNCTION("""COMPUTED_VALUE"""),"R49")</f>
        <v>R49</v>
      </c>
      <c r="B2043" s="7" t="str">
        <f>IFERROR(__xludf.DUMMYFUNCTION("""COMPUTED_VALUE"""),"Site Reliability Architect")</f>
        <v>Site Reliability Architect</v>
      </c>
      <c r="C2043" s="7" t="str">
        <f>IFERROR(__xludf.DUMMYFUNCTION("""COMPUTED_VALUE"""),"S077")</f>
        <v>S077</v>
      </c>
      <c r="D2043" s="7" t="str">
        <f>IFERROR(__xludf.DUMMYFUNCTION("""COMPUTED_VALUE"""),"Go (Golang) Programming")</f>
        <v>Go (Golang) Programming</v>
      </c>
    </row>
    <row r="2044">
      <c r="A2044" s="7" t="str">
        <f>IFERROR(__xludf.DUMMYFUNCTION("""COMPUTED_VALUE"""),"R49")</f>
        <v>R49</v>
      </c>
      <c r="B2044" s="7" t="str">
        <f>IFERROR(__xludf.DUMMYFUNCTION("""COMPUTED_VALUE"""),"Site Reliability Architect")</f>
        <v>Site Reliability Architect</v>
      </c>
      <c r="C2044" s="7" t="str">
        <f>IFERROR(__xludf.DUMMYFUNCTION("""COMPUTED_VALUE"""),"S078")</f>
        <v>S078</v>
      </c>
      <c r="D2044" s="7" t="str">
        <f>IFERROR(__xludf.DUMMYFUNCTION("""COMPUTED_VALUE"""),"Rust Systems &amp; Web Programming")</f>
        <v>Rust Systems &amp; Web Programming</v>
      </c>
    </row>
    <row r="2045">
      <c r="A2045" s="7" t="str">
        <f>IFERROR(__xludf.DUMMYFUNCTION("""COMPUTED_VALUE"""),"R49")</f>
        <v>R49</v>
      </c>
      <c r="B2045" s="7" t="str">
        <f>IFERROR(__xludf.DUMMYFUNCTION("""COMPUTED_VALUE"""),"Site Reliability Architect")</f>
        <v>Site Reliability Architect</v>
      </c>
      <c r="C2045" s="7" t="str">
        <f>IFERROR(__xludf.DUMMYFUNCTION("""COMPUTED_VALUE"""),"S086")</f>
        <v>S086</v>
      </c>
      <c r="D2045" s="7" t="str">
        <f>IFERROR(__xludf.DUMMYFUNCTION("""COMPUTED_VALUE"""),"RESTful API Design &amp; OpenAPI/Swagger")</f>
        <v>RESTful API Design &amp; OpenAPI/Swagger</v>
      </c>
    </row>
    <row r="2046">
      <c r="A2046" s="7" t="str">
        <f>IFERROR(__xludf.DUMMYFUNCTION("""COMPUTED_VALUE"""),"R49")</f>
        <v>R49</v>
      </c>
      <c r="B2046" s="7" t="str">
        <f>IFERROR(__xludf.DUMMYFUNCTION("""COMPUTED_VALUE"""),"Site Reliability Architect")</f>
        <v>Site Reliability Architect</v>
      </c>
      <c r="C2046" s="7" t="str">
        <f>IFERROR(__xludf.DUMMYFUNCTION("""COMPUTED_VALUE"""),"S088")</f>
        <v>S088</v>
      </c>
      <c r="D2046" s="7" t="str">
        <f>IFERROR(__xludf.DUMMYFUNCTION("""COMPUTED_VALUE"""),"gRPC &amp; Protocol Buffers")</f>
        <v>gRPC &amp; Protocol Buffers</v>
      </c>
    </row>
    <row r="2047">
      <c r="A2047" s="7" t="str">
        <f>IFERROR(__xludf.DUMMYFUNCTION("""COMPUTED_VALUE"""),"R49")</f>
        <v>R49</v>
      </c>
      <c r="B2047" s="7" t="str">
        <f>IFERROR(__xludf.DUMMYFUNCTION("""COMPUTED_VALUE"""),"Site Reliability Architect")</f>
        <v>Site Reliability Architect</v>
      </c>
      <c r="C2047" s="7" t="str">
        <f>IFERROR(__xludf.DUMMYFUNCTION("""COMPUTED_VALUE"""),"S094")</f>
        <v>S094</v>
      </c>
      <c r="D2047" s="7" t="str">
        <f>IFERROR(__xludf.DUMMYFUNCTION("""COMPUTED_VALUE"""),"API Gateways, Rate Limiting &amp; Throttling (Kong, Envoy)")</f>
        <v>API Gateways, Rate Limiting &amp; Throttling (Kong, Envoy)</v>
      </c>
    </row>
    <row r="2048">
      <c r="A2048" s="7" t="str">
        <f>IFERROR(__xludf.DUMMYFUNCTION("""COMPUTED_VALUE"""),"R49")</f>
        <v>R49</v>
      </c>
      <c r="B2048" s="7" t="str">
        <f>IFERROR(__xludf.DUMMYFUNCTION("""COMPUTED_VALUE"""),"Site Reliability Architect")</f>
        <v>Site Reliability Architect</v>
      </c>
      <c r="C2048" s="7" t="str">
        <f>IFERROR(__xludf.DUMMYFUNCTION("""COMPUTED_VALUE"""),"S095")</f>
        <v>S095</v>
      </c>
      <c r="D2048" s="7" t="str">
        <f>IFERROR(__xludf.DUMMYFUNCTION("""COMPUTED_VALUE"""),"Microservices Architecture &amp; Service Mesh")</f>
        <v>Microservices Architecture &amp; Service Mesh</v>
      </c>
    </row>
    <row r="2049">
      <c r="A2049" s="7" t="str">
        <f>IFERROR(__xludf.DUMMYFUNCTION("""COMPUTED_VALUE"""),"R49")</f>
        <v>R49</v>
      </c>
      <c r="B2049" s="7" t="str">
        <f>IFERROR(__xludf.DUMMYFUNCTION("""COMPUTED_VALUE"""),"Site Reliability Architect")</f>
        <v>Site Reliability Architect</v>
      </c>
      <c r="C2049" s="7" t="str">
        <f>IFERROR(__xludf.DUMMYFUNCTION("""COMPUTED_VALUE"""),"S096")</f>
        <v>S096</v>
      </c>
      <c r="D2049" s="7" t="str">
        <f>IFERROR(__xludf.DUMMYFUNCTION("""COMPUTED_VALUE"""),"Event-Driven Architecture &amp; Pub/Sub Patterns")</f>
        <v>Event-Driven Architecture &amp; Pub/Sub Patterns</v>
      </c>
    </row>
    <row r="2050">
      <c r="A2050" s="7" t="str">
        <f>IFERROR(__xludf.DUMMYFUNCTION("""COMPUTED_VALUE"""),"R49")</f>
        <v>R49</v>
      </c>
      <c r="B2050" s="7" t="str">
        <f>IFERROR(__xludf.DUMMYFUNCTION("""COMPUTED_VALUE"""),"Site Reliability Architect")</f>
        <v>Site Reliability Architect</v>
      </c>
      <c r="C2050" s="7" t="str">
        <f>IFERROR(__xludf.DUMMYFUNCTION("""COMPUTED_VALUE"""),"S098")</f>
        <v>S098</v>
      </c>
      <c r="D2050" s="7" t="str">
        <f>IFERROR(__xludf.DUMMYFUNCTION("""COMPUTED_VALUE"""),"Distributed Event Streaming (Apache Kafka)")</f>
        <v>Distributed Event Streaming (Apache Kafka)</v>
      </c>
    </row>
    <row r="2051">
      <c r="A2051" s="7" t="str">
        <f>IFERROR(__xludf.DUMMYFUNCTION("""COMPUTED_VALUE"""),"R49")</f>
        <v>R49</v>
      </c>
      <c r="B2051" s="7" t="str">
        <f>IFERROR(__xludf.DUMMYFUNCTION("""COMPUTED_VALUE"""),"Site Reliability Architect")</f>
        <v>Site Reliability Architect</v>
      </c>
      <c r="C2051" s="7" t="str">
        <f>IFERROR(__xludf.DUMMYFUNCTION("""COMPUTED_VALUE"""),"S099")</f>
        <v>S099</v>
      </c>
      <c r="D2051" s="7" t="str">
        <f>IFERROR(__xludf.DUMMYFUNCTION("""COMPUTED_VALUE"""),"Backend Caching Strategies (In-Memory, CDN, Write-Through)")</f>
        <v>Backend Caching Strategies (In-Memory, CDN, Write-Through)</v>
      </c>
    </row>
    <row r="2052">
      <c r="A2052" s="7" t="str">
        <f>IFERROR(__xludf.DUMMYFUNCTION("""COMPUTED_VALUE"""),"R49")</f>
        <v>R49</v>
      </c>
      <c r="B2052" s="7" t="str">
        <f>IFERROR(__xludf.DUMMYFUNCTION("""COMPUTED_VALUE"""),"Site Reliability Architect")</f>
        <v>Site Reliability Architect</v>
      </c>
      <c r="C2052" s="7" t="str">
        <f>IFERROR(__xludf.DUMMYFUNCTION("""COMPUTED_VALUE"""),"S100")</f>
        <v>S100</v>
      </c>
      <c r="D2052" s="7" t="str">
        <f>IFERROR(__xludf.DUMMYFUNCTION("""COMPUTED_VALUE"""),"Multithreading, Concurrency &amp; Parallel Processing")</f>
        <v>Multithreading, Concurrency &amp; Parallel Processing</v>
      </c>
    </row>
    <row r="2053">
      <c r="A2053" s="7" t="str">
        <f>IFERROR(__xludf.DUMMYFUNCTION("""COMPUTED_VALUE"""),"R49")</f>
        <v>R49</v>
      </c>
      <c r="B2053" s="7" t="str">
        <f>IFERROR(__xludf.DUMMYFUNCTION("""COMPUTED_VALUE"""),"Site Reliability Architect")</f>
        <v>Site Reliability Architect</v>
      </c>
      <c r="C2053" s="7" t="str">
        <f>IFERROR(__xludf.DUMMYFUNCTION("""COMPUTED_VALUE"""),"S104")</f>
        <v>S104</v>
      </c>
      <c r="D2053" s="7" t="str">
        <f>IFERROR(__xludf.DUMMYFUNCTION("""COMPUTED_VALUE"""),"Load &amp; Performance Testing (JMeter, k6, Locust)")</f>
        <v>Load &amp; Performance Testing (JMeter, k6, Locust)</v>
      </c>
    </row>
    <row r="2054">
      <c r="A2054" s="7" t="str">
        <f>IFERROR(__xludf.DUMMYFUNCTION("""COMPUTED_VALUE"""),"R49")</f>
        <v>R49</v>
      </c>
      <c r="B2054" s="7" t="str">
        <f>IFERROR(__xludf.DUMMYFUNCTION("""COMPUTED_VALUE"""),"Site Reliability Architect")</f>
        <v>Site Reliability Architect</v>
      </c>
      <c r="C2054" s="7" t="str">
        <f>IFERROR(__xludf.DUMMYFUNCTION("""COMPUTED_VALUE"""),"S109")</f>
        <v>S109</v>
      </c>
      <c r="D2054" s="7" t="str">
        <f>IFERROR(__xludf.DUMMYFUNCTION("""COMPUTED_VALUE"""),"PostgreSQL Administration &amp; Development")</f>
        <v>PostgreSQL Administration &amp; Development</v>
      </c>
    </row>
    <row r="2055">
      <c r="A2055" s="7" t="str">
        <f>IFERROR(__xludf.DUMMYFUNCTION("""COMPUTED_VALUE"""),"R49")</f>
        <v>R49</v>
      </c>
      <c r="B2055" s="7" t="str">
        <f>IFERROR(__xludf.DUMMYFUNCTION("""COMPUTED_VALUE"""),"Site Reliability Architect")</f>
        <v>Site Reliability Architect</v>
      </c>
      <c r="C2055" s="7" t="str">
        <f>IFERROR(__xludf.DUMMYFUNCTION("""COMPUTED_VALUE"""),"S114")</f>
        <v>S114</v>
      </c>
      <c r="D2055" s="7" t="str">
        <f>IFERROR(__xludf.DUMMYFUNCTION("""COMPUTED_VALUE"""),"Database Indexing, Query Plans &amp; Optimization")</f>
        <v>Database Indexing, Query Plans &amp; Optimization</v>
      </c>
    </row>
    <row r="2056">
      <c r="A2056" s="7" t="str">
        <f>IFERROR(__xludf.DUMMYFUNCTION("""COMPUTED_VALUE"""),"R49")</f>
        <v>R49</v>
      </c>
      <c r="B2056" s="7" t="str">
        <f>IFERROR(__xludf.DUMMYFUNCTION("""COMPUTED_VALUE"""),"Site Reliability Architect")</f>
        <v>Site Reliability Architect</v>
      </c>
      <c r="C2056" s="7" t="str">
        <f>IFERROR(__xludf.DUMMYFUNCTION("""COMPUTED_VALUE"""),"S115")</f>
        <v>S115</v>
      </c>
      <c r="D2056" s="7" t="str">
        <f>IFERROR(__xludf.DUMMYFUNCTION("""COMPUTED_VALUE"""),"ACID Transactions, Locking &amp; Isolation Levels")</f>
        <v>ACID Transactions, Locking &amp; Isolation Levels</v>
      </c>
    </row>
    <row r="2057">
      <c r="A2057" s="7" t="str">
        <f>IFERROR(__xludf.DUMMYFUNCTION("""COMPUTED_VALUE"""),"R49")</f>
        <v>R49</v>
      </c>
      <c r="B2057" s="7" t="str">
        <f>IFERROR(__xludf.DUMMYFUNCTION("""COMPUTED_VALUE"""),"Site Reliability Architect")</f>
        <v>Site Reliability Architect</v>
      </c>
      <c r="C2057" s="7" t="str">
        <f>IFERROR(__xludf.DUMMYFUNCTION("""COMPUTED_VALUE"""),"S116")</f>
        <v>S116</v>
      </c>
      <c r="D2057" s="7" t="str">
        <f>IFERROR(__xludf.DUMMYFUNCTION("""COMPUTED_VALUE"""),"Database Replication, Sharding &amp; Partitioning")</f>
        <v>Database Replication, Sharding &amp; Partitioning</v>
      </c>
    </row>
    <row r="2058">
      <c r="A2058" s="7" t="str">
        <f>IFERROR(__xludf.DUMMYFUNCTION("""COMPUTED_VALUE"""),"R49")</f>
        <v>R49</v>
      </c>
      <c r="B2058" s="7" t="str">
        <f>IFERROR(__xludf.DUMMYFUNCTION("""COMPUTED_VALUE"""),"Site Reliability Architect")</f>
        <v>Site Reliability Architect</v>
      </c>
      <c r="C2058" s="7" t="str">
        <f>IFERROR(__xludf.DUMMYFUNCTION("""COMPUTED_VALUE"""),"S117")</f>
        <v>S117</v>
      </c>
      <c r="D2058" s="7" t="str">
        <f>IFERROR(__xludf.DUMMYFUNCTION("""COMPUTED_VALUE"""),"Database Backup, Point-in-Time Recovery &amp; Migration")</f>
        <v>Database Backup, Point-in-Time Recovery &amp; Migration</v>
      </c>
    </row>
    <row r="2059">
      <c r="A2059" s="7" t="str">
        <f>IFERROR(__xludf.DUMMYFUNCTION("""COMPUTED_VALUE"""),"R49")</f>
        <v>R49</v>
      </c>
      <c r="B2059" s="7" t="str">
        <f>IFERROR(__xludf.DUMMYFUNCTION("""COMPUTED_VALUE"""),"Site Reliability Architect")</f>
        <v>Site Reliability Architect</v>
      </c>
      <c r="C2059" s="7" t="str">
        <f>IFERROR(__xludf.DUMMYFUNCTION("""COMPUTED_VALUE"""),"S120")</f>
        <v>S120</v>
      </c>
      <c r="D2059" s="7" t="str">
        <f>IFERROR(__xludf.DUMMYFUNCTION("""COMPUTED_VALUE"""),"Key-Value Stores &amp; In-Memory DBs (Redis, Memcached)")</f>
        <v>Key-Value Stores &amp; In-Memory DBs (Redis, Memcached)</v>
      </c>
    </row>
    <row r="2060">
      <c r="A2060" s="7" t="str">
        <f>IFERROR(__xludf.DUMMYFUNCTION("""COMPUTED_VALUE"""),"R49")</f>
        <v>R49</v>
      </c>
      <c r="B2060" s="7" t="str">
        <f>IFERROR(__xludf.DUMMYFUNCTION("""COMPUTED_VALUE"""),"Site Reliability Architect")</f>
        <v>Site Reliability Architect</v>
      </c>
      <c r="C2060" s="7" t="str">
        <f>IFERROR(__xludf.DUMMYFUNCTION("""COMPUTED_VALUE"""),"S121")</f>
        <v>S121</v>
      </c>
      <c r="D2060" s="7" t="str">
        <f>IFERROR(__xludf.DUMMYFUNCTION("""COMPUTED_VALUE"""),"Wide-Column Stores (Apache Cassandra, ScyllaDB)")</f>
        <v>Wide-Column Stores (Apache Cassandra, ScyllaDB)</v>
      </c>
    </row>
    <row r="2061">
      <c r="A2061" s="7" t="str">
        <f>IFERROR(__xludf.DUMMYFUNCTION("""COMPUTED_VALUE"""),"R49")</f>
        <v>R49</v>
      </c>
      <c r="B2061" s="7" t="str">
        <f>IFERROR(__xludf.DUMMYFUNCTION("""COMPUTED_VALUE"""),"Site Reliability Architect")</f>
        <v>Site Reliability Architect</v>
      </c>
      <c r="C2061" s="7" t="str">
        <f>IFERROR(__xludf.DUMMYFUNCTION("""COMPUTED_VALUE"""),"S171")</f>
        <v>S171</v>
      </c>
      <c r="D2061" s="7" t="str">
        <f>IFERROR(__xludf.DUMMYFUNCTION("""COMPUTED_VALUE"""),"Containerization with Docker")</f>
        <v>Containerization with Docker</v>
      </c>
    </row>
    <row r="2062">
      <c r="A2062" s="7" t="str">
        <f>IFERROR(__xludf.DUMMYFUNCTION("""COMPUTED_VALUE"""),"R49")</f>
        <v>R49</v>
      </c>
      <c r="B2062" s="7" t="str">
        <f>IFERROR(__xludf.DUMMYFUNCTION("""COMPUTED_VALUE"""),"Site Reliability Architect")</f>
        <v>Site Reliability Architect</v>
      </c>
      <c r="C2062" s="7" t="str">
        <f>IFERROR(__xludf.DUMMYFUNCTION("""COMPUTED_VALUE"""),"S172")</f>
        <v>S172</v>
      </c>
      <c r="D2062" s="7" t="str">
        <f>IFERROR(__xludf.DUMMYFUNCTION("""COMPUTED_VALUE"""),"Kubernetes Cluster Orchestration (K8s)")</f>
        <v>Kubernetes Cluster Orchestration (K8s)</v>
      </c>
    </row>
    <row r="2063">
      <c r="A2063" s="7" t="str">
        <f>IFERROR(__xludf.DUMMYFUNCTION("""COMPUTED_VALUE"""),"R49")</f>
        <v>R49</v>
      </c>
      <c r="B2063" s="7" t="str">
        <f>IFERROR(__xludf.DUMMYFUNCTION("""COMPUTED_VALUE"""),"Site Reliability Architect")</f>
        <v>Site Reliability Architect</v>
      </c>
      <c r="C2063" s="7" t="str">
        <f>IFERROR(__xludf.DUMMYFUNCTION("""COMPUTED_VALUE"""),"S173")</f>
        <v>S173</v>
      </c>
      <c r="D2063" s="7" t="str">
        <f>IFERROR(__xludf.DUMMYFUNCTION("""COMPUTED_VALUE"""),"Kubernetes Package Management (Helm &amp; Kustomize)")</f>
        <v>Kubernetes Package Management (Helm &amp; Kustomize)</v>
      </c>
    </row>
    <row r="2064">
      <c r="A2064" s="7" t="str">
        <f>IFERROR(__xludf.DUMMYFUNCTION("""COMPUTED_VALUE"""),"R49")</f>
        <v>R49</v>
      </c>
      <c r="B2064" s="7" t="str">
        <f>IFERROR(__xludf.DUMMYFUNCTION("""COMPUTED_VALUE"""),"Site Reliability Architect")</f>
        <v>Site Reliability Architect</v>
      </c>
      <c r="C2064" s="7" t="str">
        <f>IFERROR(__xludf.DUMMYFUNCTION("""COMPUTED_VALUE"""),"S174")</f>
        <v>S174</v>
      </c>
      <c r="D2064" s="7" t="str">
        <f>IFERROR(__xludf.DUMMYFUNCTION("""COMPUTED_VALUE"""),"Amazon Web Services Core (EC2, S3, RDS, IAM, VPC)")</f>
        <v>Amazon Web Services Core (EC2, S3, RDS, IAM, VPC)</v>
      </c>
    </row>
    <row r="2065">
      <c r="A2065" s="7" t="str">
        <f>IFERROR(__xludf.DUMMYFUNCTION("""COMPUTED_VALUE"""),"R49")</f>
        <v>R49</v>
      </c>
      <c r="B2065" s="7" t="str">
        <f>IFERROR(__xludf.DUMMYFUNCTION("""COMPUTED_VALUE"""),"Site Reliability Architect")</f>
        <v>Site Reliability Architect</v>
      </c>
      <c r="C2065" s="7" t="str">
        <f>IFERROR(__xludf.DUMMYFUNCTION("""COMPUTED_VALUE"""),"S175")</f>
        <v>S175</v>
      </c>
      <c r="D2065" s="7" t="str">
        <f>IFERROR(__xludf.DUMMYFUNCTION("""COMPUTED_VALUE"""),"Microsoft Azure Cloud Services")</f>
        <v>Microsoft Azure Cloud Services</v>
      </c>
    </row>
    <row r="2066">
      <c r="A2066" s="7" t="str">
        <f>IFERROR(__xludf.DUMMYFUNCTION("""COMPUTED_VALUE"""),"R49")</f>
        <v>R49</v>
      </c>
      <c r="B2066" s="7" t="str">
        <f>IFERROR(__xludf.DUMMYFUNCTION("""COMPUTED_VALUE"""),"Site Reliability Architect")</f>
        <v>Site Reliability Architect</v>
      </c>
      <c r="C2066" s="7" t="str">
        <f>IFERROR(__xludf.DUMMYFUNCTION("""COMPUTED_VALUE"""),"S176")</f>
        <v>S176</v>
      </c>
      <c r="D2066" s="7" t="str">
        <f>IFERROR(__xludf.DUMMYFUNCTION("""COMPUTED_VALUE"""),"Google Cloud Platform (GCP) Services")</f>
        <v>Google Cloud Platform (GCP) Services</v>
      </c>
    </row>
    <row r="2067">
      <c r="A2067" s="7" t="str">
        <f>IFERROR(__xludf.DUMMYFUNCTION("""COMPUTED_VALUE"""),"R49")</f>
        <v>R49</v>
      </c>
      <c r="B2067" s="7" t="str">
        <f>IFERROR(__xludf.DUMMYFUNCTION("""COMPUTED_VALUE"""),"Site Reliability Architect")</f>
        <v>Site Reliability Architect</v>
      </c>
      <c r="C2067" s="7" t="str">
        <f>IFERROR(__xludf.DUMMYFUNCTION("""COMPUTED_VALUE"""),"S178")</f>
        <v>S178</v>
      </c>
      <c r="D2067" s="7" t="str">
        <f>IFERROR(__xludf.DUMMYFUNCTION("""COMPUTED_VALUE"""),"Infrastructure as Code (Terraform &amp; OpenTofu)")</f>
        <v>Infrastructure as Code (Terraform &amp; OpenTofu)</v>
      </c>
    </row>
    <row r="2068">
      <c r="A2068" s="7" t="str">
        <f>IFERROR(__xludf.DUMMYFUNCTION("""COMPUTED_VALUE"""),"R49")</f>
        <v>R49</v>
      </c>
      <c r="B2068" s="7" t="str">
        <f>IFERROR(__xludf.DUMMYFUNCTION("""COMPUTED_VALUE"""),"Site Reliability Architect")</f>
        <v>Site Reliability Architect</v>
      </c>
      <c r="C2068" s="7" t="str">
        <f>IFERROR(__xludf.DUMMYFUNCTION("""COMPUTED_VALUE"""),"S179")</f>
        <v>S179</v>
      </c>
      <c r="D2068" s="7" t="str">
        <f>IFERROR(__xludf.DUMMYFUNCTION("""COMPUTED_VALUE"""),"Configuration Management (Ansible, Chef, Puppet)")</f>
        <v>Configuration Management (Ansible, Chef, Puppet)</v>
      </c>
    </row>
    <row r="2069">
      <c r="A2069" s="7" t="str">
        <f>IFERROR(__xludf.DUMMYFUNCTION("""COMPUTED_VALUE"""),"R49")</f>
        <v>R49</v>
      </c>
      <c r="B2069" s="7" t="str">
        <f>IFERROR(__xludf.DUMMYFUNCTION("""COMPUTED_VALUE"""),"Site Reliability Architect")</f>
        <v>Site Reliability Architect</v>
      </c>
      <c r="C2069" s="7" t="str">
        <f>IFERROR(__xludf.DUMMYFUNCTION("""COMPUTED_VALUE"""),"S180")</f>
        <v>S180</v>
      </c>
      <c r="D2069" s="7" t="str">
        <f>IFERROR(__xludf.DUMMYFUNCTION("""COMPUTED_VALUE"""),"CI/CD Pipelines with GitHub Actions")</f>
        <v>CI/CD Pipelines with GitHub Actions</v>
      </c>
    </row>
    <row r="2070">
      <c r="A2070" s="7" t="str">
        <f>IFERROR(__xludf.DUMMYFUNCTION("""COMPUTED_VALUE"""),"R49")</f>
        <v>R49</v>
      </c>
      <c r="B2070" s="7" t="str">
        <f>IFERROR(__xludf.DUMMYFUNCTION("""COMPUTED_VALUE"""),"Site Reliability Architect")</f>
        <v>Site Reliability Architect</v>
      </c>
      <c r="C2070" s="7" t="str">
        <f>IFERROR(__xludf.DUMMYFUNCTION("""COMPUTED_VALUE"""),"S182")</f>
        <v>S182</v>
      </c>
      <c r="D2070" s="7" t="str">
        <f>IFERROR(__xludf.DUMMYFUNCTION("""COMPUTED_VALUE"""),"GitOps &amp; Continuous Delivery (ArgoCD, Flux)")</f>
        <v>GitOps &amp; Continuous Delivery (ArgoCD, Flux)</v>
      </c>
    </row>
    <row r="2071">
      <c r="A2071" s="7" t="str">
        <f>IFERROR(__xludf.DUMMYFUNCTION("""COMPUTED_VALUE"""),"R49")</f>
        <v>R49</v>
      </c>
      <c r="B2071" s="7" t="str">
        <f>IFERROR(__xludf.DUMMYFUNCTION("""COMPUTED_VALUE"""),"Site Reliability Architect")</f>
        <v>Site Reliability Architect</v>
      </c>
      <c r="C2071" s="7" t="str">
        <f>IFERROR(__xludf.DUMMYFUNCTION("""COMPUTED_VALUE"""),"S183")</f>
        <v>S183</v>
      </c>
      <c r="D2071" s="7" t="str">
        <f>IFERROR(__xludf.DUMMYFUNCTION("""COMPUTED_VALUE"""),"Web Servers, Reverse Proxy &amp; Load Balancing (Nginx, HAProxy)")</f>
        <v>Web Servers, Reverse Proxy &amp; Load Balancing (Nginx, HAProxy)</v>
      </c>
    </row>
    <row r="2072">
      <c r="A2072" s="7" t="str">
        <f>IFERROR(__xludf.DUMMYFUNCTION("""COMPUTED_VALUE"""),"R49")</f>
        <v>R49</v>
      </c>
      <c r="B2072" s="7" t="str">
        <f>IFERROR(__xludf.DUMMYFUNCTION("""COMPUTED_VALUE"""),"Site Reliability Architect")</f>
        <v>Site Reliability Architect</v>
      </c>
      <c r="C2072" s="7" t="str">
        <f>IFERROR(__xludf.DUMMYFUNCTION("""COMPUTED_VALUE"""),"S184")</f>
        <v>S184</v>
      </c>
      <c r="D2072" s="7" t="str">
        <f>IFERROR(__xludf.DUMMYFUNCTION("""COMPUTED_VALUE"""),"Infrastructure &amp; Metrics Monitoring (Prometheus &amp; Grafana)")</f>
        <v>Infrastructure &amp; Metrics Monitoring (Prometheus &amp; Grafana)</v>
      </c>
    </row>
    <row r="2073">
      <c r="A2073" s="7" t="str">
        <f>IFERROR(__xludf.DUMMYFUNCTION("""COMPUTED_VALUE"""),"R49")</f>
        <v>R49</v>
      </c>
      <c r="B2073" s="7" t="str">
        <f>IFERROR(__xludf.DUMMYFUNCTION("""COMPUTED_VALUE"""),"Site Reliability Architect")</f>
        <v>Site Reliability Architect</v>
      </c>
      <c r="C2073" s="7" t="str">
        <f>IFERROR(__xludf.DUMMYFUNCTION("""COMPUTED_VALUE"""),"S185")</f>
        <v>S185</v>
      </c>
      <c r="D2073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074">
      <c r="A2074" s="7" t="str">
        <f>IFERROR(__xludf.DUMMYFUNCTION("""COMPUTED_VALUE"""),"R49")</f>
        <v>R49</v>
      </c>
      <c r="B2074" s="7" t="str">
        <f>IFERROR(__xludf.DUMMYFUNCTION("""COMPUTED_VALUE"""),"Site Reliability Architect")</f>
        <v>Site Reliability Architect</v>
      </c>
      <c r="C2074" s="7" t="str">
        <f>IFERROR(__xludf.DUMMYFUNCTION("""COMPUTED_VALUE"""),"S186")</f>
        <v>S186</v>
      </c>
      <c r="D2074" s="7" t="str">
        <f>IFERROR(__xludf.DUMMYFUNCTION("""COMPUTED_VALUE"""),"Site Reliability Engineering (SLIs, SLOs, SLAs &amp; Error Budgets)")</f>
        <v>Site Reliability Engineering (SLIs, SLOs, SLAs &amp; Error Budgets)</v>
      </c>
    </row>
    <row r="2075">
      <c r="A2075" s="7" t="str">
        <f>IFERROR(__xludf.DUMMYFUNCTION("""COMPUTED_VALUE"""),"R49")</f>
        <v>R49</v>
      </c>
      <c r="B2075" s="7" t="str">
        <f>IFERROR(__xludf.DUMMYFUNCTION("""COMPUTED_VALUE"""),"Site Reliability Architect")</f>
        <v>Site Reliability Architect</v>
      </c>
      <c r="C2075" s="7" t="str">
        <f>IFERROR(__xludf.DUMMYFUNCTION("""COMPUTED_VALUE"""),"S187")</f>
        <v>S187</v>
      </c>
      <c r="D2075" s="7" t="str">
        <f>IFERROR(__xludf.DUMMYFUNCTION("""COMPUTED_VALUE"""),"Chaos Engineering &amp; Fault Injection")</f>
        <v>Chaos Engineering &amp; Fault Injection</v>
      </c>
    </row>
    <row r="2076">
      <c r="A2076" s="7" t="str">
        <f>IFERROR(__xludf.DUMMYFUNCTION("""COMPUTED_VALUE"""),"R49")</f>
        <v>R49</v>
      </c>
      <c r="B2076" s="7" t="str">
        <f>IFERROR(__xludf.DUMMYFUNCTION("""COMPUTED_VALUE"""),"Site Reliability Architect")</f>
        <v>Site Reliability Architect</v>
      </c>
      <c r="C2076" s="7" t="str">
        <f>IFERROR(__xludf.DUMMYFUNCTION("""COMPUTED_VALUE"""),"S188")</f>
        <v>S188</v>
      </c>
      <c r="D2076" s="7" t="str">
        <f>IFERROR(__xludf.DUMMYFUNCTION("""COMPUTED_VALUE"""),"High Availability, Failover &amp; Disaster Recovery")</f>
        <v>High Availability, Failover &amp; Disaster Recovery</v>
      </c>
    </row>
    <row r="2077">
      <c r="A2077" s="7" t="str">
        <f>IFERROR(__xludf.DUMMYFUNCTION("""COMPUTED_VALUE"""),"R49")</f>
        <v>R49</v>
      </c>
      <c r="B2077" s="7" t="str">
        <f>IFERROR(__xludf.DUMMYFUNCTION("""COMPUTED_VALUE"""),"Site Reliability Architect")</f>
        <v>Site Reliability Architect</v>
      </c>
      <c r="C2077" s="7" t="str">
        <f>IFERROR(__xludf.DUMMYFUNCTION("""COMPUTED_VALUE"""),"S189")</f>
        <v>S189</v>
      </c>
      <c r="D2077" s="7" t="str">
        <f>IFERROR(__xludf.DUMMYFUNCTION("""COMPUTED_VALUE"""),"Cloud FinOps &amp; Cost Optimization")</f>
        <v>Cloud FinOps &amp; Cost Optimization</v>
      </c>
    </row>
    <row r="2078">
      <c r="A2078" s="7" t="str">
        <f>IFERROR(__xludf.DUMMYFUNCTION("""COMPUTED_VALUE"""),"R49")</f>
        <v>R49</v>
      </c>
      <c r="B2078" s="7" t="str">
        <f>IFERROR(__xludf.DUMMYFUNCTION("""COMPUTED_VALUE"""),"Site Reliability Architect")</f>
        <v>Site Reliability Architect</v>
      </c>
      <c r="C2078" s="7" t="str">
        <f>IFERROR(__xludf.DUMMYFUNCTION("""COMPUTED_VALUE"""),"S190")</f>
        <v>S190</v>
      </c>
      <c r="D2078" s="7" t="str">
        <f>IFERROR(__xludf.DUMMYFUNCTION("""COMPUTED_VALUE"""),"Internal Developer Platforms (IDP &amp; Backstage)")</f>
        <v>Internal Developer Platforms (IDP &amp; Backstage)</v>
      </c>
    </row>
    <row r="2079">
      <c r="A2079" s="7" t="str">
        <f>IFERROR(__xludf.DUMMYFUNCTION("""COMPUTED_VALUE"""),"R49")</f>
        <v>R49</v>
      </c>
      <c r="B2079" s="7" t="str">
        <f>IFERROR(__xludf.DUMMYFUNCTION("""COMPUTED_VALUE"""),"Site Reliability Architect")</f>
        <v>Site Reliability Architect</v>
      </c>
      <c r="C2079" s="7" t="str">
        <f>IFERROR(__xludf.DUMMYFUNCTION("""COMPUTED_VALUE"""),"S191")</f>
        <v>S191</v>
      </c>
      <c r="D2079" s="7" t="str">
        <f>IFERROR(__xludf.DUMMYFUNCTION("""COMPUTED_VALUE"""),"Enterprise Linux System Administration (RHEL, Ubuntu, systemd)")</f>
        <v>Enterprise Linux System Administration (RHEL, Ubuntu, systemd)</v>
      </c>
    </row>
    <row r="2080">
      <c r="A2080" s="7" t="str">
        <f>IFERROR(__xludf.DUMMYFUNCTION("""COMPUTED_VALUE"""),"R49")</f>
        <v>R49</v>
      </c>
      <c r="B2080" s="7" t="str">
        <f>IFERROR(__xludf.DUMMYFUNCTION("""COMPUTED_VALUE"""),"Site Reliability Architect")</f>
        <v>Site Reliability Architect</v>
      </c>
      <c r="C2080" s="7" t="str">
        <f>IFERROR(__xludf.DUMMYFUNCTION("""COMPUTED_VALUE"""),"S194")</f>
        <v>S194</v>
      </c>
      <c r="D2080" s="7" t="str">
        <f>IFERROR(__xludf.DUMMYFUNCTION("""COMPUTED_VALUE"""),"TCP/IP Networking, Subnetting, VLANs &amp; VPNs")</f>
        <v>TCP/IP Networking, Subnetting, VLANs &amp; VPNs</v>
      </c>
    </row>
    <row r="2081">
      <c r="A2081" s="7" t="str">
        <f>IFERROR(__xludf.DUMMYFUNCTION("""COMPUTED_VALUE"""),"R49")</f>
        <v>R49</v>
      </c>
      <c r="B2081" s="7" t="str">
        <f>IFERROR(__xludf.DUMMYFUNCTION("""COMPUTED_VALUE"""),"Site Reliability Architect")</f>
        <v>Site Reliability Architect</v>
      </c>
      <c r="C2081" s="7" t="str">
        <f>IFERROR(__xludf.DUMMYFUNCTION("""COMPUTED_VALUE"""),"S195")</f>
        <v>S195</v>
      </c>
      <c r="D2081" s="7" t="str">
        <f>IFERROR(__xludf.DUMMYFUNCTION("""COMPUTED_VALUE"""),"Enterprise Routing &amp; Switching (BGP, OSPF, Cisco IOS)")</f>
        <v>Enterprise Routing &amp; Switching (BGP, OSPF, Cisco IOS)</v>
      </c>
    </row>
    <row r="2082">
      <c r="A2082" s="7" t="str">
        <f>IFERROR(__xludf.DUMMYFUNCTION("""COMPUTED_VALUE"""),"R49")</f>
        <v>R49</v>
      </c>
      <c r="B2082" s="7" t="str">
        <f>IFERROR(__xludf.DUMMYFUNCTION("""COMPUTED_VALUE"""),"Site Reliability Architect")</f>
        <v>Site Reliability Architect</v>
      </c>
      <c r="C2082" s="7" t="str">
        <f>IFERROR(__xludf.DUMMYFUNCTION("""COMPUTED_VALUE"""),"S211")</f>
        <v>S211</v>
      </c>
      <c r="D2082" s="7" t="str">
        <f>IFERROR(__xludf.DUMMYFUNCTION("""COMPUTED_VALUE"""),"Zero Trust Network Architecture")</f>
        <v>Zero Trust Network Architecture</v>
      </c>
    </row>
    <row r="2083">
      <c r="A2083" s="7" t="str">
        <f>IFERROR(__xludf.DUMMYFUNCTION("""COMPUTED_VALUE"""),"R49")</f>
        <v>R49</v>
      </c>
      <c r="B2083" s="7" t="str">
        <f>IFERROR(__xludf.DUMMYFUNCTION("""COMPUTED_VALUE"""),"Site Reliability Architect")</f>
        <v>Site Reliability Architect</v>
      </c>
      <c r="C2083" s="7" t="str">
        <f>IFERROR(__xludf.DUMMYFUNCTION("""COMPUTED_VALUE"""),"S212")</f>
        <v>S212</v>
      </c>
      <c r="D2083" s="7" t="str">
        <f>IFERROR(__xludf.DUMMYFUNCTION("""COMPUTED_VALUE"""),"Cloud Security Posture Management (AWS/Azure Security, CSPM)")</f>
        <v>Cloud Security Posture Management (AWS/Azure Security, CSPM)</v>
      </c>
    </row>
    <row r="2084">
      <c r="A2084" s="7" t="str">
        <f>IFERROR(__xludf.DUMMYFUNCTION("""COMPUTED_VALUE"""),"R49")</f>
        <v>R49</v>
      </c>
      <c r="B2084" s="7" t="str">
        <f>IFERROR(__xludf.DUMMYFUNCTION("""COMPUTED_VALUE"""),"Site Reliability Architect")</f>
        <v>Site Reliability Architect</v>
      </c>
      <c r="C2084" s="7" t="str">
        <f>IFERROR(__xludf.DUMMYFUNCTION("""COMPUTED_VALUE"""),"S213")</f>
        <v>S213</v>
      </c>
      <c r="D2084" s="7" t="str">
        <f>IFERROR(__xludf.DUMMYFUNCTION("""COMPUTED_VALUE"""),"Container &amp; Kubernetes Security (Trivy, Falco, RBAC)")</f>
        <v>Container &amp; Kubernetes Security (Trivy, Falco, RBAC)</v>
      </c>
    </row>
    <row r="2085">
      <c r="A2085" s="7" t="str">
        <f>IFERROR(__xludf.DUMMYFUNCTION("""COMPUTED_VALUE"""),"R49")</f>
        <v>R49</v>
      </c>
      <c r="B2085" s="7" t="str">
        <f>IFERROR(__xludf.DUMMYFUNCTION("""COMPUTED_VALUE"""),"Site Reliability Architect")</f>
        <v>Site Reliability Architect</v>
      </c>
      <c r="C2085" s="7" t="str">
        <f>IFERROR(__xludf.DUMMYFUNCTION("""COMPUTED_VALUE"""),"S243")</f>
        <v>S243</v>
      </c>
      <c r="D2085" s="7" t="str">
        <f>IFERROR(__xludf.DUMMYFUNCTION("""COMPUTED_VALUE"""),"Large-Scale System Design &amp; High-Scalability Architecture")</f>
        <v>Large-Scale System Design &amp; High-Scalability Architecture</v>
      </c>
    </row>
    <row r="2086">
      <c r="A2086" s="7" t="str">
        <f>IFERROR(__xludf.DUMMYFUNCTION("""COMPUTED_VALUE"""),"R49")</f>
        <v>R49</v>
      </c>
      <c r="B2086" s="7" t="str">
        <f>IFERROR(__xludf.DUMMYFUNCTION("""COMPUTED_VALUE"""),"Site Reliability Architect")</f>
        <v>Site Reliability Architect</v>
      </c>
      <c r="C2086" s="7" t="str">
        <f>IFERROR(__xludf.DUMMYFUNCTION("""COMPUTED_VALUE"""),"S244")</f>
        <v>S244</v>
      </c>
      <c r="D2086" s="7" t="str">
        <f>IFERROR(__xludf.DUMMYFUNCTION("""COMPUTED_VALUE"""),"Distributed Systems Theory (CAP Theorem, Consensus, Raft/Paxos)")</f>
        <v>Distributed Systems Theory (CAP Theorem, Consensus, Raft/Paxos)</v>
      </c>
    </row>
    <row r="2087">
      <c r="A2087" s="7" t="str">
        <f>IFERROR(__xludf.DUMMYFUNCTION("""COMPUTED_VALUE"""),"R49")</f>
        <v>R49</v>
      </c>
      <c r="B2087" s="7" t="str">
        <f>IFERROR(__xludf.DUMMYFUNCTION("""COMPUTED_VALUE"""),"Site Reliability Architect")</f>
        <v>Site Reliability Architect</v>
      </c>
      <c r="C2087" s="7" t="str">
        <f>IFERROR(__xludf.DUMMYFUNCTION("""COMPUTED_VALUE"""),"S245")</f>
        <v>S245</v>
      </c>
      <c r="D2087" s="7" t="str">
        <f>IFERROR(__xludf.DUMMYFUNCTION("""COMPUTED_VALUE"""),"Enterprise Architecture Frameworks (TOGAF, Domain-Driven Design)")</f>
        <v>Enterprise Architecture Frameworks (TOGAF, Domain-Driven Design)</v>
      </c>
    </row>
    <row r="2088">
      <c r="A2088" s="7" t="str">
        <f>IFERROR(__xludf.DUMMYFUNCTION("""COMPUTED_VALUE"""),"R49")</f>
        <v>R49</v>
      </c>
      <c r="B2088" s="7" t="str">
        <f>IFERROR(__xludf.DUMMYFUNCTION("""COMPUTED_VALUE"""),"Site Reliability Architect")</f>
        <v>Site Reliability Architect</v>
      </c>
      <c r="C2088" s="7" t="str">
        <f>IFERROR(__xludf.DUMMYFUNCTION("""COMPUTED_VALUE"""),"S246")</f>
        <v>S246</v>
      </c>
      <c r="D2088" s="7" t="str">
        <f>IFERROR(__xludf.DUMMYFUNCTION("""COMPUTED_VALUE"""),"Agile Methodologies, Scrum Framework &amp; Kanban")</f>
        <v>Agile Methodologies, Scrum Framework &amp; Kanban</v>
      </c>
    </row>
    <row r="2089">
      <c r="A2089" s="7" t="str">
        <f>IFERROR(__xludf.DUMMYFUNCTION("""COMPUTED_VALUE"""),"R49")</f>
        <v>R49</v>
      </c>
      <c r="B2089" s="7" t="str">
        <f>IFERROR(__xludf.DUMMYFUNCTION("""COMPUTED_VALUE"""),"Site Reliability Architect")</f>
        <v>Site Reliability Architect</v>
      </c>
      <c r="C2089" s="7" t="str">
        <f>IFERROR(__xludf.DUMMYFUNCTION("""COMPUTED_VALUE"""),"S247")</f>
        <v>S247</v>
      </c>
      <c r="D2089" s="7" t="str">
        <f>IFERROR(__xludf.DUMMYFUNCTION("""COMPUTED_VALUE"""),"Project Tracking &amp; Documentation Tools (Jira, Confluence, Linear)")</f>
        <v>Project Tracking &amp; Documentation Tools (Jira, Confluence, Linear)</v>
      </c>
    </row>
    <row r="2090">
      <c r="A2090" s="7" t="str">
        <f>IFERROR(__xludf.DUMMYFUNCTION("""COMPUTED_VALUE"""),"R49")</f>
        <v>R49</v>
      </c>
      <c r="B2090" s="7" t="str">
        <f>IFERROR(__xludf.DUMMYFUNCTION("""COMPUTED_VALUE"""),"Site Reliability Architect")</f>
        <v>Site Reliability Architect</v>
      </c>
      <c r="C2090" s="7" t="str">
        <f>IFERROR(__xludf.DUMMYFUNCTION("""COMPUTED_VALUE"""),"S250")</f>
        <v>S250</v>
      </c>
      <c r="D2090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2091">
      <c r="A2091" s="7" t="str">
        <f>IFERROR(__xludf.DUMMYFUNCTION("""COMPUTED_VALUE"""),"R50")</f>
        <v>R50</v>
      </c>
      <c r="B2091" s="7" t="str">
        <f>IFERROR(__xludf.DUMMYFUNCTION("""COMPUTED_VALUE"""),"QA Automation Lead")</f>
        <v>QA Automation Lead</v>
      </c>
      <c r="C2091" s="7" t="str">
        <f>IFERROR(__xludf.DUMMYFUNCTION("""COMPUTED_VALUE"""),"S006")</f>
        <v>S006</v>
      </c>
      <c r="D2091" s="7" t="str">
        <f>IFERROR(__xludf.DUMMYFUNCTION("""COMPUTED_VALUE"""),"Basic Data Structures (Arrays, Lists, Stacks, Queues)")</f>
        <v>Basic Data Structures (Arrays, Lists, Stacks, Queues)</v>
      </c>
    </row>
    <row r="2092">
      <c r="A2092" s="7" t="str">
        <f>IFERROR(__xludf.DUMMYFUNCTION("""COMPUTED_VALUE"""),"R50")</f>
        <v>R50</v>
      </c>
      <c r="B2092" s="7" t="str">
        <f>IFERROR(__xludf.DUMMYFUNCTION("""COMPUTED_VALUE"""),"QA Automation Lead")</f>
        <v>QA Automation Lead</v>
      </c>
      <c r="C2092" s="7" t="str">
        <f>IFERROR(__xludf.DUMMYFUNCTION("""COMPUTED_VALUE"""),"S010")</f>
        <v>S010</v>
      </c>
      <c r="D2092" s="7" t="str">
        <f>IFERROR(__xludf.DUMMYFUNCTION("""COMPUTED_VALUE"""),"Sorting &amp; Searching Algorithms")</f>
        <v>Sorting &amp; Searching Algorithms</v>
      </c>
    </row>
    <row r="2093">
      <c r="A2093" s="7" t="str">
        <f>IFERROR(__xludf.DUMMYFUNCTION("""COMPUTED_VALUE"""),"R50")</f>
        <v>R50</v>
      </c>
      <c r="B2093" s="7" t="str">
        <f>IFERROR(__xludf.DUMMYFUNCTION("""COMPUTED_VALUE"""),"QA Automation Lead")</f>
        <v>QA Automation Lead</v>
      </c>
      <c r="C2093" s="7" t="str">
        <f>IFERROR(__xludf.DUMMYFUNCTION("""COMPUTED_VALUE"""),"S012")</f>
        <v>S012</v>
      </c>
      <c r="D2093" s="7" t="str">
        <f>IFERROR(__xludf.DUMMYFUNCTION("""COMPUTED_VALUE"""),"Time &amp; Space Complexity (Big-O Analysis)")</f>
        <v>Time &amp; Space Complexity (Big-O Analysis)</v>
      </c>
    </row>
    <row r="2094">
      <c r="A2094" s="7" t="str">
        <f>IFERROR(__xludf.DUMMYFUNCTION("""COMPUTED_VALUE"""),"R50")</f>
        <v>R50</v>
      </c>
      <c r="B2094" s="7" t="str">
        <f>IFERROR(__xludf.DUMMYFUNCTION("""COMPUTED_VALUE"""),"QA Automation Lead")</f>
        <v>QA Automation Lead</v>
      </c>
      <c r="C2094" s="7" t="str">
        <f>IFERROR(__xludf.DUMMYFUNCTION("""COMPUTED_VALUE"""),"S013")</f>
        <v>S013</v>
      </c>
      <c r="D2094" s="7" t="str">
        <f>IFERROR(__xludf.DUMMYFUNCTION("""COMPUTED_VALUE"""),"Object-Oriented Programming (OOP)")</f>
        <v>Object-Oriented Programming (OOP)</v>
      </c>
    </row>
    <row r="2095">
      <c r="A2095" s="7" t="str">
        <f>IFERROR(__xludf.DUMMYFUNCTION("""COMPUTED_VALUE"""),"R50")</f>
        <v>R50</v>
      </c>
      <c r="B2095" s="7" t="str">
        <f>IFERROR(__xludf.DUMMYFUNCTION("""COMPUTED_VALUE"""),"QA Automation Lead")</f>
        <v>QA Automation Lead</v>
      </c>
      <c r="C2095" s="7" t="str">
        <f>IFERROR(__xludf.DUMMYFUNCTION("""COMPUTED_VALUE"""),"S015")</f>
        <v>S015</v>
      </c>
      <c r="D2095" s="7" t="str">
        <f>IFERROR(__xludf.DUMMYFUNCTION("""COMPUTED_VALUE"""),"Software Design Patterns (GoF)")</f>
        <v>Software Design Patterns (GoF)</v>
      </c>
    </row>
    <row r="2096">
      <c r="A2096" s="7" t="str">
        <f>IFERROR(__xludf.DUMMYFUNCTION("""COMPUTED_VALUE"""),"R50")</f>
        <v>R50</v>
      </c>
      <c r="B2096" s="7" t="str">
        <f>IFERROR(__xludf.DUMMYFUNCTION("""COMPUTED_VALUE"""),"QA Automation Lead")</f>
        <v>QA Automation Lead</v>
      </c>
      <c r="C2096" s="7" t="str">
        <f>IFERROR(__xludf.DUMMYFUNCTION("""COMPUTED_VALUE"""),"S016")</f>
        <v>S016</v>
      </c>
      <c r="D2096" s="7" t="str">
        <f>IFERROR(__xludf.DUMMYFUNCTION("""COMPUTED_VALUE"""),"SOLID Principles &amp; Clean Code")</f>
        <v>SOLID Principles &amp; Clean Code</v>
      </c>
    </row>
    <row r="2097">
      <c r="A2097" s="7" t="str">
        <f>IFERROR(__xludf.DUMMYFUNCTION("""COMPUTED_VALUE"""),"R50")</f>
        <v>R50</v>
      </c>
      <c r="B2097" s="7" t="str">
        <f>IFERROR(__xludf.DUMMYFUNCTION("""COMPUTED_VALUE"""),"QA Automation Lead")</f>
        <v>QA Automation Lead</v>
      </c>
      <c r="C2097" s="7" t="str">
        <f>IFERROR(__xludf.DUMMYFUNCTION("""COMPUTED_VALUE"""),"S017")</f>
        <v>S017</v>
      </c>
      <c r="D2097" s="7" t="str">
        <f>IFERROR(__xludf.DUMMYFUNCTION("""COMPUTED_VALUE"""),"Git Version Control Fundamentals")</f>
        <v>Git Version Control Fundamentals</v>
      </c>
    </row>
    <row r="2098">
      <c r="A2098" s="7" t="str">
        <f>IFERROR(__xludf.DUMMYFUNCTION("""COMPUTED_VALUE"""),"R50")</f>
        <v>R50</v>
      </c>
      <c r="B2098" s="7" t="str">
        <f>IFERROR(__xludf.DUMMYFUNCTION("""COMPUTED_VALUE"""),"QA Automation Lead")</f>
        <v>QA Automation Lead</v>
      </c>
      <c r="C2098" s="7" t="str">
        <f>IFERROR(__xludf.DUMMYFUNCTION("""COMPUTED_VALUE"""),"S018")</f>
        <v>S018</v>
      </c>
      <c r="D2098" s="7" t="str">
        <f>IFERROR(__xludf.DUMMYFUNCTION("""COMPUTED_VALUE"""),"GitHub / GitLab Workflows &amp; Pull Requests")</f>
        <v>GitHub / GitLab Workflows &amp; Pull Requests</v>
      </c>
    </row>
    <row r="2099">
      <c r="A2099" s="7" t="str">
        <f>IFERROR(__xludf.DUMMYFUNCTION("""COMPUTED_VALUE"""),"R50")</f>
        <v>R50</v>
      </c>
      <c r="B2099" s="7" t="str">
        <f>IFERROR(__xludf.DUMMYFUNCTION("""COMPUTED_VALUE"""),"QA Automation Lead")</f>
        <v>QA Automation Lead</v>
      </c>
      <c r="C2099" s="7" t="str">
        <f>IFERROR(__xludf.DUMMYFUNCTION("""COMPUTED_VALUE"""),"S019")</f>
        <v>S019</v>
      </c>
      <c r="D2099" s="7" t="str">
        <f>IFERROR(__xludf.DUMMYFUNCTION("""COMPUTED_VALUE"""),"Linux Command Line &amp; File Permissions")</f>
        <v>Linux Command Line &amp; File Permissions</v>
      </c>
    </row>
    <row r="2100">
      <c r="A2100" s="7" t="str">
        <f>IFERROR(__xludf.DUMMYFUNCTION("""COMPUTED_VALUE"""),"R50")</f>
        <v>R50</v>
      </c>
      <c r="B2100" s="7" t="str">
        <f>IFERROR(__xludf.DUMMYFUNCTION("""COMPUTED_VALUE"""),"QA Automation Lead")</f>
        <v>QA Automation Lead</v>
      </c>
      <c r="C2100" s="7" t="str">
        <f>IFERROR(__xludf.DUMMYFUNCTION("""COMPUTED_VALUE"""),"S020")</f>
        <v>S020</v>
      </c>
      <c r="D2100" s="7" t="str">
        <f>IFERROR(__xludf.DUMMYFUNCTION("""COMPUTED_VALUE"""),"Bash &amp; Shell Scripting")</f>
        <v>Bash &amp; Shell Scripting</v>
      </c>
    </row>
    <row r="2101">
      <c r="A2101" s="7" t="str">
        <f>IFERROR(__xludf.DUMMYFUNCTION("""COMPUTED_VALUE"""),"R50")</f>
        <v>R50</v>
      </c>
      <c r="B2101" s="7" t="str">
        <f>IFERROR(__xludf.DUMMYFUNCTION("""COMPUTED_VALUE"""),"QA Automation Lead")</f>
        <v>QA Automation Lead</v>
      </c>
      <c r="C2101" s="7" t="str">
        <f>IFERROR(__xludf.DUMMYFUNCTION("""COMPUTED_VALUE"""),"S023")</f>
        <v>S023</v>
      </c>
      <c r="D2101" s="7" t="str">
        <f>IFERROR(__xludf.DUMMYFUNCTION("""COMPUTED_VALUE"""),"HTTP/HTTPS Protocols &amp; Status Codes")</f>
        <v>HTTP/HTTPS Protocols &amp; Status Codes</v>
      </c>
    </row>
    <row r="2102">
      <c r="A2102" s="7" t="str">
        <f>IFERROR(__xludf.DUMMYFUNCTION("""COMPUTED_VALUE"""),"R50")</f>
        <v>R50</v>
      </c>
      <c r="B2102" s="7" t="str">
        <f>IFERROR(__xludf.DUMMYFUNCTION("""COMPUTED_VALUE"""),"QA Automation Lead")</f>
        <v>QA Automation Lead</v>
      </c>
      <c r="C2102" s="7" t="str">
        <f>IFERROR(__xludf.DUMMYFUNCTION("""COMPUTED_VALUE"""),"S025")</f>
        <v>S025</v>
      </c>
      <c r="D2102" s="7" t="str">
        <f>IFERROR(__xludf.DUMMYFUNCTION("""COMPUTED_VALUE"""),"Regular Expressions (Regex)")</f>
        <v>Regular Expressions (Regex)</v>
      </c>
    </row>
    <row r="2103">
      <c r="A2103" s="7" t="str">
        <f>IFERROR(__xludf.DUMMYFUNCTION("""COMPUTED_VALUE"""),"R50")</f>
        <v>R50</v>
      </c>
      <c r="B2103" s="7" t="str">
        <f>IFERROR(__xludf.DUMMYFUNCTION("""COMPUTED_VALUE"""),"QA Automation Lead")</f>
        <v>QA Automation Lead</v>
      </c>
      <c r="C2103" s="7" t="str">
        <f>IFERROR(__xludf.DUMMYFUNCTION("""COMPUTED_VALUE"""),"S026")</f>
        <v>S026</v>
      </c>
      <c r="D2103" s="7" t="str">
        <f>IFERROR(__xludf.DUMMYFUNCTION("""COMPUTED_VALUE"""),"Data Serialization (JSON, XML, YAML, Protobuf)")</f>
        <v>Data Serialization (JSON, XML, YAML, Protobuf)</v>
      </c>
    </row>
    <row r="2104">
      <c r="A2104" s="7" t="str">
        <f>IFERROR(__xludf.DUMMYFUNCTION("""COMPUTED_VALUE"""),"R50")</f>
        <v>R50</v>
      </c>
      <c r="B2104" s="7" t="str">
        <f>IFERROR(__xludf.DUMMYFUNCTION("""COMPUTED_VALUE"""),"QA Automation Lead")</f>
        <v>QA Automation Lead</v>
      </c>
      <c r="C2104" s="7" t="str">
        <f>IFERROR(__xludf.DUMMYFUNCTION("""COMPUTED_VALUE"""),"S028")</f>
        <v>S028</v>
      </c>
      <c r="D2104" s="7" t="str">
        <f>IFERROR(__xludf.DUMMYFUNCTION("""COMPUTED_VALUE"""),"Technical Writing &amp; Markdown Documentation")</f>
        <v>Technical Writing &amp; Markdown Documentation</v>
      </c>
    </row>
    <row r="2105">
      <c r="A2105" s="7" t="str">
        <f>IFERROR(__xludf.DUMMYFUNCTION("""COMPUTED_VALUE"""),"R50")</f>
        <v>R50</v>
      </c>
      <c r="B2105" s="7" t="str">
        <f>IFERROR(__xludf.DUMMYFUNCTION("""COMPUTED_VALUE"""),"QA Automation Lead")</f>
        <v>QA Automation Lead</v>
      </c>
      <c r="C2105" s="7" t="str">
        <f>IFERROR(__xludf.DUMMYFUNCTION("""COMPUTED_VALUE"""),"S029")</f>
        <v>S029</v>
      </c>
      <c r="D2105" s="7" t="str">
        <f>IFERROR(__xludf.DUMMYFUNCTION("""COMPUTED_VALUE"""),"Debugging, Profiling &amp; Root Cause Analysis")</f>
        <v>Debugging, Profiling &amp; Root Cause Analysis</v>
      </c>
    </row>
    <row r="2106">
      <c r="A2106" s="7" t="str">
        <f>IFERROR(__xludf.DUMMYFUNCTION("""COMPUTED_VALUE"""),"R50")</f>
        <v>R50</v>
      </c>
      <c r="B2106" s="7" t="str">
        <f>IFERROR(__xludf.DUMMYFUNCTION("""COMPUTED_VALUE"""),"QA Automation Lead")</f>
        <v>QA Automation Lead</v>
      </c>
      <c r="C2106" s="7" t="str">
        <f>IFERROR(__xludf.DUMMYFUNCTION("""COMPUTED_VALUE"""),"S031")</f>
        <v>S031</v>
      </c>
      <c r="D2106" s="7" t="str">
        <f>IFERROR(__xludf.DUMMYFUNCTION("""COMPUTED_VALUE"""),"Semantic HTML5")</f>
        <v>Semantic HTML5</v>
      </c>
    </row>
    <row r="2107">
      <c r="A2107" s="7" t="str">
        <f>IFERROR(__xludf.DUMMYFUNCTION("""COMPUTED_VALUE"""),"R50")</f>
        <v>R50</v>
      </c>
      <c r="B2107" s="7" t="str">
        <f>IFERROR(__xludf.DUMMYFUNCTION("""COMPUTED_VALUE"""),"QA Automation Lead")</f>
        <v>QA Automation Lead</v>
      </c>
      <c r="C2107" s="7" t="str">
        <f>IFERROR(__xludf.DUMMYFUNCTION("""COMPUTED_VALUE"""),"S032")</f>
        <v>S032</v>
      </c>
      <c r="D2107" s="7" t="str">
        <f>IFERROR(__xludf.DUMMYFUNCTION("""COMPUTED_VALUE"""),"CSS3 Fundamentals &amp; Box Model")</f>
        <v>CSS3 Fundamentals &amp; Box Model</v>
      </c>
    </row>
    <row r="2108">
      <c r="A2108" s="7" t="str">
        <f>IFERROR(__xludf.DUMMYFUNCTION("""COMPUTED_VALUE"""),"R50")</f>
        <v>R50</v>
      </c>
      <c r="B2108" s="7" t="str">
        <f>IFERROR(__xludf.DUMMYFUNCTION("""COMPUTED_VALUE"""),"QA Automation Lead")</f>
        <v>QA Automation Lead</v>
      </c>
      <c r="C2108" s="7" t="str">
        <f>IFERROR(__xludf.DUMMYFUNCTION("""COMPUTED_VALUE"""),"S034")</f>
        <v>S034</v>
      </c>
      <c r="D2108" s="7" t="str">
        <f>IFERROR(__xludf.DUMMYFUNCTION("""COMPUTED_VALUE"""),"JavaScript Fundamentals (ES6+)")</f>
        <v>JavaScript Fundamentals (ES6+)</v>
      </c>
    </row>
    <row r="2109">
      <c r="A2109" s="7" t="str">
        <f>IFERROR(__xludf.DUMMYFUNCTION("""COMPUTED_VALUE"""),"R50")</f>
        <v>R50</v>
      </c>
      <c r="B2109" s="7" t="str">
        <f>IFERROR(__xludf.DUMMYFUNCTION("""COMPUTED_VALUE"""),"QA Automation Lead")</f>
        <v>QA Automation Lead</v>
      </c>
      <c r="C2109" s="7" t="str">
        <f>IFERROR(__xludf.DUMMYFUNCTION("""COMPUTED_VALUE"""),"S035")</f>
        <v>S035</v>
      </c>
      <c r="D2109" s="7" t="str">
        <f>IFERROR(__xludf.DUMMYFUNCTION("""COMPUTED_VALUE"""),"Asynchronous JavaScript (Promises, Async/Await)")</f>
        <v>Asynchronous JavaScript (Promises, Async/Await)</v>
      </c>
    </row>
    <row r="2110">
      <c r="A2110" s="7" t="str">
        <f>IFERROR(__xludf.DUMMYFUNCTION("""COMPUTED_VALUE"""),"R50")</f>
        <v>R50</v>
      </c>
      <c r="B2110" s="7" t="str">
        <f>IFERROR(__xludf.DUMMYFUNCTION("""COMPUTED_VALUE"""),"QA Automation Lead")</f>
        <v>QA Automation Lead</v>
      </c>
      <c r="C2110" s="7" t="str">
        <f>IFERROR(__xludf.DUMMYFUNCTION("""COMPUTED_VALUE"""),"S036")</f>
        <v>S036</v>
      </c>
      <c r="D2110" s="7" t="str">
        <f>IFERROR(__xludf.DUMMYFUNCTION("""COMPUTED_VALUE"""),"DOM Manipulation &amp; Browser Events")</f>
        <v>DOM Manipulation &amp; Browser Events</v>
      </c>
    </row>
    <row r="2111">
      <c r="A2111" s="7" t="str">
        <f>IFERROR(__xludf.DUMMYFUNCTION("""COMPUTED_VALUE"""),"R50")</f>
        <v>R50</v>
      </c>
      <c r="B2111" s="7" t="str">
        <f>IFERROR(__xludf.DUMMYFUNCTION("""COMPUTED_VALUE"""),"QA Automation Lead")</f>
        <v>QA Automation Lead</v>
      </c>
      <c r="C2111" s="7" t="str">
        <f>IFERROR(__xludf.DUMMYFUNCTION("""COMPUTED_VALUE"""),"S038")</f>
        <v>S038</v>
      </c>
      <c r="D2111" s="7" t="str">
        <f>IFERROR(__xludf.DUMMYFUNCTION("""COMPUTED_VALUE"""),"TypeScript &amp; Static Typing")</f>
        <v>TypeScript &amp; Static Typing</v>
      </c>
    </row>
    <row r="2112">
      <c r="A2112" s="7" t="str">
        <f>IFERROR(__xludf.DUMMYFUNCTION("""COMPUTED_VALUE"""),"R50")</f>
        <v>R50</v>
      </c>
      <c r="B2112" s="7" t="str">
        <f>IFERROR(__xludf.DUMMYFUNCTION("""COMPUTED_VALUE"""),"QA Automation Lead")</f>
        <v>QA Automation Lead</v>
      </c>
      <c r="C2112" s="7" t="str">
        <f>IFERROR(__xludf.DUMMYFUNCTION("""COMPUTED_VALUE"""),"S039")</f>
        <v>S039</v>
      </c>
      <c r="D2112" s="7" t="str">
        <f>IFERROR(__xludf.DUMMYFUNCTION("""COMPUTED_VALUE"""),"React.js &amp; Hooks Architecture")</f>
        <v>React.js &amp; Hooks Architecture</v>
      </c>
    </row>
    <row r="2113">
      <c r="A2113" s="7" t="str">
        <f>IFERROR(__xludf.DUMMYFUNCTION("""COMPUTED_VALUE"""),"R50")</f>
        <v>R50</v>
      </c>
      <c r="B2113" s="7" t="str">
        <f>IFERROR(__xludf.DUMMYFUNCTION("""COMPUTED_VALUE"""),"QA Automation Lead")</f>
        <v>QA Automation Lead</v>
      </c>
      <c r="C2113" s="7" t="str">
        <f>IFERROR(__xludf.DUMMYFUNCTION("""COMPUTED_VALUE"""),"S052")</f>
        <v>S052</v>
      </c>
      <c r="D2113" s="7" t="str">
        <f>IFERROR(__xludf.DUMMYFUNCTION("""COMPUTED_VALUE"""),"Web Performance Optimization &amp; Core Web Vitals")</f>
        <v>Web Performance Optimization &amp; Core Web Vitals</v>
      </c>
    </row>
    <row r="2114">
      <c r="A2114" s="7" t="str">
        <f>IFERROR(__xludf.DUMMYFUNCTION("""COMPUTED_VALUE"""),"R50")</f>
        <v>R50</v>
      </c>
      <c r="B2114" s="7" t="str">
        <f>IFERROR(__xludf.DUMMYFUNCTION("""COMPUTED_VALUE"""),"QA Automation Lead")</f>
        <v>QA Automation Lead</v>
      </c>
      <c r="C2114" s="7" t="str">
        <f>IFERROR(__xludf.DUMMYFUNCTION("""COMPUTED_VALUE"""),"S053")</f>
        <v>S053</v>
      </c>
      <c r="D2114" s="7" t="str">
        <f>IFERROR(__xludf.DUMMYFUNCTION("""COMPUTED_VALUE"""),"Web Accessibility (WCAG / ARIA / a11y)")</f>
        <v>Web Accessibility (WCAG / ARIA / a11y)</v>
      </c>
    </row>
    <row r="2115">
      <c r="A2115" s="7" t="str">
        <f>IFERROR(__xludf.DUMMYFUNCTION("""COMPUTED_VALUE"""),"R50")</f>
        <v>R50</v>
      </c>
      <c r="B2115" s="7" t="str">
        <f>IFERROR(__xludf.DUMMYFUNCTION("""COMPUTED_VALUE"""),"QA Automation Lead")</f>
        <v>QA Automation Lead</v>
      </c>
      <c r="C2115" s="7" t="str">
        <f>IFERROR(__xludf.DUMMYFUNCTION("""COMPUTED_VALUE"""),"S059")</f>
        <v>S059</v>
      </c>
      <c r="D2115" s="7" t="str">
        <f>IFERROR(__xludf.DUMMYFUNCTION("""COMPUTED_VALUE"""),"Frontend Unit &amp; Component Testing (Jest, Vitest, RTL)")</f>
        <v>Frontend Unit &amp; Component Testing (Jest, Vitest, RTL)</v>
      </c>
    </row>
    <row r="2116">
      <c r="A2116" s="7" t="str">
        <f>IFERROR(__xludf.DUMMYFUNCTION("""COMPUTED_VALUE"""),"R50")</f>
        <v>R50</v>
      </c>
      <c r="B2116" s="7" t="str">
        <f>IFERROR(__xludf.DUMMYFUNCTION("""COMPUTED_VALUE"""),"QA Automation Lead")</f>
        <v>QA Automation Lead</v>
      </c>
      <c r="C2116" s="7" t="str">
        <f>IFERROR(__xludf.DUMMYFUNCTION("""COMPUTED_VALUE"""),"S060")</f>
        <v>S060</v>
      </c>
      <c r="D2116" s="7" t="str">
        <f>IFERROR(__xludf.DUMMYFUNCTION("""COMPUTED_VALUE"""),"End-to-End Browser Testing (Cypress, Playwright)")</f>
        <v>End-to-End Browser Testing (Cypress, Playwright)</v>
      </c>
    </row>
    <row r="2117">
      <c r="A2117" s="7" t="str">
        <f>IFERROR(__xludf.DUMMYFUNCTION("""COMPUTED_VALUE"""),"R50")</f>
        <v>R50</v>
      </c>
      <c r="B2117" s="7" t="str">
        <f>IFERROR(__xludf.DUMMYFUNCTION("""COMPUTED_VALUE"""),"QA Automation Lead")</f>
        <v>QA Automation Lead</v>
      </c>
      <c r="C2117" s="7" t="str">
        <f>IFERROR(__xludf.DUMMYFUNCTION("""COMPUTED_VALUE"""),"S066")</f>
        <v>S066</v>
      </c>
      <c r="D2117" s="7" t="str">
        <f>IFERROR(__xludf.DUMMYFUNCTION("""COMPUTED_VALUE"""),"Java Programming &amp; JVM Internals")</f>
        <v>Java Programming &amp; JVM Internals</v>
      </c>
    </row>
    <row r="2118">
      <c r="A2118" s="7" t="str">
        <f>IFERROR(__xludf.DUMMYFUNCTION("""COMPUTED_VALUE"""),"R50")</f>
        <v>R50</v>
      </c>
      <c r="B2118" s="7" t="str">
        <f>IFERROR(__xludf.DUMMYFUNCTION("""COMPUTED_VALUE"""),"QA Automation Lead")</f>
        <v>QA Automation Lead</v>
      </c>
      <c r="C2118" s="7" t="str">
        <f>IFERROR(__xludf.DUMMYFUNCTION("""COMPUTED_VALUE"""),"S067")</f>
        <v>S067</v>
      </c>
      <c r="D2118" s="7" t="str">
        <f>IFERROR(__xludf.DUMMYFUNCTION("""COMPUTED_VALUE"""),"Spring Framework &amp; Spring Boot")</f>
        <v>Spring Framework &amp; Spring Boot</v>
      </c>
    </row>
    <row r="2119">
      <c r="A2119" s="7" t="str">
        <f>IFERROR(__xludf.DUMMYFUNCTION("""COMPUTED_VALUE"""),"R50")</f>
        <v>R50</v>
      </c>
      <c r="B2119" s="7" t="str">
        <f>IFERROR(__xludf.DUMMYFUNCTION("""COMPUTED_VALUE"""),"QA Automation Lead")</f>
        <v>QA Automation Lead</v>
      </c>
      <c r="C2119" s="7" t="str">
        <f>IFERROR(__xludf.DUMMYFUNCTION("""COMPUTED_VALUE"""),"S068")</f>
        <v>S068</v>
      </c>
      <c r="D2119" s="7" t="str">
        <f>IFERROR(__xludf.DUMMYFUNCTION("""COMPUTED_VALUE"""),"Python Programming Fundamentals")</f>
        <v>Python Programming Fundamentals</v>
      </c>
    </row>
    <row r="2120">
      <c r="A2120" s="7" t="str">
        <f>IFERROR(__xludf.DUMMYFUNCTION("""COMPUTED_VALUE"""),"R50")</f>
        <v>R50</v>
      </c>
      <c r="B2120" s="7" t="str">
        <f>IFERROR(__xludf.DUMMYFUNCTION("""COMPUTED_VALUE"""),"QA Automation Lead")</f>
        <v>QA Automation Lead</v>
      </c>
      <c r="C2120" s="7" t="str">
        <f>IFERROR(__xludf.DUMMYFUNCTION("""COMPUTED_VALUE"""),"S072")</f>
        <v>S072</v>
      </c>
      <c r="D2120" s="7" t="str">
        <f>IFERROR(__xludf.DUMMYFUNCTION("""COMPUTED_VALUE"""),"Node.js Runtime &amp; Event Loop")</f>
        <v>Node.js Runtime &amp; Event Loop</v>
      </c>
    </row>
    <row r="2121">
      <c r="A2121" s="7" t="str">
        <f>IFERROR(__xludf.DUMMYFUNCTION("""COMPUTED_VALUE"""),"R50")</f>
        <v>R50</v>
      </c>
      <c r="B2121" s="7" t="str">
        <f>IFERROR(__xludf.DUMMYFUNCTION("""COMPUTED_VALUE"""),"QA Automation Lead")</f>
        <v>QA Automation Lead</v>
      </c>
      <c r="C2121" s="7" t="str">
        <f>IFERROR(__xludf.DUMMYFUNCTION("""COMPUTED_VALUE"""),"S075")</f>
        <v>S075</v>
      </c>
      <c r="D2121" s="7" t="str">
        <f>IFERROR(__xludf.DUMMYFUNCTION("""COMPUTED_VALUE"""),"C# &amp; .NET Runtime")</f>
        <v>C# &amp; .NET Runtime</v>
      </c>
    </row>
    <row r="2122">
      <c r="A2122" s="7" t="str">
        <f>IFERROR(__xludf.DUMMYFUNCTION("""COMPUTED_VALUE"""),"R50")</f>
        <v>R50</v>
      </c>
      <c r="B2122" s="7" t="str">
        <f>IFERROR(__xludf.DUMMYFUNCTION("""COMPUTED_VALUE"""),"QA Automation Lead")</f>
        <v>QA Automation Lead</v>
      </c>
      <c r="C2122" s="7" t="str">
        <f>IFERROR(__xludf.DUMMYFUNCTION("""COMPUTED_VALUE"""),"S086")</f>
        <v>S086</v>
      </c>
      <c r="D2122" s="7" t="str">
        <f>IFERROR(__xludf.DUMMYFUNCTION("""COMPUTED_VALUE"""),"RESTful API Design &amp; OpenAPI/Swagger")</f>
        <v>RESTful API Design &amp; OpenAPI/Swagger</v>
      </c>
    </row>
    <row r="2123">
      <c r="A2123" s="7" t="str">
        <f>IFERROR(__xludf.DUMMYFUNCTION("""COMPUTED_VALUE"""),"R50")</f>
        <v>R50</v>
      </c>
      <c r="B2123" s="7" t="str">
        <f>IFERROR(__xludf.DUMMYFUNCTION("""COMPUTED_VALUE"""),"QA Automation Lead")</f>
        <v>QA Automation Lead</v>
      </c>
      <c r="C2123" s="7" t="str">
        <f>IFERROR(__xludf.DUMMYFUNCTION("""COMPUTED_VALUE"""),"S087")</f>
        <v>S087</v>
      </c>
      <c r="D2123" s="7" t="str">
        <f>IFERROR(__xludf.DUMMYFUNCTION("""COMPUTED_VALUE"""),"GraphQL Schema &amp; Resolvers (Apollo)")</f>
        <v>GraphQL Schema &amp; Resolvers (Apollo)</v>
      </c>
    </row>
    <row r="2124">
      <c r="A2124" s="7" t="str">
        <f>IFERROR(__xludf.DUMMYFUNCTION("""COMPUTED_VALUE"""),"R50")</f>
        <v>R50</v>
      </c>
      <c r="B2124" s="7" t="str">
        <f>IFERROR(__xludf.DUMMYFUNCTION("""COMPUTED_VALUE"""),"QA Automation Lead")</f>
        <v>QA Automation Lead</v>
      </c>
      <c r="C2124" s="7" t="str">
        <f>IFERROR(__xludf.DUMMYFUNCTION("""COMPUTED_VALUE"""),"S102")</f>
        <v>S102</v>
      </c>
      <c r="D2124" s="7" t="str">
        <f>IFERROR(__xludf.DUMMYFUNCTION("""COMPUTED_VALUE"""),"Backend Unit &amp; Integration Testing (JUnit, PyTest, Mocha)")</f>
        <v>Backend Unit &amp; Integration Testing (JUnit, PyTest, Mocha)</v>
      </c>
    </row>
    <row r="2125">
      <c r="A2125" s="7" t="str">
        <f>IFERROR(__xludf.DUMMYFUNCTION("""COMPUTED_VALUE"""),"R50")</f>
        <v>R50</v>
      </c>
      <c r="B2125" s="7" t="str">
        <f>IFERROR(__xludf.DUMMYFUNCTION("""COMPUTED_VALUE"""),"QA Automation Lead")</f>
        <v>QA Automation Lead</v>
      </c>
      <c r="C2125" s="7" t="str">
        <f>IFERROR(__xludf.DUMMYFUNCTION("""COMPUTED_VALUE"""),"S103")</f>
        <v>S103</v>
      </c>
      <c r="D2125" s="7" t="str">
        <f>IFERROR(__xludf.DUMMYFUNCTION("""COMPUTED_VALUE"""),"API Testing &amp; Contract Testing (Postman, Pact, Insomnia)")</f>
        <v>API Testing &amp; Contract Testing (Postman, Pact, Insomnia)</v>
      </c>
    </row>
    <row r="2126">
      <c r="A2126" s="7" t="str">
        <f>IFERROR(__xludf.DUMMYFUNCTION("""COMPUTED_VALUE"""),"R50")</f>
        <v>R50</v>
      </c>
      <c r="B2126" s="7" t="str">
        <f>IFERROR(__xludf.DUMMYFUNCTION("""COMPUTED_VALUE"""),"QA Automation Lead")</f>
        <v>QA Automation Lead</v>
      </c>
      <c r="C2126" s="7" t="str">
        <f>IFERROR(__xludf.DUMMYFUNCTION("""COMPUTED_VALUE"""),"S104")</f>
        <v>S104</v>
      </c>
      <c r="D2126" s="7" t="str">
        <f>IFERROR(__xludf.DUMMYFUNCTION("""COMPUTED_VALUE"""),"Load &amp; Performance Testing (JMeter, k6, Locust)")</f>
        <v>Load &amp; Performance Testing (JMeter, k6, Locust)</v>
      </c>
    </row>
    <row r="2127">
      <c r="A2127" s="7" t="str">
        <f>IFERROR(__xludf.DUMMYFUNCTION("""COMPUTED_VALUE"""),"R50")</f>
        <v>R50</v>
      </c>
      <c r="B2127" s="7" t="str">
        <f>IFERROR(__xludf.DUMMYFUNCTION("""COMPUTED_VALUE"""),"QA Automation Lead")</f>
        <v>QA Automation Lead</v>
      </c>
      <c r="C2127" s="7" t="str">
        <f>IFERROR(__xludf.DUMMYFUNCTION("""COMPUTED_VALUE"""),"S107")</f>
        <v>S107</v>
      </c>
      <c r="D2127" s="7" t="str">
        <f>IFERROR(__xludf.DUMMYFUNCTION("""COMPUTED_VALUE"""),"SQL Querying (Joins, Aggregations, Subqueries)")</f>
        <v>SQL Querying (Joins, Aggregations, Subqueries)</v>
      </c>
    </row>
    <row r="2128">
      <c r="A2128" s="7" t="str">
        <f>IFERROR(__xludf.DUMMYFUNCTION("""COMPUTED_VALUE"""),"R50")</f>
        <v>R50</v>
      </c>
      <c r="B2128" s="7" t="str">
        <f>IFERROR(__xludf.DUMMYFUNCTION("""COMPUTED_VALUE"""),"QA Automation Lead")</f>
        <v>QA Automation Lead</v>
      </c>
      <c r="C2128" s="7" t="str">
        <f>IFERROR(__xludf.DUMMYFUNCTION("""COMPUTED_VALUE"""),"S109")</f>
        <v>S109</v>
      </c>
      <c r="D2128" s="7" t="str">
        <f>IFERROR(__xludf.DUMMYFUNCTION("""COMPUTED_VALUE"""),"PostgreSQL Administration &amp; Development")</f>
        <v>PostgreSQL Administration &amp; Development</v>
      </c>
    </row>
    <row r="2129">
      <c r="A2129" s="7" t="str">
        <f>IFERROR(__xludf.DUMMYFUNCTION("""COMPUTED_VALUE"""),"R50")</f>
        <v>R50</v>
      </c>
      <c r="B2129" s="7" t="str">
        <f>IFERROR(__xludf.DUMMYFUNCTION("""COMPUTED_VALUE"""),"QA Automation Lead")</f>
        <v>QA Automation Lead</v>
      </c>
      <c r="C2129" s="7" t="str">
        <f>IFERROR(__xludf.DUMMYFUNCTION("""COMPUTED_VALUE"""),"S171")</f>
        <v>S171</v>
      </c>
      <c r="D2129" s="7" t="str">
        <f>IFERROR(__xludf.DUMMYFUNCTION("""COMPUTED_VALUE"""),"Containerization with Docker")</f>
        <v>Containerization with Docker</v>
      </c>
    </row>
    <row r="2130">
      <c r="A2130" s="7" t="str">
        <f>IFERROR(__xludf.DUMMYFUNCTION("""COMPUTED_VALUE"""),"R50")</f>
        <v>R50</v>
      </c>
      <c r="B2130" s="7" t="str">
        <f>IFERROR(__xludf.DUMMYFUNCTION("""COMPUTED_VALUE"""),"QA Automation Lead")</f>
        <v>QA Automation Lead</v>
      </c>
      <c r="C2130" s="7" t="str">
        <f>IFERROR(__xludf.DUMMYFUNCTION("""COMPUTED_VALUE"""),"S172")</f>
        <v>S172</v>
      </c>
      <c r="D2130" s="7" t="str">
        <f>IFERROR(__xludf.DUMMYFUNCTION("""COMPUTED_VALUE"""),"Kubernetes Cluster Orchestration (K8s)")</f>
        <v>Kubernetes Cluster Orchestration (K8s)</v>
      </c>
    </row>
    <row r="2131">
      <c r="A2131" s="7" t="str">
        <f>IFERROR(__xludf.DUMMYFUNCTION("""COMPUTED_VALUE"""),"R50")</f>
        <v>R50</v>
      </c>
      <c r="B2131" s="7" t="str">
        <f>IFERROR(__xludf.DUMMYFUNCTION("""COMPUTED_VALUE"""),"QA Automation Lead")</f>
        <v>QA Automation Lead</v>
      </c>
      <c r="C2131" s="7" t="str">
        <f>IFERROR(__xludf.DUMMYFUNCTION("""COMPUTED_VALUE"""),"S180")</f>
        <v>S180</v>
      </c>
      <c r="D2131" s="7" t="str">
        <f>IFERROR(__xludf.DUMMYFUNCTION("""COMPUTED_VALUE"""),"CI/CD Pipelines with GitHub Actions")</f>
        <v>CI/CD Pipelines with GitHub Actions</v>
      </c>
    </row>
    <row r="2132">
      <c r="A2132" s="7" t="str">
        <f>IFERROR(__xludf.DUMMYFUNCTION("""COMPUTED_VALUE"""),"R50")</f>
        <v>R50</v>
      </c>
      <c r="B2132" s="7" t="str">
        <f>IFERROR(__xludf.DUMMYFUNCTION("""COMPUTED_VALUE"""),"QA Automation Lead")</f>
        <v>QA Automation Lead</v>
      </c>
      <c r="C2132" s="7" t="str">
        <f>IFERROR(__xludf.DUMMYFUNCTION("""COMPUTED_VALUE"""),"S181")</f>
        <v>S181</v>
      </c>
      <c r="D2132" s="7" t="str">
        <f>IFERROR(__xludf.DUMMYFUNCTION("""COMPUTED_VALUE"""),"CI/CD Automation with GitLab CI &amp; Jenkins")</f>
        <v>CI/CD Automation with GitLab CI &amp; Jenkins</v>
      </c>
    </row>
    <row r="2133">
      <c r="A2133" s="7" t="str">
        <f>IFERROR(__xludf.DUMMYFUNCTION("""COMPUTED_VALUE"""),"R50")</f>
        <v>R50</v>
      </c>
      <c r="B2133" s="7" t="str">
        <f>IFERROR(__xludf.DUMMYFUNCTION("""COMPUTED_VALUE"""),"QA Automation Lead")</f>
        <v>QA Automation Lead</v>
      </c>
      <c r="C2133" s="7" t="str">
        <f>IFERROR(__xludf.DUMMYFUNCTION("""COMPUTED_VALUE"""),"S184")</f>
        <v>S184</v>
      </c>
      <c r="D2133" s="7" t="str">
        <f>IFERROR(__xludf.DUMMYFUNCTION("""COMPUTED_VALUE"""),"Infrastructure &amp; Metrics Monitoring (Prometheus &amp; Grafana)")</f>
        <v>Infrastructure &amp; Metrics Monitoring (Prometheus &amp; Grafana)</v>
      </c>
    </row>
    <row r="2134">
      <c r="A2134" s="7" t="str">
        <f>IFERROR(__xludf.DUMMYFUNCTION("""COMPUTED_VALUE"""),"R50")</f>
        <v>R50</v>
      </c>
      <c r="B2134" s="7" t="str">
        <f>IFERROR(__xludf.DUMMYFUNCTION("""COMPUTED_VALUE"""),"QA Automation Lead")</f>
        <v>QA Automation Lead</v>
      </c>
      <c r="C2134" s="7" t="str">
        <f>IFERROR(__xludf.DUMMYFUNCTION("""COMPUTED_VALUE"""),"S200")</f>
        <v>S200</v>
      </c>
      <c r="D2134" s="7" t="str">
        <f>IFERROR(__xludf.DUMMYFUNCTION("""COMPUTED_VALUE"""),"Web Application Security &amp; OWASP Top 10")</f>
        <v>Web Application Security &amp; OWASP Top 10</v>
      </c>
    </row>
    <row r="2135">
      <c r="A2135" s="7" t="str">
        <f>IFERROR(__xludf.DUMMYFUNCTION("""COMPUTED_VALUE"""),"R50")</f>
        <v>R50</v>
      </c>
      <c r="B2135" s="7" t="str">
        <f>IFERROR(__xludf.DUMMYFUNCTION("""COMPUTED_VALUE"""),"QA Automation Lead")</f>
        <v>QA Automation Lead</v>
      </c>
      <c r="C2135" s="7" t="str">
        <f>IFERROR(__xludf.DUMMYFUNCTION("""COMPUTED_VALUE"""),"S214")</f>
        <v>S214</v>
      </c>
      <c r="D2135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2136">
      <c r="A2136" s="7" t="str">
        <f>IFERROR(__xludf.DUMMYFUNCTION("""COMPUTED_VALUE"""),"R50")</f>
        <v>R50</v>
      </c>
      <c r="B2136" s="7" t="str">
        <f>IFERROR(__xludf.DUMMYFUNCTION("""COMPUTED_VALUE"""),"QA Automation Lead")</f>
        <v>QA Automation Lead</v>
      </c>
      <c r="C2136" s="7" t="str">
        <f>IFERROR(__xludf.DUMMYFUNCTION("""COMPUTED_VALUE"""),"S227")</f>
        <v>S227</v>
      </c>
      <c r="D2136" s="7" t="str">
        <f>IFERROR(__xludf.DUMMYFUNCTION("""COMPUTED_VALUE"""),"Mobile App Store Deployment, Signing &amp; Profiling")</f>
        <v>Mobile App Store Deployment, Signing &amp; Profiling</v>
      </c>
    </row>
    <row r="2137">
      <c r="A2137" s="7" t="str">
        <f>IFERROR(__xludf.DUMMYFUNCTION("""COMPUTED_VALUE"""),"R50")</f>
        <v>R50</v>
      </c>
      <c r="B2137" s="7" t="str">
        <f>IFERROR(__xludf.DUMMYFUNCTION("""COMPUTED_VALUE"""),"QA Automation Lead")</f>
        <v>QA Automation Lead</v>
      </c>
      <c r="C2137" s="7" t="str">
        <f>IFERROR(__xludf.DUMMYFUNCTION("""COMPUTED_VALUE"""),"S246")</f>
        <v>S246</v>
      </c>
      <c r="D2137" s="7" t="str">
        <f>IFERROR(__xludf.DUMMYFUNCTION("""COMPUTED_VALUE"""),"Agile Methodologies, Scrum Framework &amp; Kanban")</f>
        <v>Agile Methodologies, Scrum Framework &amp; Kanban</v>
      </c>
    </row>
    <row r="2138">
      <c r="A2138" s="7" t="str">
        <f>IFERROR(__xludf.DUMMYFUNCTION("""COMPUTED_VALUE"""),"R50")</f>
        <v>R50</v>
      </c>
      <c r="B2138" s="7" t="str">
        <f>IFERROR(__xludf.DUMMYFUNCTION("""COMPUTED_VALUE"""),"QA Automation Lead")</f>
        <v>QA Automation Lead</v>
      </c>
      <c r="C2138" s="7" t="str">
        <f>IFERROR(__xludf.DUMMYFUNCTION("""COMPUTED_VALUE"""),"S247")</f>
        <v>S247</v>
      </c>
      <c r="D2138" s="7" t="str">
        <f>IFERROR(__xludf.DUMMYFUNCTION("""COMPUTED_VALUE"""),"Project Tracking &amp; Documentation Tools (Jira, Confluence, Linear)")</f>
        <v>Project Tracking &amp; Documentation Tools (Jira, Confluence, Linear)</v>
      </c>
    </row>
    <row r="2139">
      <c r="A2139" s="7" t="str">
        <f>IFERROR(__xludf.DUMMYFUNCTION("""COMPUTED_VALUE"""),"R50")</f>
        <v>R50</v>
      </c>
      <c r="B2139" s="7" t="str">
        <f>IFERROR(__xludf.DUMMYFUNCTION("""COMPUTED_VALUE"""),"QA Automation Lead")</f>
        <v>QA Automation Lead</v>
      </c>
      <c r="C2139" s="7" t="str">
        <f>IFERROR(__xludf.DUMMYFUNCTION("""COMPUTED_VALUE"""),"S248")</f>
        <v>S248</v>
      </c>
      <c r="D2139" s="7" t="str">
        <f>IFERROR(__xludf.DUMMYFUNCTION("""COMPUTED_VALUE"""),"Product Management, Roadmapping &amp; User Story Mapping")</f>
        <v>Product Management, Roadmapping &amp; User Story Mapping</v>
      </c>
    </row>
    <row r="2140">
      <c r="A2140" s="7" t="str">
        <f>IFERROR(__xludf.DUMMYFUNCTION("""COMPUTED_VALUE"""),"R50")</f>
        <v>R50</v>
      </c>
      <c r="B2140" s="7" t="str">
        <f>IFERROR(__xludf.DUMMYFUNCTION("""COMPUTED_VALUE"""),"QA Automation Lead")</f>
        <v>QA Automation Lead</v>
      </c>
      <c r="C2140" s="7" t="str">
        <f>IFERROR(__xludf.DUMMYFUNCTION("""COMPUTED_VALUE"""),"S250")</f>
        <v>S250</v>
      </c>
      <c r="D2140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2141">
      <c r="A2141" s="7" t="str">
        <f>IFERROR(__xludf.DUMMYFUNCTION("""COMPUTED_VALUE"""),"R51")</f>
        <v>R51</v>
      </c>
      <c r="B2141" s="7" t="str">
        <f>IFERROR(__xludf.DUMMYFUNCTION("""COMPUTED_VALUE"""),"Blockchain Architect")</f>
        <v>Blockchain Architect</v>
      </c>
      <c r="C2141" s="7" t="str">
        <f>IFERROR(__xludf.DUMMYFUNCTION("""COMPUTED_VALUE"""),"S001")</f>
        <v>S001</v>
      </c>
      <c r="D2141" s="7" t="str">
        <f>IFERROR(__xludf.DUMMYFUNCTION("""COMPUTED_VALUE"""),"Computer Architecture &amp; Organization")</f>
        <v>Computer Architecture &amp; Organization</v>
      </c>
    </row>
    <row r="2142">
      <c r="A2142" s="7" t="str">
        <f>IFERROR(__xludf.DUMMYFUNCTION("""COMPUTED_VALUE"""),"R51")</f>
        <v>R51</v>
      </c>
      <c r="B2142" s="7" t="str">
        <f>IFERROR(__xludf.DUMMYFUNCTION("""COMPUTED_VALUE"""),"Blockchain Architect")</f>
        <v>Blockchain Architect</v>
      </c>
      <c r="C2142" s="7" t="str">
        <f>IFERROR(__xludf.DUMMYFUNCTION("""COMPUTED_VALUE"""),"S002")</f>
        <v>S002</v>
      </c>
      <c r="D2142" s="7" t="str">
        <f>IFERROR(__xludf.DUMMYFUNCTION("""COMPUTED_VALUE"""),"Operating Systems Concepts")</f>
        <v>Operating Systems Concepts</v>
      </c>
    </row>
    <row r="2143">
      <c r="A2143" s="7" t="str">
        <f>IFERROR(__xludf.DUMMYFUNCTION("""COMPUTED_VALUE"""),"R51")</f>
        <v>R51</v>
      </c>
      <c r="B2143" s="7" t="str">
        <f>IFERROR(__xludf.DUMMYFUNCTION("""COMPUTED_VALUE"""),"Blockchain Architect")</f>
        <v>Blockchain Architect</v>
      </c>
      <c r="C2143" s="7" t="str">
        <f>IFERROR(__xludf.DUMMYFUNCTION("""COMPUTED_VALUE"""),"S003")</f>
        <v>S003</v>
      </c>
      <c r="D2143" s="7" t="str">
        <f>IFERROR(__xludf.DUMMYFUNCTION("""COMPUTED_VALUE"""),"Process &amp; Thread Management")</f>
        <v>Process &amp; Thread Management</v>
      </c>
    </row>
    <row r="2144">
      <c r="A2144" s="7" t="str">
        <f>IFERROR(__xludf.DUMMYFUNCTION("""COMPUTED_VALUE"""),"R51")</f>
        <v>R51</v>
      </c>
      <c r="B2144" s="7" t="str">
        <f>IFERROR(__xludf.DUMMYFUNCTION("""COMPUTED_VALUE"""),"Blockchain Architect")</f>
        <v>Blockchain Architect</v>
      </c>
      <c r="C2144" s="7" t="str">
        <f>IFERROR(__xludf.DUMMYFUNCTION("""COMPUTED_VALUE"""),"S006")</f>
        <v>S006</v>
      </c>
      <c r="D2144" s="7" t="str">
        <f>IFERROR(__xludf.DUMMYFUNCTION("""COMPUTED_VALUE"""),"Basic Data Structures (Arrays, Lists, Stacks, Queues)")</f>
        <v>Basic Data Structures (Arrays, Lists, Stacks, Queues)</v>
      </c>
    </row>
    <row r="2145">
      <c r="A2145" s="7" t="str">
        <f>IFERROR(__xludf.DUMMYFUNCTION("""COMPUTED_VALUE"""),"R51")</f>
        <v>R51</v>
      </c>
      <c r="B2145" s="7" t="str">
        <f>IFERROR(__xludf.DUMMYFUNCTION("""COMPUTED_VALUE"""),"Blockchain Architect")</f>
        <v>Blockchain Architect</v>
      </c>
      <c r="C2145" s="7" t="str">
        <f>IFERROR(__xludf.DUMMYFUNCTION("""COMPUTED_VALUE"""),"S007")</f>
        <v>S007</v>
      </c>
      <c r="D2145" s="7" t="str">
        <f>IFERROR(__xludf.DUMMYFUNCTION("""COMPUTED_VALUE"""),"Trees &amp; Binary Search Trees")</f>
        <v>Trees &amp; Binary Search Trees</v>
      </c>
    </row>
    <row r="2146">
      <c r="A2146" s="7" t="str">
        <f>IFERROR(__xludf.DUMMYFUNCTION("""COMPUTED_VALUE"""),"R51")</f>
        <v>R51</v>
      </c>
      <c r="B2146" s="7" t="str">
        <f>IFERROR(__xludf.DUMMYFUNCTION("""COMPUTED_VALUE"""),"Blockchain Architect")</f>
        <v>Blockchain Architect</v>
      </c>
      <c r="C2146" s="7" t="str">
        <f>IFERROR(__xludf.DUMMYFUNCTION("""COMPUTED_VALUE"""),"S008")</f>
        <v>S008</v>
      </c>
      <c r="D2146" s="7" t="str">
        <f>IFERROR(__xludf.DUMMYFUNCTION("""COMPUTED_VALUE"""),"Heaps, Priority Queues &amp; Hashing")</f>
        <v>Heaps, Priority Queues &amp; Hashing</v>
      </c>
    </row>
    <row r="2147">
      <c r="A2147" s="7" t="str">
        <f>IFERROR(__xludf.DUMMYFUNCTION("""COMPUTED_VALUE"""),"R51")</f>
        <v>R51</v>
      </c>
      <c r="B2147" s="7" t="str">
        <f>IFERROR(__xludf.DUMMYFUNCTION("""COMPUTED_VALUE"""),"Blockchain Architect")</f>
        <v>Blockchain Architect</v>
      </c>
      <c r="C2147" s="7" t="str">
        <f>IFERROR(__xludf.DUMMYFUNCTION("""COMPUTED_VALUE"""),"S009")</f>
        <v>S009</v>
      </c>
      <c r="D2147" s="7" t="str">
        <f>IFERROR(__xludf.DUMMYFUNCTION("""COMPUTED_VALUE"""),"Graphs &amp; Graph Traversal (BFS/DFS)")</f>
        <v>Graphs &amp; Graph Traversal (BFS/DFS)</v>
      </c>
    </row>
    <row r="2148">
      <c r="A2148" s="7" t="str">
        <f>IFERROR(__xludf.DUMMYFUNCTION("""COMPUTED_VALUE"""),"R51")</f>
        <v>R51</v>
      </c>
      <c r="B2148" s="7" t="str">
        <f>IFERROR(__xludf.DUMMYFUNCTION("""COMPUTED_VALUE"""),"Blockchain Architect")</f>
        <v>Blockchain Architect</v>
      </c>
      <c r="C2148" s="7" t="str">
        <f>IFERROR(__xludf.DUMMYFUNCTION("""COMPUTED_VALUE"""),"S010")</f>
        <v>S010</v>
      </c>
      <c r="D2148" s="7" t="str">
        <f>IFERROR(__xludf.DUMMYFUNCTION("""COMPUTED_VALUE"""),"Sorting &amp; Searching Algorithms")</f>
        <v>Sorting &amp; Searching Algorithms</v>
      </c>
    </row>
    <row r="2149">
      <c r="A2149" s="7" t="str">
        <f>IFERROR(__xludf.DUMMYFUNCTION("""COMPUTED_VALUE"""),"R51")</f>
        <v>R51</v>
      </c>
      <c r="B2149" s="7" t="str">
        <f>IFERROR(__xludf.DUMMYFUNCTION("""COMPUTED_VALUE"""),"Blockchain Architect")</f>
        <v>Blockchain Architect</v>
      </c>
      <c r="C2149" s="7" t="str">
        <f>IFERROR(__xludf.DUMMYFUNCTION("""COMPUTED_VALUE"""),"S011")</f>
        <v>S011</v>
      </c>
      <c r="D2149" s="7" t="str">
        <f>IFERROR(__xludf.DUMMYFUNCTION("""COMPUTED_VALUE"""),"Dynamic Programming &amp; Greedy Algorithms")</f>
        <v>Dynamic Programming &amp; Greedy Algorithms</v>
      </c>
    </row>
    <row r="2150">
      <c r="A2150" s="7" t="str">
        <f>IFERROR(__xludf.DUMMYFUNCTION("""COMPUTED_VALUE"""),"R51")</f>
        <v>R51</v>
      </c>
      <c r="B2150" s="7" t="str">
        <f>IFERROR(__xludf.DUMMYFUNCTION("""COMPUTED_VALUE"""),"Blockchain Architect")</f>
        <v>Blockchain Architect</v>
      </c>
      <c r="C2150" s="7" t="str">
        <f>IFERROR(__xludf.DUMMYFUNCTION("""COMPUTED_VALUE"""),"S012")</f>
        <v>S012</v>
      </c>
      <c r="D2150" s="7" t="str">
        <f>IFERROR(__xludf.DUMMYFUNCTION("""COMPUTED_VALUE"""),"Time &amp; Space Complexity (Big-O Analysis)")</f>
        <v>Time &amp; Space Complexity (Big-O Analysis)</v>
      </c>
    </row>
    <row r="2151">
      <c r="A2151" s="7" t="str">
        <f>IFERROR(__xludf.DUMMYFUNCTION("""COMPUTED_VALUE"""),"R51")</f>
        <v>R51</v>
      </c>
      <c r="B2151" s="7" t="str">
        <f>IFERROR(__xludf.DUMMYFUNCTION("""COMPUTED_VALUE"""),"Blockchain Architect")</f>
        <v>Blockchain Architect</v>
      </c>
      <c r="C2151" s="7" t="str">
        <f>IFERROR(__xludf.DUMMYFUNCTION("""COMPUTED_VALUE"""),"S013")</f>
        <v>S013</v>
      </c>
      <c r="D2151" s="7" t="str">
        <f>IFERROR(__xludf.DUMMYFUNCTION("""COMPUTED_VALUE"""),"Object-Oriented Programming (OOP)")</f>
        <v>Object-Oriented Programming (OOP)</v>
      </c>
    </row>
    <row r="2152">
      <c r="A2152" s="7" t="str">
        <f>IFERROR(__xludf.DUMMYFUNCTION("""COMPUTED_VALUE"""),"R51")</f>
        <v>R51</v>
      </c>
      <c r="B2152" s="7" t="str">
        <f>IFERROR(__xludf.DUMMYFUNCTION("""COMPUTED_VALUE"""),"Blockchain Architect")</f>
        <v>Blockchain Architect</v>
      </c>
      <c r="C2152" s="7" t="str">
        <f>IFERROR(__xludf.DUMMYFUNCTION("""COMPUTED_VALUE"""),"S015")</f>
        <v>S015</v>
      </c>
      <c r="D2152" s="7" t="str">
        <f>IFERROR(__xludf.DUMMYFUNCTION("""COMPUTED_VALUE"""),"Software Design Patterns (GoF)")</f>
        <v>Software Design Patterns (GoF)</v>
      </c>
    </row>
    <row r="2153">
      <c r="A2153" s="7" t="str">
        <f>IFERROR(__xludf.DUMMYFUNCTION("""COMPUTED_VALUE"""),"R51")</f>
        <v>R51</v>
      </c>
      <c r="B2153" s="7" t="str">
        <f>IFERROR(__xludf.DUMMYFUNCTION("""COMPUTED_VALUE"""),"Blockchain Architect")</f>
        <v>Blockchain Architect</v>
      </c>
      <c r="C2153" s="7" t="str">
        <f>IFERROR(__xludf.DUMMYFUNCTION("""COMPUTED_VALUE"""),"S016")</f>
        <v>S016</v>
      </c>
      <c r="D2153" s="7" t="str">
        <f>IFERROR(__xludf.DUMMYFUNCTION("""COMPUTED_VALUE"""),"SOLID Principles &amp; Clean Code")</f>
        <v>SOLID Principles &amp; Clean Code</v>
      </c>
    </row>
    <row r="2154">
      <c r="A2154" s="7" t="str">
        <f>IFERROR(__xludf.DUMMYFUNCTION("""COMPUTED_VALUE"""),"R51")</f>
        <v>R51</v>
      </c>
      <c r="B2154" s="7" t="str">
        <f>IFERROR(__xludf.DUMMYFUNCTION("""COMPUTED_VALUE"""),"Blockchain Architect")</f>
        <v>Blockchain Architect</v>
      </c>
      <c r="C2154" s="7" t="str">
        <f>IFERROR(__xludf.DUMMYFUNCTION("""COMPUTED_VALUE"""),"S017")</f>
        <v>S017</v>
      </c>
      <c r="D2154" s="7" t="str">
        <f>IFERROR(__xludf.DUMMYFUNCTION("""COMPUTED_VALUE"""),"Git Version Control Fundamentals")</f>
        <v>Git Version Control Fundamentals</v>
      </c>
    </row>
    <row r="2155">
      <c r="A2155" s="7" t="str">
        <f>IFERROR(__xludf.DUMMYFUNCTION("""COMPUTED_VALUE"""),"R51")</f>
        <v>R51</v>
      </c>
      <c r="B2155" s="7" t="str">
        <f>IFERROR(__xludf.DUMMYFUNCTION("""COMPUTED_VALUE"""),"Blockchain Architect")</f>
        <v>Blockchain Architect</v>
      </c>
      <c r="C2155" s="7" t="str">
        <f>IFERROR(__xludf.DUMMYFUNCTION("""COMPUTED_VALUE"""),"S018")</f>
        <v>S018</v>
      </c>
      <c r="D2155" s="7" t="str">
        <f>IFERROR(__xludf.DUMMYFUNCTION("""COMPUTED_VALUE"""),"GitHub / GitLab Workflows &amp; Pull Requests")</f>
        <v>GitHub / GitLab Workflows &amp; Pull Requests</v>
      </c>
    </row>
    <row r="2156">
      <c r="A2156" s="7" t="str">
        <f>IFERROR(__xludf.DUMMYFUNCTION("""COMPUTED_VALUE"""),"R51")</f>
        <v>R51</v>
      </c>
      <c r="B2156" s="7" t="str">
        <f>IFERROR(__xludf.DUMMYFUNCTION("""COMPUTED_VALUE"""),"Blockchain Architect")</f>
        <v>Blockchain Architect</v>
      </c>
      <c r="C2156" s="7" t="str">
        <f>IFERROR(__xludf.DUMMYFUNCTION("""COMPUTED_VALUE"""),"S019")</f>
        <v>S019</v>
      </c>
      <c r="D2156" s="7" t="str">
        <f>IFERROR(__xludf.DUMMYFUNCTION("""COMPUTED_VALUE"""),"Linux Command Line &amp; File Permissions")</f>
        <v>Linux Command Line &amp; File Permissions</v>
      </c>
    </row>
    <row r="2157">
      <c r="A2157" s="7" t="str">
        <f>IFERROR(__xludf.DUMMYFUNCTION("""COMPUTED_VALUE"""),"R51")</f>
        <v>R51</v>
      </c>
      <c r="B2157" s="7" t="str">
        <f>IFERROR(__xludf.DUMMYFUNCTION("""COMPUTED_VALUE"""),"Blockchain Architect")</f>
        <v>Blockchain Architect</v>
      </c>
      <c r="C2157" s="7" t="str">
        <f>IFERROR(__xludf.DUMMYFUNCTION("""COMPUTED_VALUE"""),"S022")</f>
        <v>S022</v>
      </c>
      <c r="D2157" s="7" t="str">
        <f>IFERROR(__xludf.DUMMYFUNCTION("""COMPUTED_VALUE"""),"Computer Networking &amp; OSI Model")</f>
        <v>Computer Networking &amp; OSI Model</v>
      </c>
    </row>
    <row r="2158">
      <c r="A2158" s="7" t="str">
        <f>IFERROR(__xludf.DUMMYFUNCTION("""COMPUTED_VALUE"""),"R51")</f>
        <v>R51</v>
      </c>
      <c r="B2158" s="7" t="str">
        <f>IFERROR(__xludf.DUMMYFUNCTION("""COMPUTED_VALUE"""),"Blockchain Architect")</f>
        <v>Blockchain Architect</v>
      </c>
      <c r="C2158" s="7" t="str">
        <f>IFERROR(__xludf.DUMMYFUNCTION("""COMPUTED_VALUE"""),"S023")</f>
        <v>S023</v>
      </c>
      <c r="D2158" s="7" t="str">
        <f>IFERROR(__xludf.DUMMYFUNCTION("""COMPUTED_VALUE"""),"HTTP/HTTPS Protocols &amp; Status Codes")</f>
        <v>HTTP/HTTPS Protocols &amp; Status Codes</v>
      </c>
    </row>
    <row r="2159">
      <c r="A2159" s="7" t="str">
        <f>IFERROR(__xludf.DUMMYFUNCTION("""COMPUTED_VALUE"""),"R51")</f>
        <v>R51</v>
      </c>
      <c r="B2159" s="7" t="str">
        <f>IFERROR(__xludf.DUMMYFUNCTION("""COMPUTED_VALUE"""),"Blockchain Architect")</f>
        <v>Blockchain Architect</v>
      </c>
      <c r="C2159" s="7" t="str">
        <f>IFERROR(__xludf.DUMMYFUNCTION("""COMPUTED_VALUE"""),"S024")</f>
        <v>S024</v>
      </c>
      <c r="D2159" s="7" t="str">
        <f>IFERROR(__xludf.DUMMYFUNCTION("""COMPUTED_VALUE"""),"DNS, Domain Routing &amp; SSL/TLS")</f>
        <v>DNS, Domain Routing &amp; SSL/TLS</v>
      </c>
    </row>
    <row r="2160">
      <c r="A2160" s="7" t="str">
        <f>IFERROR(__xludf.DUMMYFUNCTION("""COMPUTED_VALUE"""),"R51")</f>
        <v>R51</v>
      </c>
      <c r="B2160" s="7" t="str">
        <f>IFERROR(__xludf.DUMMYFUNCTION("""COMPUTED_VALUE"""),"Blockchain Architect")</f>
        <v>Blockchain Architect</v>
      </c>
      <c r="C2160" s="7" t="str">
        <f>IFERROR(__xludf.DUMMYFUNCTION("""COMPUTED_VALUE"""),"S026")</f>
        <v>S026</v>
      </c>
      <c r="D2160" s="7" t="str">
        <f>IFERROR(__xludf.DUMMYFUNCTION("""COMPUTED_VALUE"""),"Data Serialization (JSON, XML, YAML, Protobuf)")</f>
        <v>Data Serialization (JSON, XML, YAML, Protobuf)</v>
      </c>
    </row>
    <row r="2161">
      <c r="A2161" s="7" t="str">
        <f>IFERROR(__xludf.DUMMYFUNCTION("""COMPUTED_VALUE"""),"R51")</f>
        <v>R51</v>
      </c>
      <c r="B2161" s="7" t="str">
        <f>IFERROR(__xludf.DUMMYFUNCTION("""COMPUTED_VALUE"""),"Blockchain Architect")</f>
        <v>Blockchain Architect</v>
      </c>
      <c r="C2161" s="7" t="str">
        <f>IFERROR(__xludf.DUMMYFUNCTION("""COMPUTED_VALUE"""),"S028")</f>
        <v>S028</v>
      </c>
      <c r="D2161" s="7" t="str">
        <f>IFERROR(__xludf.DUMMYFUNCTION("""COMPUTED_VALUE"""),"Technical Writing &amp; Markdown Documentation")</f>
        <v>Technical Writing &amp; Markdown Documentation</v>
      </c>
    </row>
    <row r="2162">
      <c r="A2162" s="7" t="str">
        <f>IFERROR(__xludf.DUMMYFUNCTION("""COMPUTED_VALUE"""),"R51")</f>
        <v>R51</v>
      </c>
      <c r="B2162" s="7" t="str">
        <f>IFERROR(__xludf.DUMMYFUNCTION("""COMPUTED_VALUE"""),"Blockchain Architect")</f>
        <v>Blockchain Architect</v>
      </c>
      <c r="C2162" s="7" t="str">
        <f>IFERROR(__xludf.DUMMYFUNCTION("""COMPUTED_VALUE"""),"S030")</f>
        <v>S030</v>
      </c>
      <c r="D2162" s="7" t="str">
        <f>IFERROR(__xludf.DUMMYFUNCTION("""COMPUTED_VALUE"""),"Discrete Mathematics &amp; Boolean Logic")</f>
        <v>Discrete Mathematics &amp; Boolean Logic</v>
      </c>
    </row>
    <row r="2163">
      <c r="A2163" s="7" t="str">
        <f>IFERROR(__xludf.DUMMYFUNCTION("""COMPUTED_VALUE"""),"R51")</f>
        <v>R51</v>
      </c>
      <c r="B2163" s="7" t="str">
        <f>IFERROR(__xludf.DUMMYFUNCTION("""COMPUTED_VALUE"""),"Blockchain Architect")</f>
        <v>Blockchain Architect</v>
      </c>
      <c r="C2163" s="7" t="str">
        <f>IFERROR(__xludf.DUMMYFUNCTION("""COMPUTED_VALUE"""),"S034")</f>
        <v>S034</v>
      </c>
      <c r="D2163" s="7" t="str">
        <f>IFERROR(__xludf.DUMMYFUNCTION("""COMPUTED_VALUE"""),"JavaScript Fundamentals (ES6+)")</f>
        <v>JavaScript Fundamentals (ES6+)</v>
      </c>
    </row>
    <row r="2164">
      <c r="A2164" s="7" t="str">
        <f>IFERROR(__xludf.DUMMYFUNCTION("""COMPUTED_VALUE"""),"R51")</f>
        <v>R51</v>
      </c>
      <c r="B2164" s="7" t="str">
        <f>IFERROR(__xludf.DUMMYFUNCTION("""COMPUTED_VALUE"""),"Blockchain Architect")</f>
        <v>Blockchain Architect</v>
      </c>
      <c r="C2164" s="7" t="str">
        <f>IFERROR(__xludf.DUMMYFUNCTION("""COMPUTED_VALUE"""),"S038")</f>
        <v>S038</v>
      </c>
      <c r="D2164" s="7" t="str">
        <f>IFERROR(__xludf.DUMMYFUNCTION("""COMPUTED_VALUE"""),"TypeScript &amp; Static Typing")</f>
        <v>TypeScript &amp; Static Typing</v>
      </c>
    </row>
    <row r="2165">
      <c r="A2165" s="7" t="str">
        <f>IFERROR(__xludf.DUMMYFUNCTION("""COMPUTED_VALUE"""),"R51")</f>
        <v>R51</v>
      </c>
      <c r="B2165" s="7" t="str">
        <f>IFERROR(__xludf.DUMMYFUNCTION("""COMPUTED_VALUE"""),"Blockchain Architect")</f>
        <v>Blockchain Architect</v>
      </c>
      <c r="C2165" s="7" t="str">
        <f>IFERROR(__xludf.DUMMYFUNCTION("""COMPUTED_VALUE"""),"S039")</f>
        <v>S039</v>
      </c>
      <c r="D2165" s="7" t="str">
        <f>IFERROR(__xludf.DUMMYFUNCTION("""COMPUTED_VALUE"""),"React.js &amp; Hooks Architecture")</f>
        <v>React.js &amp; Hooks Architecture</v>
      </c>
    </row>
    <row r="2166">
      <c r="A2166" s="7" t="str">
        <f>IFERROR(__xludf.DUMMYFUNCTION("""COMPUTED_VALUE"""),"R51")</f>
        <v>R51</v>
      </c>
      <c r="B2166" s="7" t="str">
        <f>IFERROR(__xludf.DUMMYFUNCTION("""COMPUTED_VALUE"""),"Blockchain Architect")</f>
        <v>Blockchain Architect</v>
      </c>
      <c r="C2166" s="7" t="str">
        <f>IFERROR(__xludf.DUMMYFUNCTION("""COMPUTED_VALUE"""),"S043")</f>
        <v>S043</v>
      </c>
      <c r="D2166" s="7" t="str">
        <f>IFERROR(__xludf.DUMMYFUNCTION("""COMPUTED_VALUE"""),"Next.js (SSR, SSG &amp; App Router)")</f>
        <v>Next.js (SSR, SSG &amp; App Router)</v>
      </c>
    </row>
    <row r="2167">
      <c r="A2167" s="7" t="str">
        <f>IFERROR(__xludf.DUMMYFUNCTION("""COMPUTED_VALUE"""),"R51")</f>
        <v>R51</v>
      </c>
      <c r="B2167" s="7" t="str">
        <f>IFERROR(__xludf.DUMMYFUNCTION("""COMPUTED_VALUE"""),"Blockchain Architect")</f>
        <v>Blockchain Architect</v>
      </c>
      <c r="C2167" s="7" t="str">
        <f>IFERROR(__xludf.DUMMYFUNCTION("""COMPUTED_VALUE"""),"S068")</f>
        <v>S068</v>
      </c>
      <c r="D2167" s="7" t="str">
        <f>IFERROR(__xludf.DUMMYFUNCTION("""COMPUTED_VALUE"""),"Python Programming Fundamentals")</f>
        <v>Python Programming Fundamentals</v>
      </c>
    </row>
    <row r="2168">
      <c r="A2168" s="7" t="str">
        <f>IFERROR(__xludf.DUMMYFUNCTION("""COMPUTED_VALUE"""),"R51")</f>
        <v>R51</v>
      </c>
      <c r="B2168" s="7" t="str">
        <f>IFERROR(__xludf.DUMMYFUNCTION("""COMPUTED_VALUE"""),"Blockchain Architect")</f>
        <v>Blockchain Architect</v>
      </c>
      <c r="C2168" s="7" t="str">
        <f>IFERROR(__xludf.DUMMYFUNCTION("""COMPUTED_VALUE"""),"S072")</f>
        <v>S072</v>
      </c>
      <c r="D2168" s="7" t="str">
        <f>IFERROR(__xludf.DUMMYFUNCTION("""COMPUTED_VALUE"""),"Node.js Runtime &amp; Event Loop")</f>
        <v>Node.js Runtime &amp; Event Loop</v>
      </c>
    </row>
    <row r="2169">
      <c r="A2169" s="7" t="str">
        <f>IFERROR(__xludf.DUMMYFUNCTION("""COMPUTED_VALUE"""),"R51")</f>
        <v>R51</v>
      </c>
      <c r="B2169" s="7" t="str">
        <f>IFERROR(__xludf.DUMMYFUNCTION("""COMPUTED_VALUE"""),"Blockchain Architect")</f>
        <v>Blockchain Architect</v>
      </c>
      <c r="C2169" s="7" t="str">
        <f>IFERROR(__xludf.DUMMYFUNCTION("""COMPUTED_VALUE"""),"S077")</f>
        <v>S077</v>
      </c>
      <c r="D2169" s="7" t="str">
        <f>IFERROR(__xludf.DUMMYFUNCTION("""COMPUTED_VALUE"""),"Go (Golang) Programming")</f>
        <v>Go (Golang) Programming</v>
      </c>
    </row>
    <row r="2170">
      <c r="A2170" s="7" t="str">
        <f>IFERROR(__xludf.DUMMYFUNCTION("""COMPUTED_VALUE"""),"R51")</f>
        <v>R51</v>
      </c>
      <c r="B2170" s="7" t="str">
        <f>IFERROR(__xludf.DUMMYFUNCTION("""COMPUTED_VALUE"""),"Blockchain Architect")</f>
        <v>Blockchain Architect</v>
      </c>
      <c r="C2170" s="7" t="str">
        <f>IFERROR(__xludf.DUMMYFUNCTION("""COMPUTED_VALUE"""),"S078")</f>
        <v>S078</v>
      </c>
      <c r="D2170" s="7" t="str">
        <f>IFERROR(__xludf.DUMMYFUNCTION("""COMPUTED_VALUE"""),"Rust Systems &amp; Web Programming")</f>
        <v>Rust Systems &amp; Web Programming</v>
      </c>
    </row>
    <row r="2171">
      <c r="A2171" s="7" t="str">
        <f>IFERROR(__xludf.DUMMYFUNCTION("""COMPUTED_VALUE"""),"R51")</f>
        <v>R51</v>
      </c>
      <c r="B2171" s="7" t="str">
        <f>IFERROR(__xludf.DUMMYFUNCTION("""COMPUTED_VALUE"""),"Blockchain Architect")</f>
        <v>Blockchain Architect</v>
      </c>
      <c r="C2171" s="7" t="str">
        <f>IFERROR(__xludf.DUMMYFUNCTION("""COMPUTED_VALUE"""),"S082")</f>
        <v>S082</v>
      </c>
      <c r="D2171" s="7" t="str">
        <f>IFERROR(__xludf.DUMMYFUNCTION("""COMPUTED_VALUE"""),"C Programming &amp; Pointers")</f>
        <v>C Programming &amp; Pointers</v>
      </c>
    </row>
    <row r="2172">
      <c r="A2172" s="7" t="str">
        <f>IFERROR(__xludf.DUMMYFUNCTION("""COMPUTED_VALUE"""),"R51")</f>
        <v>R51</v>
      </c>
      <c r="B2172" s="7" t="str">
        <f>IFERROR(__xludf.DUMMYFUNCTION("""COMPUTED_VALUE"""),"Blockchain Architect")</f>
        <v>Blockchain Architect</v>
      </c>
      <c r="C2172" s="7" t="str">
        <f>IFERROR(__xludf.DUMMYFUNCTION("""COMPUTED_VALUE"""),"S083")</f>
        <v>S083</v>
      </c>
      <c r="D2172" s="7" t="str">
        <f>IFERROR(__xludf.DUMMYFUNCTION("""COMPUTED_VALUE"""),"C++ &amp; Standard Template Library (STL)")</f>
        <v>C++ &amp; Standard Template Library (STL)</v>
      </c>
    </row>
    <row r="2173">
      <c r="A2173" s="7" t="str">
        <f>IFERROR(__xludf.DUMMYFUNCTION("""COMPUTED_VALUE"""),"R51")</f>
        <v>R51</v>
      </c>
      <c r="B2173" s="7" t="str">
        <f>IFERROR(__xludf.DUMMYFUNCTION("""COMPUTED_VALUE"""),"Blockchain Architect")</f>
        <v>Blockchain Architect</v>
      </c>
      <c r="C2173" s="7" t="str">
        <f>IFERROR(__xludf.DUMMYFUNCTION("""COMPUTED_VALUE"""),"S086")</f>
        <v>S086</v>
      </c>
      <c r="D2173" s="7" t="str">
        <f>IFERROR(__xludf.DUMMYFUNCTION("""COMPUTED_VALUE"""),"RESTful API Design &amp; OpenAPI/Swagger")</f>
        <v>RESTful API Design &amp; OpenAPI/Swagger</v>
      </c>
    </row>
    <row r="2174">
      <c r="A2174" s="7" t="str">
        <f>IFERROR(__xludf.DUMMYFUNCTION("""COMPUTED_VALUE"""),"R51")</f>
        <v>R51</v>
      </c>
      <c r="B2174" s="7" t="str">
        <f>IFERROR(__xludf.DUMMYFUNCTION("""COMPUTED_VALUE"""),"Blockchain Architect")</f>
        <v>Blockchain Architect</v>
      </c>
      <c r="C2174" s="7" t="str">
        <f>IFERROR(__xludf.DUMMYFUNCTION("""COMPUTED_VALUE"""),"S088")</f>
        <v>S088</v>
      </c>
      <c r="D2174" s="7" t="str">
        <f>IFERROR(__xludf.DUMMYFUNCTION("""COMPUTED_VALUE"""),"gRPC &amp; Protocol Buffers")</f>
        <v>gRPC &amp; Protocol Buffers</v>
      </c>
    </row>
    <row r="2175">
      <c r="A2175" s="7" t="str">
        <f>IFERROR(__xludf.DUMMYFUNCTION("""COMPUTED_VALUE"""),"R51")</f>
        <v>R51</v>
      </c>
      <c r="B2175" s="7" t="str">
        <f>IFERROR(__xludf.DUMMYFUNCTION("""COMPUTED_VALUE"""),"Blockchain Architect")</f>
        <v>Blockchain Architect</v>
      </c>
      <c r="C2175" s="7" t="str">
        <f>IFERROR(__xludf.DUMMYFUNCTION("""COMPUTED_VALUE"""),"S089")</f>
        <v>S089</v>
      </c>
      <c r="D2175" s="7" t="str">
        <f>IFERROR(__xludf.DUMMYFUNCTION("""COMPUTED_VALUE"""),"WebSockets &amp; Real-Time Communication (Socket.io)")</f>
        <v>WebSockets &amp; Real-Time Communication (Socket.io)</v>
      </c>
    </row>
    <row r="2176">
      <c r="A2176" s="7" t="str">
        <f>IFERROR(__xludf.DUMMYFUNCTION("""COMPUTED_VALUE"""),"R51")</f>
        <v>R51</v>
      </c>
      <c r="B2176" s="7" t="str">
        <f>IFERROR(__xludf.DUMMYFUNCTION("""COMPUTED_VALUE"""),"Blockchain Architect")</f>
        <v>Blockchain Architect</v>
      </c>
      <c r="C2176" s="7" t="str">
        <f>IFERROR(__xludf.DUMMYFUNCTION("""COMPUTED_VALUE"""),"S095")</f>
        <v>S095</v>
      </c>
      <c r="D2176" s="7" t="str">
        <f>IFERROR(__xludf.DUMMYFUNCTION("""COMPUTED_VALUE"""),"Microservices Architecture &amp; Service Mesh")</f>
        <v>Microservices Architecture &amp; Service Mesh</v>
      </c>
    </row>
    <row r="2177">
      <c r="A2177" s="7" t="str">
        <f>IFERROR(__xludf.DUMMYFUNCTION("""COMPUTED_VALUE"""),"R51")</f>
        <v>R51</v>
      </c>
      <c r="B2177" s="7" t="str">
        <f>IFERROR(__xludf.DUMMYFUNCTION("""COMPUTED_VALUE"""),"Blockchain Architect")</f>
        <v>Blockchain Architect</v>
      </c>
      <c r="C2177" s="7" t="str">
        <f>IFERROR(__xludf.DUMMYFUNCTION("""COMPUTED_VALUE"""),"S096")</f>
        <v>S096</v>
      </c>
      <c r="D2177" s="7" t="str">
        <f>IFERROR(__xludf.DUMMYFUNCTION("""COMPUTED_VALUE"""),"Event-Driven Architecture &amp; Pub/Sub Patterns")</f>
        <v>Event-Driven Architecture &amp; Pub/Sub Patterns</v>
      </c>
    </row>
    <row r="2178">
      <c r="A2178" s="7" t="str">
        <f>IFERROR(__xludf.DUMMYFUNCTION("""COMPUTED_VALUE"""),"R51")</f>
        <v>R51</v>
      </c>
      <c r="B2178" s="7" t="str">
        <f>IFERROR(__xludf.DUMMYFUNCTION("""COMPUTED_VALUE"""),"Blockchain Architect")</f>
        <v>Blockchain Architect</v>
      </c>
      <c r="C2178" s="7" t="str">
        <f>IFERROR(__xludf.DUMMYFUNCTION("""COMPUTED_VALUE"""),"S100")</f>
        <v>S100</v>
      </c>
      <c r="D2178" s="7" t="str">
        <f>IFERROR(__xludf.DUMMYFUNCTION("""COMPUTED_VALUE"""),"Multithreading, Concurrency &amp; Parallel Processing")</f>
        <v>Multithreading, Concurrency &amp; Parallel Processing</v>
      </c>
    </row>
    <row r="2179">
      <c r="A2179" s="7" t="str">
        <f>IFERROR(__xludf.DUMMYFUNCTION("""COMPUTED_VALUE"""),"R51")</f>
        <v>R51</v>
      </c>
      <c r="B2179" s="7" t="str">
        <f>IFERROR(__xludf.DUMMYFUNCTION("""COMPUTED_VALUE"""),"Blockchain Architect")</f>
        <v>Blockchain Architect</v>
      </c>
      <c r="C2179" s="7" t="str">
        <f>IFERROR(__xludf.DUMMYFUNCTION("""COMPUTED_VALUE"""),"S102")</f>
        <v>S102</v>
      </c>
      <c r="D2179" s="7" t="str">
        <f>IFERROR(__xludf.DUMMYFUNCTION("""COMPUTED_VALUE"""),"Backend Unit &amp; Integration Testing (JUnit, PyTest, Mocha)")</f>
        <v>Backend Unit &amp; Integration Testing (JUnit, PyTest, Mocha)</v>
      </c>
    </row>
    <row r="2180">
      <c r="A2180" s="7" t="str">
        <f>IFERROR(__xludf.DUMMYFUNCTION("""COMPUTED_VALUE"""),"R51")</f>
        <v>R51</v>
      </c>
      <c r="B2180" s="7" t="str">
        <f>IFERROR(__xludf.DUMMYFUNCTION("""COMPUTED_VALUE"""),"Blockchain Architect")</f>
        <v>Blockchain Architect</v>
      </c>
      <c r="C2180" s="7" t="str">
        <f>IFERROR(__xludf.DUMMYFUNCTION("""COMPUTED_VALUE"""),"S109")</f>
        <v>S109</v>
      </c>
      <c r="D2180" s="7" t="str">
        <f>IFERROR(__xludf.DUMMYFUNCTION("""COMPUTED_VALUE"""),"PostgreSQL Administration &amp; Development")</f>
        <v>PostgreSQL Administration &amp; Development</v>
      </c>
    </row>
    <row r="2181">
      <c r="A2181" s="7" t="str">
        <f>IFERROR(__xludf.DUMMYFUNCTION("""COMPUTED_VALUE"""),"R51")</f>
        <v>R51</v>
      </c>
      <c r="B2181" s="7" t="str">
        <f>IFERROR(__xludf.DUMMYFUNCTION("""COMPUTED_VALUE"""),"Blockchain Architect")</f>
        <v>Blockchain Architect</v>
      </c>
      <c r="C2181" s="7" t="str">
        <f>IFERROR(__xludf.DUMMYFUNCTION("""COMPUTED_VALUE"""),"S119")</f>
        <v>S119</v>
      </c>
      <c r="D2181" s="7" t="str">
        <f>IFERROR(__xludf.DUMMYFUNCTION("""COMPUTED_VALUE"""),"Document Databases (MongoDB)")</f>
        <v>Document Databases (MongoDB)</v>
      </c>
    </row>
    <row r="2182">
      <c r="A2182" s="7" t="str">
        <f>IFERROR(__xludf.DUMMYFUNCTION("""COMPUTED_VALUE"""),"R51")</f>
        <v>R51</v>
      </c>
      <c r="B2182" s="7" t="str">
        <f>IFERROR(__xludf.DUMMYFUNCTION("""COMPUTED_VALUE"""),"Blockchain Architect")</f>
        <v>Blockchain Architect</v>
      </c>
      <c r="C2182" s="7" t="str">
        <f>IFERROR(__xludf.DUMMYFUNCTION("""COMPUTED_VALUE"""),"S120")</f>
        <v>S120</v>
      </c>
      <c r="D2182" s="7" t="str">
        <f>IFERROR(__xludf.DUMMYFUNCTION("""COMPUTED_VALUE"""),"Key-Value Stores &amp; In-Memory DBs (Redis, Memcached)")</f>
        <v>Key-Value Stores &amp; In-Memory DBs (Redis, Memcached)</v>
      </c>
    </row>
    <row r="2183">
      <c r="A2183" s="7" t="str">
        <f>IFERROR(__xludf.DUMMYFUNCTION("""COMPUTED_VALUE"""),"R51")</f>
        <v>R51</v>
      </c>
      <c r="B2183" s="7" t="str">
        <f>IFERROR(__xludf.DUMMYFUNCTION("""COMPUTED_VALUE"""),"Blockchain Architect")</f>
        <v>Blockchain Architect</v>
      </c>
      <c r="C2183" s="7" t="str">
        <f>IFERROR(__xludf.DUMMYFUNCTION("""COMPUTED_VALUE"""),"S123")</f>
        <v>S123</v>
      </c>
      <c r="D2183" s="7" t="str">
        <f>IFERROR(__xludf.DUMMYFUNCTION("""COMPUTED_VALUE"""),"Graph Databases &amp; Cypher (Neo4j)")</f>
        <v>Graph Databases &amp; Cypher (Neo4j)</v>
      </c>
    </row>
    <row r="2184">
      <c r="A2184" s="7" t="str">
        <f>IFERROR(__xludf.DUMMYFUNCTION("""COMPUTED_VALUE"""),"R51")</f>
        <v>R51</v>
      </c>
      <c r="B2184" s="7" t="str">
        <f>IFERROR(__xludf.DUMMYFUNCTION("""COMPUTED_VALUE"""),"Blockchain Architect")</f>
        <v>Blockchain Architect</v>
      </c>
      <c r="C2184" s="7" t="str">
        <f>IFERROR(__xludf.DUMMYFUNCTION("""COMPUTED_VALUE"""),"S171")</f>
        <v>S171</v>
      </c>
      <c r="D2184" s="7" t="str">
        <f>IFERROR(__xludf.DUMMYFUNCTION("""COMPUTED_VALUE"""),"Containerization with Docker")</f>
        <v>Containerization with Docker</v>
      </c>
    </row>
    <row r="2185">
      <c r="A2185" s="7" t="str">
        <f>IFERROR(__xludf.DUMMYFUNCTION("""COMPUTED_VALUE"""),"R51")</f>
        <v>R51</v>
      </c>
      <c r="B2185" s="7" t="str">
        <f>IFERROR(__xludf.DUMMYFUNCTION("""COMPUTED_VALUE"""),"Blockchain Architect")</f>
        <v>Blockchain Architect</v>
      </c>
      <c r="C2185" s="7" t="str">
        <f>IFERROR(__xludf.DUMMYFUNCTION("""COMPUTED_VALUE"""),"S172")</f>
        <v>S172</v>
      </c>
      <c r="D2185" s="7" t="str">
        <f>IFERROR(__xludf.DUMMYFUNCTION("""COMPUTED_VALUE"""),"Kubernetes Cluster Orchestration (K8s)")</f>
        <v>Kubernetes Cluster Orchestration (K8s)</v>
      </c>
    </row>
    <row r="2186">
      <c r="A2186" s="7" t="str">
        <f>IFERROR(__xludf.DUMMYFUNCTION("""COMPUTED_VALUE"""),"R51")</f>
        <v>R51</v>
      </c>
      <c r="B2186" s="7" t="str">
        <f>IFERROR(__xludf.DUMMYFUNCTION("""COMPUTED_VALUE"""),"Blockchain Architect")</f>
        <v>Blockchain Architect</v>
      </c>
      <c r="C2186" s="7" t="str">
        <f>IFERROR(__xludf.DUMMYFUNCTION("""COMPUTED_VALUE"""),"S174")</f>
        <v>S174</v>
      </c>
      <c r="D2186" s="7" t="str">
        <f>IFERROR(__xludf.DUMMYFUNCTION("""COMPUTED_VALUE"""),"Amazon Web Services Core (EC2, S3, RDS, IAM, VPC)")</f>
        <v>Amazon Web Services Core (EC2, S3, RDS, IAM, VPC)</v>
      </c>
    </row>
    <row r="2187">
      <c r="A2187" s="7" t="str">
        <f>IFERROR(__xludf.DUMMYFUNCTION("""COMPUTED_VALUE"""),"R51")</f>
        <v>R51</v>
      </c>
      <c r="B2187" s="7" t="str">
        <f>IFERROR(__xludf.DUMMYFUNCTION("""COMPUTED_VALUE"""),"Blockchain Architect")</f>
        <v>Blockchain Architect</v>
      </c>
      <c r="C2187" s="7" t="str">
        <f>IFERROR(__xludf.DUMMYFUNCTION("""COMPUTED_VALUE"""),"S178")</f>
        <v>S178</v>
      </c>
      <c r="D2187" s="7" t="str">
        <f>IFERROR(__xludf.DUMMYFUNCTION("""COMPUTED_VALUE"""),"Infrastructure as Code (Terraform &amp; OpenTofu)")</f>
        <v>Infrastructure as Code (Terraform &amp; OpenTofu)</v>
      </c>
    </row>
    <row r="2188">
      <c r="A2188" s="7" t="str">
        <f>IFERROR(__xludf.DUMMYFUNCTION("""COMPUTED_VALUE"""),"R51")</f>
        <v>R51</v>
      </c>
      <c r="B2188" s="7" t="str">
        <f>IFERROR(__xludf.DUMMYFUNCTION("""COMPUTED_VALUE"""),"Blockchain Architect")</f>
        <v>Blockchain Architect</v>
      </c>
      <c r="C2188" s="7" t="str">
        <f>IFERROR(__xludf.DUMMYFUNCTION("""COMPUTED_VALUE"""),"S180")</f>
        <v>S180</v>
      </c>
      <c r="D2188" s="7" t="str">
        <f>IFERROR(__xludf.DUMMYFUNCTION("""COMPUTED_VALUE"""),"CI/CD Pipelines with GitHub Actions")</f>
        <v>CI/CD Pipelines with GitHub Actions</v>
      </c>
    </row>
    <row r="2189">
      <c r="A2189" s="7" t="str">
        <f>IFERROR(__xludf.DUMMYFUNCTION("""COMPUTED_VALUE"""),"R51")</f>
        <v>R51</v>
      </c>
      <c r="B2189" s="7" t="str">
        <f>IFERROR(__xludf.DUMMYFUNCTION("""COMPUTED_VALUE"""),"Blockchain Architect")</f>
        <v>Blockchain Architect</v>
      </c>
      <c r="C2189" s="7" t="str">
        <f>IFERROR(__xludf.DUMMYFUNCTION("""COMPUTED_VALUE"""),"S200")</f>
        <v>S200</v>
      </c>
      <c r="D2189" s="7" t="str">
        <f>IFERROR(__xludf.DUMMYFUNCTION("""COMPUTED_VALUE"""),"Web Application Security &amp; OWASP Top 10")</f>
        <v>Web Application Security &amp; OWASP Top 10</v>
      </c>
    </row>
    <row r="2190">
      <c r="A2190" s="7" t="str">
        <f>IFERROR(__xludf.DUMMYFUNCTION("""COMPUTED_VALUE"""),"R51")</f>
        <v>R51</v>
      </c>
      <c r="B2190" s="7" t="str">
        <f>IFERROR(__xludf.DUMMYFUNCTION("""COMPUTED_VALUE"""),"Blockchain Architect")</f>
        <v>Blockchain Architect</v>
      </c>
      <c r="C2190" s="7" t="str">
        <f>IFERROR(__xludf.DUMMYFUNCTION("""COMPUTED_VALUE"""),"S209")</f>
        <v>S209</v>
      </c>
      <c r="D2190" s="7" t="str">
        <f>IFERROR(__xludf.DUMMYFUNCTION("""COMPUTED_VALUE"""),"Applied Cryptography, Hashing &amp; PKI Certificates")</f>
        <v>Applied Cryptography, Hashing &amp; PKI Certificates</v>
      </c>
    </row>
    <row r="2191">
      <c r="A2191" s="7" t="str">
        <f>IFERROR(__xludf.DUMMYFUNCTION("""COMPUTED_VALUE"""),"R51")</f>
        <v>R51</v>
      </c>
      <c r="B2191" s="7" t="str">
        <f>IFERROR(__xludf.DUMMYFUNCTION("""COMPUTED_VALUE"""),"Blockchain Architect")</f>
        <v>Blockchain Architect</v>
      </c>
      <c r="C2191" s="7" t="str">
        <f>IFERROR(__xludf.DUMMYFUNCTION("""COMPUTED_VALUE"""),"S211")</f>
        <v>S211</v>
      </c>
      <c r="D2191" s="7" t="str">
        <f>IFERROR(__xludf.DUMMYFUNCTION("""COMPUTED_VALUE"""),"Zero Trust Network Architecture")</f>
        <v>Zero Trust Network Architecture</v>
      </c>
    </row>
    <row r="2192">
      <c r="A2192" s="7" t="str">
        <f>IFERROR(__xludf.DUMMYFUNCTION("""COMPUTED_VALUE"""),"R51")</f>
        <v>R51</v>
      </c>
      <c r="B2192" s="7" t="str">
        <f>IFERROR(__xludf.DUMMYFUNCTION("""COMPUTED_VALUE"""),"Blockchain Architect")</f>
        <v>Blockchain Architect</v>
      </c>
      <c r="C2192" s="7" t="str">
        <f>IFERROR(__xludf.DUMMYFUNCTION("""COMPUTED_VALUE"""),"S215")</f>
        <v>S215</v>
      </c>
      <c r="D2192" s="7" t="str">
        <f>IFERROR(__xludf.DUMMYFUNCTION("""COMPUTED_VALUE"""),"Secrets Management (HashiCorp Vault, AWS Secrets Manager)")</f>
        <v>Secrets Management (HashiCorp Vault, AWS Secrets Manager)</v>
      </c>
    </row>
    <row r="2193">
      <c r="A2193" s="7" t="str">
        <f>IFERROR(__xludf.DUMMYFUNCTION("""COMPUTED_VALUE"""),"R51")</f>
        <v>R51</v>
      </c>
      <c r="B2193" s="7" t="str">
        <f>IFERROR(__xludf.DUMMYFUNCTION("""COMPUTED_VALUE"""),"Blockchain Architect")</f>
        <v>Blockchain Architect</v>
      </c>
      <c r="C2193" s="7" t="str">
        <f>IFERROR(__xludf.DUMMYFUNCTION("""COMPUTED_VALUE"""),"S216")</f>
        <v>S216</v>
      </c>
      <c r="D2193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2194">
      <c r="A2194" s="7" t="str">
        <f>IFERROR(__xludf.DUMMYFUNCTION("""COMPUTED_VALUE"""),"R51")</f>
        <v>R51</v>
      </c>
      <c r="B2194" s="7" t="str">
        <f>IFERROR(__xludf.DUMMYFUNCTION("""COMPUTED_VALUE"""),"Blockchain Architect")</f>
        <v>Blockchain Architect</v>
      </c>
      <c r="C2194" s="7" t="str">
        <f>IFERROR(__xludf.DUMMYFUNCTION("""COMPUTED_VALUE"""),"S219")</f>
        <v>S219</v>
      </c>
      <c r="D2194" s="7" t="str">
        <f>IFERROR(__xludf.DUMMYFUNCTION("""COMPUTED_VALUE"""),"Secure Coding Practices &amp; Threat Mitigation")</f>
        <v>Secure Coding Practices &amp; Threat Mitigation</v>
      </c>
    </row>
    <row r="2195">
      <c r="A2195" s="7" t="str">
        <f>IFERROR(__xludf.DUMMYFUNCTION("""COMPUTED_VALUE"""),"R51")</f>
        <v>R51</v>
      </c>
      <c r="B2195" s="7" t="str">
        <f>IFERROR(__xludf.DUMMYFUNCTION("""COMPUTED_VALUE"""),"Blockchain Architect")</f>
        <v>Blockchain Architect</v>
      </c>
      <c r="C2195" s="7" t="str">
        <f>IFERROR(__xludf.DUMMYFUNCTION("""COMPUTED_VALUE"""),"S237")</f>
        <v>S237</v>
      </c>
      <c r="D2195" s="7" t="str">
        <f>IFERROR(__xludf.DUMMYFUNCTION("""COMPUTED_VALUE"""),"Blockchain Architecture, Consensus &amp; Distributed Ledgers")</f>
        <v>Blockchain Architecture, Consensus &amp; Distributed Ledgers</v>
      </c>
    </row>
    <row r="2196">
      <c r="A2196" s="7" t="str">
        <f>IFERROR(__xludf.DUMMYFUNCTION("""COMPUTED_VALUE"""),"R51")</f>
        <v>R51</v>
      </c>
      <c r="B2196" s="7" t="str">
        <f>IFERROR(__xludf.DUMMYFUNCTION("""COMPUTED_VALUE"""),"Blockchain Architect")</f>
        <v>Blockchain Architect</v>
      </c>
      <c r="C2196" s="7" t="str">
        <f>IFERROR(__xludf.DUMMYFUNCTION("""COMPUTED_VALUE"""),"S238")</f>
        <v>S238</v>
      </c>
      <c r="D2196" s="7" t="str">
        <f>IFERROR(__xludf.DUMMYFUNCTION("""COMPUTED_VALUE"""),"Smart Contract Development &amp; Auditing (Solidity, Hardhat, Foundry)")</f>
        <v>Smart Contract Development &amp; Auditing (Solidity, Hardhat, Foundry)</v>
      </c>
    </row>
    <row r="2197">
      <c r="A2197" s="7" t="str">
        <f>IFERROR(__xludf.DUMMYFUNCTION("""COMPUTED_VALUE"""),"R51")</f>
        <v>R51</v>
      </c>
      <c r="B2197" s="7" t="str">
        <f>IFERROR(__xludf.DUMMYFUNCTION("""COMPUTED_VALUE"""),"Blockchain Architect")</f>
        <v>Blockchain Architect</v>
      </c>
      <c r="C2197" s="7" t="str">
        <f>IFERROR(__xludf.DUMMYFUNCTION("""COMPUTED_VALUE"""),"S239")</f>
        <v>S239</v>
      </c>
      <c r="D2197" s="7" t="str">
        <f>IFERROR(__xludf.DUMMYFUNCTION("""COMPUTED_VALUE"""),"Decentralized Application Integration (Web3 Libraries &amp; Wallet Connect)")</f>
        <v>Decentralized Application Integration (Web3 Libraries &amp; Wallet Connect)</v>
      </c>
    </row>
    <row r="2198">
      <c r="A2198" s="7" t="str">
        <f>IFERROR(__xludf.DUMMYFUNCTION("""COMPUTED_VALUE"""),"R51")</f>
        <v>R51</v>
      </c>
      <c r="B2198" s="7" t="str">
        <f>IFERROR(__xludf.DUMMYFUNCTION("""COMPUTED_VALUE"""),"Blockchain Architect")</f>
        <v>Blockchain Architect</v>
      </c>
      <c r="C2198" s="7" t="str">
        <f>IFERROR(__xludf.DUMMYFUNCTION("""COMPUTED_VALUE"""),"S243")</f>
        <v>S243</v>
      </c>
      <c r="D2198" s="7" t="str">
        <f>IFERROR(__xludf.DUMMYFUNCTION("""COMPUTED_VALUE"""),"Large-Scale System Design &amp; High-Scalability Architecture")</f>
        <v>Large-Scale System Design &amp; High-Scalability Architecture</v>
      </c>
    </row>
    <row r="2199">
      <c r="A2199" s="7" t="str">
        <f>IFERROR(__xludf.DUMMYFUNCTION("""COMPUTED_VALUE"""),"R51")</f>
        <v>R51</v>
      </c>
      <c r="B2199" s="7" t="str">
        <f>IFERROR(__xludf.DUMMYFUNCTION("""COMPUTED_VALUE"""),"Blockchain Architect")</f>
        <v>Blockchain Architect</v>
      </c>
      <c r="C2199" s="7" t="str">
        <f>IFERROR(__xludf.DUMMYFUNCTION("""COMPUTED_VALUE"""),"S244")</f>
        <v>S244</v>
      </c>
      <c r="D2199" s="7" t="str">
        <f>IFERROR(__xludf.DUMMYFUNCTION("""COMPUTED_VALUE"""),"Distributed Systems Theory (CAP Theorem, Consensus, Raft/Paxos)")</f>
        <v>Distributed Systems Theory (CAP Theorem, Consensus, Raft/Paxos)</v>
      </c>
    </row>
    <row r="2200">
      <c r="A2200" s="7" t="str">
        <f>IFERROR(__xludf.DUMMYFUNCTION("""COMPUTED_VALUE"""),"R51")</f>
        <v>R51</v>
      </c>
      <c r="B2200" s="7" t="str">
        <f>IFERROR(__xludf.DUMMYFUNCTION("""COMPUTED_VALUE"""),"Blockchain Architect")</f>
        <v>Blockchain Architect</v>
      </c>
      <c r="C2200" s="7" t="str">
        <f>IFERROR(__xludf.DUMMYFUNCTION("""COMPUTED_VALUE"""),"S245")</f>
        <v>S245</v>
      </c>
      <c r="D2200" s="7" t="str">
        <f>IFERROR(__xludf.DUMMYFUNCTION("""COMPUTED_VALUE"""),"Enterprise Architecture Frameworks (TOGAF, Domain-Driven Design)")</f>
        <v>Enterprise Architecture Frameworks (TOGAF, Domain-Driven Design)</v>
      </c>
    </row>
    <row r="2201">
      <c r="A2201" s="7" t="str">
        <f>IFERROR(__xludf.DUMMYFUNCTION("""COMPUTED_VALUE"""),"R51")</f>
        <v>R51</v>
      </c>
      <c r="B2201" s="7" t="str">
        <f>IFERROR(__xludf.DUMMYFUNCTION("""COMPUTED_VALUE"""),"Blockchain Architect")</f>
        <v>Blockchain Architect</v>
      </c>
      <c r="C2201" s="7" t="str">
        <f>IFERROR(__xludf.DUMMYFUNCTION("""COMPUTED_VALUE"""),"S246")</f>
        <v>S246</v>
      </c>
      <c r="D2201" s="7" t="str">
        <f>IFERROR(__xludf.DUMMYFUNCTION("""COMPUTED_VALUE"""),"Agile Methodologies, Scrum Framework &amp; Kanban")</f>
        <v>Agile Methodologies, Scrum Framework &amp; Kanban</v>
      </c>
    </row>
    <row r="2202">
      <c r="A2202" s="7" t="str">
        <f>IFERROR(__xludf.DUMMYFUNCTION("""COMPUTED_VALUE"""),"R51")</f>
        <v>R51</v>
      </c>
      <c r="B2202" s="7" t="str">
        <f>IFERROR(__xludf.DUMMYFUNCTION("""COMPUTED_VALUE"""),"Blockchain Architect")</f>
        <v>Blockchain Architect</v>
      </c>
      <c r="C2202" s="7" t="str">
        <f>IFERROR(__xludf.DUMMYFUNCTION("""COMPUTED_VALUE"""),"S247")</f>
        <v>S247</v>
      </c>
      <c r="D2202" s="7" t="str">
        <f>IFERROR(__xludf.DUMMYFUNCTION("""COMPUTED_VALUE"""),"Project Tracking &amp; Documentation Tools (Jira, Confluence, Linear)")</f>
        <v>Project Tracking &amp; Documentation Tools (Jira, Confluence, Linear)</v>
      </c>
    </row>
    <row r="2203">
      <c r="A2203" s="7" t="str">
        <f>IFERROR(__xludf.DUMMYFUNCTION("""COMPUTED_VALUE"""),"R51")</f>
        <v>R51</v>
      </c>
      <c r="B2203" s="7" t="str">
        <f>IFERROR(__xludf.DUMMYFUNCTION("""COMPUTED_VALUE"""),"Blockchain Architect")</f>
        <v>Blockchain Architect</v>
      </c>
      <c r="C2203" s="7" t="str">
        <f>IFERROR(__xludf.DUMMYFUNCTION("""COMPUTED_VALUE"""),"S250")</f>
        <v>S250</v>
      </c>
      <c r="D2203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2204">
      <c r="A2204" s="7" t="str">
        <f>IFERROR(__xludf.DUMMYFUNCTION("""COMPUTED_VALUE"""),"R52")</f>
        <v>R52</v>
      </c>
      <c r="B2204" s="7" t="str">
        <f>IFERROR(__xludf.DUMMYFUNCTION("""COMPUTED_VALUE"""),"IoT Solutions Engineer")</f>
        <v>IoT Solutions Engineer</v>
      </c>
      <c r="C2204" s="7" t="str">
        <f>IFERROR(__xludf.DUMMYFUNCTION("""COMPUTED_VALUE"""),"S001")</f>
        <v>S001</v>
      </c>
      <c r="D2204" s="7" t="str">
        <f>IFERROR(__xludf.DUMMYFUNCTION("""COMPUTED_VALUE"""),"Computer Architecture &amp; Organization")</f>
        <v>Computer Architecture &amp; Organization</v>
      </c>
    </row>
    <row r="2205">
      <c r="A2205" s="7" t="str">
        <f>IFERROR(__xludf.DUMMYFUNCTION("""COMPUTED_VALUE"""),"R52")</f>
        <v>R52</v>
      </c>
      <c r="B2205" s="7" t="str">
        <f>IFERROR(__xludf.DUMMYFUNCTION("""COMPUTED_VALUE"""),"IoT Solutions Engineer")</f>
        <v>IoT Solutions Engineer</v>
      </c>
      <c r="C2205" s="7" t="str">
        <f>IFERROR(__xludf.DUMMYFUNCTION("""COMPUTED_VALUE"""),"S002")</f>
        <v>S002</v>
      </c>
      <c r="D2205" s="7" t="str">
        <f>IFERROR(__xludf.DUMMYFUNCTION("""COMPUTED_VALUE"""),"Operating Systems Concepts")</f>
        <v>Operating Systems Concepts</v>
      </c>
    </row>
    <row r="2206">
      <c r="A2206" s="7" t="str">
        <f>IFERROR(__xludf.DUMMYFUNCTION("""COMPUTED_VALUE"""),"R52")</f>
        <v>R52</v>
      </c>
      <c r="B2206" s="7" t="str">
        <f>IFERROR(__xludf.DUMMYFUNCTION("""COMPUTED_VALUE"""),"IoT Solutions Engineer")</f>
        <v>IoT Solutions Engineer</v>
      </c>
      <c r="C2206" s="7" t="str">
        <f>IFERROR(__xludf.DUMMYFUNCTION("""COMPUTED_VALUE"""),"S003")</f>
        <v>S003</v>
      </c>
      <c r="D2206" s="7" t="str">
        <f>IFERROR(__xludf.DUMMYFUNCTION("""COMPUTED_VALUE"""),"Process &amp; Thread Management")</f>
        <v>Process &amp; Thread Management</v>
      </c>
    </row>
    <row r="2207">
      <c r="A2207" s="7" t="str">
        <f>IFERROR(__xludf.DUMMYFUNCTION("""COMPUTED_VALUE"""),"R52")</f>
        <v>R52</v>
      </c>
      <c r="B2207" s="7" t="str">
        <f>IFERROR(__xludf.DUMMYFUNCTION("""COMPUTED_VALUE"""),"IoT Solutions Engineer")</f>
        <v>IoT Solutions Engineer</v>
      </c>
      <c r="C2207" s="7" t="str">
        <f>IFERROR(__xludf.DUMMYFUNCTION("""COMPUTED_VALUE"""),"S004")</f>
        <v>S004</v>
      </c>
      <c r="D2207" s="7" t="str">
        <f>IFERROR(__xludf.DUMMYFUNCTION("""COMPUTED_VALUE"""),"Memory Management &amp; Paging")</f>
        <v>Memory Management &amp; Paging</v>
      </c>
    </row>
    <row r="2208">
      <c r="A2208" s="7" t="str">
        <f>IFERROR(__xludf.DUMMYFUNCTION("""COMPUTED_VALUE"""),"R52")</f>
        <v>R52</v>
      </c>
      <c r="B2208" s="7" t="str">
        <f>IFERROR(__xludf.DUMMYFUNCTION("""COMPUTED_VALUE"""),"IoT Solutions Engineer")</f>
        <v>IoT Solutions Engineer</v>
      </c>
      <c r="C2208" s="7" t="str">
        <f>IFERROR(__xludf.DUMMYFUNCTION("""COMPUTED_VALUE"""),"S005")</f>
        <v>S005</v>
      </c>
      <c r="D2208" s="7" t="str">
        <f>IFERROR(__xludf.DUMMYFUNCTION("""COMPUTED_VALUE"""),"File Systems &amp; Storage I/O")</f>
        <v>File Systems &amp; Storage I/O</v>
      </c>
    </row>
    <row r="2209">
      <c r="A2209" s="7" t="str">
        <f>IFERROR(__xludf.DUMMYFUNCTION("""COMPUTED_VALUE"""),"R52")</f>
        <v>R52</v>
      </c>
      <c r="B2209" s="7" t="str">
        <f>IFERROR(__xludf.DUMMYFUNCTION("""COMPUTED_VALUE"""),"IoT Solutions Engineer")</f>
        <v>IoT Solutions Engineer</v>
      </c>
      <c r="C2209" s="7" t="str">
        <f>IFERROR(__xludf.DUMMYFUNCTION("""COMPUTED_VALUE"""),"S006")</f>
        <v>S006</v>
      </c>
      <c r="D2209" s="7" t="str">
        <f>IFERROR(__xludf.DUMMYFUNCTION("""COMPUTED_VALUE"""),"Basic Data Structures (Arrays, Lists, Stacks, Queues)")</f>
        <v>Basic Data Structures (Arrays, Lists, Stacks, Queues)</v>
      </c>
    </row>
    <row r="2210">
      <c r="A2210" s="7" t="str">
        <f>IFERROR(__xludf.DUMMYFUNCTION("""COMPUTED_VALUE"""),"R52")</f>
        <v>R52</v>
      </c>
      <c r="B2210" s="7" t="str">
        <f>IFERROR(__xludf.DUMMYFUNCTION("""COMPUTED_VALUE"""),"IoT Solutions Engineer")</f>
        <v>IoT Solutions Engineer</v>
      </c>
      <c r="C2210" s="7" t="str">
        <f>IFERROR(__xludf.DUMMYFUNCTION("""COMPUTED_VALUE"""),"S010")</f>
        <v>S010</v>
      </c>
      <c r="D2210" s="7" t="str">
        <f>IFERROR(__xludf.DUMMYFUNCTION("""COMPUTED_VALUE"""),"Sorting &amp; Searching Algorithms")</f>
        <v>Sorting &amp; Searching Algorithms</v>
      </c>
    </row>
    <row r="2211">
      <c r="A2211" s="7" t="str">
        <f>IFERROR(__xludf.DUMMYFUNCTION("""COMPUTED_VALUE"""),"R52")</f>
        <v>R52</v>
      </c>
      <c r="B2211" s="7" t="str">
        <f>IFERROR(__xludf.DUMMYFUNCTION("""COMPUTED_VALUE"""),"IoT Solutions Engineer")</f>
        <v>IoT Solutions Engineer</v>
      </c>
      <c r="C2211" s="7" t="str">
        <f>IFERROR(__xludf.DUMMYFUNCTION("""COMPUTED_VALUE"""),"S012")</f>
        <v>S012</v>
      </c>
      <c r="D2211" s="7" t="str">
        <f>IFERROR(__xludf.DUMMYFUNCTION("""COMPUTED_VALUE"""),"Time &amp; Space Complexity (Big-O Analysis)")</f>
        <v>Time &amp; Space Complexity (Big-O Analysis)</v>
      </c>
    </row>
    <row r="2212">
      <c r="A2212" s="7" t="str">
        <f>IFERROR(__xludf.DUMMYFUNCTION("""COMPUTED_VALUE"""),"R52")</f>
        <v>R52</v>
      </c>
      <c r="B2212" s="7" t="str">
        <f>IFERROR(__xludf.DUMMYFUNCTION("""COMPUTED_VALUE"""),"IoT Solutions Engineer")</f>
        <v>IoT Solutions Engineer</v>
      </c>
      <c r="C2212" s="7" t="str">
        <f>IFERROR(__xludf.DUMMYFUNCTION("""COMPUTED_VALUE"""),"S013")</f>
        <v>S013</v>
      </c>
      <c r="D2212" s="7" t="str">
        <f>IFERROR(__xludf.DUMMYFUNCTION("""COMPUTED_VALUE"""),"Object-Oriented Programming (OOP)")</f>
        <v>Object-Oriented Programming (OOP)</v>
      </c>
    </row>
    <row r="2213">
      <c r="A2213" s="7" t="str">
        <f>IFERROR(__xludf.DUMMYFUNCTION("""COMPUTED_VALUE"""),"R52")</f>
        <v>R52</v>
      </c>
      <c r="B2213" s="7" t="str">
        <f>IFERROR(__xludf.DUMMYFUNCTION("""COMPUTED_VALUE"""),"IoT Solutions Engineer")</f>
        <v>IoT Solutions Engineer</v>
      </c>
      <c r="C2213" s="7" t="str">
        <f>IFERROR(__xludf.DUMMYFUNCTION("""COMPUTED_VALUE"""),"S017")</f>
        <v>S017</v>
      </c>
      <c r="D2213" s="7" t="str">
        <f>IFERROR(__xludf.DUMMYFUNCTION("""COMPUTED_VALUE"""),"Git Version Control Fundamentals")</f>
        <v>Git Version Control Fundamentals</v>
      </c>
    </row>
    <row r="2214">
      <c r="A2214" s="7" t="str">
        <f>IFERROR(__xludf.DUMMYFUNCTION("""COMPUTED_VALUE"""),"R52")</f>
        <v>R52</v>
      </c>
      <c r="B2214" s="7" t="str">
        <f>IFERROR(__xludf.DUMMYFUNCTION("""COMPUTED_VALUE"""),"IoT Solutions Engineer")</f>
        <v>IoT Solutions Engineer</v>
      </c>
      <c r="C2214" s="7" t="str">
        <f>IFERROR(__xludf.DUMMYFUNCTION("""COMPUTED_VALUE"""),"S018")</f>
        <v>S018</v>
      </c>
      <c r="D2214" s="7" t="str">
        <f>IFERROR(__xludf.DUMMYFUNCTION("""COMPUTED_VALUE"""),"GitHub / GitLab Workflows &amp; Pull Requests")</f>
        <v>GitHub / GitLab Workflows &amp; Pull Requests</v>
      </c>
    </row>
    <row r="2215">
      <c r="A2215" s="7" t="str">
        <f>IFERROR(__xludf.DUMMYFUNCTION("""COMPUTED_VALUE"""),"R52")</f>
        <v>R52</v>
      </c>
      <c r="B2215" s="7" t="str">
        <f>IFERROR(__xludf.DUMMYFUNCTION("""COMPUTED_VALUE"""),"IoT Solutions Engineer")</f>
        <v>IoT Solutions Engineer</v>
      </c>
      <c r="C2215" s="7" t="str">
        <f>IFERROR(__xludf.DUMMYFUNCTION("""COMPUTED_VALUE"""),"S019")</f>
        <v>S019</v>
      </c>
      <c r="D2215" s="7" t="str">
        <f>IFERROR(__xludf.DUMMYFUNCTION("""COMPUTED_VALUE"""),"Linux Command Line &amp; File Permissions")</f>
        <v>Linux Command Line &amp; File Permissions</v>
      </c>
    </row>
    <row r="2216">
      <c r="A2216" s="7" t="str">
        <f>IFERROR(__xludf.DUMMYFUNCTION("""COMPUTED_VALUE"""),"R52")</f>
        <v>R52</v>
      </c>
      <c r="B2216" s="7" t="str">
        <f>IFERROR(__xludf.DUMMYFUNCTION("""COMPUTED_VALUE"""),"IoT Solutions Engineer")</f>
        <v>IoT Solutions Engineer</v>
      </c>
      <c r="C2216" s="7" t="str">
        <f>IFERROR(__xludf.DUMMYFUNCTION("""COMPUTED_VALUE"""),"S020")</f>
        <v>S020</v>
      </c>
      <c r="D2216" s="7" t="str">
        <f>IFERROR(__xludf.DUMMYFUNCTION("""COMPUTED_VALUE"""),"Bash &amp; Shell Scripting")</f>
        <v>Bash &amp; Shell Scripting</v>
      </c>
    </row>
    <row r="2217">
      <c r="A2217" s="7" t="str">
        <f>IFERROR(__xludf.DUMMYFUNCTION("""COMPUTED_VALUE"""),"R52")</f>
        <v>R52</v>
      </c>
      <c r="B2217" s="7" t="str">
        <f>IFERROR(__xludf.DUMMYFUNCTION("""COMPUTED_VALUE"""),"IoT Solutions Engineer")</f>
        <v>IoT Solutions Engineer</v>
      </c>
      <c r="C2217" s="7" t="str">
        <f>IFERROR(__xludf.DUMMYFUNCTION("""COMPUTED_VALUE"""),"S022")</f>
        <v>S022</v>
      </c>
      <c r="D2217" s="7" t="str">
        <f>IFERROR(__xludf.DUMMYFUNCTION("""COMPUTED_VALUE"""),"Computer Networking &amp; OSI Model")</f>
        <v>Computer Networking &amp; OSI Model</v>
      </c>
    </row>
    <row r="2218">
      <c r="A2218" s="7" t="str">
        <f>IFERROR(__xludf.DUMMYFUNCTION("""COMPUTED_VALUE"""),"R52")</f>
        <v>R52</v>
      </c>
      <c r="B2218" s="7" t="str">
        <f>IFERROR(__xludf.DUMMYFUNCTION("""COMPUTED_VALUE"""),"IoT Solutions Engineer")</f>
        <v>IoT Solutions Engineer</v>
      </c>
      <c r="C2218" s="7" t="str">
        <f>IFERROR(__xludf.DUMMYFUNCTION("""COMPUTED_VALUE"""),"S023")</f>
        <v>S023</v>
      </c>
      <c r="D2218" s="7" t="str">
        <f>IFERROR(__xludf.DUMMYFUNCTION("""COMPUTED_VALUE"""),"HTTP/HTTPS Protocols &amp; Status Codes")</f>
        <v>HTTP/HTTPS Protocols &amp; Status Codes</v>
      </c>
    </row>
    <row r="2219">
      <c r="A2219" s="7" t="str">
        <f>IFERROR(__xludf.DUMMYFUNCTION("""COMPUTED_VALUE"""),"R52")</f>
        <v>R52</v>
      </c>
      <c r="B2219" s="7" t="str">
        <f>IFERROR(__xludf.DUMMYFUNCTION("""COMPUTED_VALUE"""),"IoT Solutions Engineer")</f>
        <v>IoT Solutions Engineer</v>
      </c>
      <c r="C2219" s="7" t="str">
        <f>IFERROR(__xludf.DUMMYFUNCTION("""COMPUTED_VALUE"""),"S024")</f>
        <v>S024</v>
      </c>
      <c r="D2219" s="7" t="str">
        <f>IFERROR(__xludf.DUMMYFUNCTION("""COMPUTED_VALUE"""),"DNS, Domain Routing &amp; SSL/TLS")</f>
        <v>DNS, Domain Routing &amp; SSL/TLS</v>
      </c>
    </row>
    <row r="2220">
      <c r="A2220" s="7" t="str">
        <f>IFERROR(__xludf.DUMMYFUNCTION("""COMPUTED_VALUE"""),"R52")</f>
        <v>R52</v>
      </c>
      <c r="B2220" s="7" t="str">
        <f>IFERROR(__xludf.DUMMYFUNCTION("""COMPUTED_VALUE"""),"IoT Solutions Engineer")</f>
        <v>IoT Solutions Engineer</v>
      </c>
      <c r="C2220" s="7" t="str">
        <f>IFERROR(__xludf.DUMMYFUNCTION("""COMPUTED_VALUE"""),"S026")</f>
        <v>S026</v>
      </c>
      <c r="D2220" s="7" t="str">
        <f>IFERROR(__xludf.DUMMYFUNCTION("""COMPUTED_VALUE"""),"Data Serialization (JSON, XML, YAML, Protobuf)")</f>
        <v>Data Serialization (JSON, XML, YAML, Protobuf)</v>
      </c>
    </row>
    <row r="2221">
      <c r="A2221" s="7" t="str">
        <f>IFERROR(__xludf.DUMMYFUNCTION("""COMPUTED_VALUE"""),"R52")</f>
        <v>R52</v>
      </c>
      <c r="B2221" s="7" t="str">
        <f>IFERROR(__xludf.DUMMYFUNCTION("""COMPUTED_VALUE"""),"IoT Solutions Engineer")</f>
        <v>IoT Solutions Engineer</v>
      </c>
      <c r="C2221" s="7" t="str">
        <f>IFERROR(__xludf.DUMMYFUNCTION("""COMPUTED_VALUE"""),"S028")</f>
        <v>S028</v>
      </c>
      <c r="D2221" s="7" t="str">
        <f>IFERROR(__xludf.DUMMYFUNCTION("""COMPUTED_VALUE"""),"Technical Writing &amp; Markdown Documentation")</f>
        <v>Technical Writing &amp; Markdown Documentation</v>
      </c>
    </row>
    <row r="2222">
      <c r="A2222" s="7" t="str">
        <f>IFERROR(__xludf.DUMMYFUNCTION("""COMPUTED_VALUE"""),"R52")</f>
        <v>R52</v>
      </c>
      <c r="B2222" s="7" t="str">
        <f>IFERROR(__xludf.DUMMYFUNCTION("""COMPUTED_VALUE"""),"IoT Solutions Engineer")</f>
        <v>IoT Solutions Engineer</v>
      </c>
      <c r="C2222" s="7" t="str">
        <f>IFERROR(__xludf.DUMMYFUNCTION("""COMPUTED_VALUE"""),"S029")</f>
        <v>S029</v>
      </c>
      <c r="D2222" s="7" t="str">
        <f>IFERROR(__xludf.DUMMYFUNCTION("""COMPUTED_VALUE"""),"Debugging, Profiling &amp; Root Cause Analysis")</f>
        <v>Debugging, Profiling &amp; Root Cause Analysis</v>
      </c>
    </row>
    <row r="2223">
      <c r="A2223" s="7" t="str">
        <f>IFERROR(__xludf.DUMMYFUNCTION("""COMPUTED_VALUE"""),"R52")</f>
        <v>R52</v>
      </c>
      <c r="B2223" s="7" t="str">
        <f>IFERROR(__xludf.DUMMYFUNCTION("""COMPUTED_VALUE"""),"IoT Solutions Engineer")</f>
        <v>IoT Solutions Engineer</v>
      </c>
      <c r="C2223" s="7" t="str">
        <f>IFERROR(__xludf.DUMMYFUNCTION("""COMPUTED_VALUE"""),"S068")</f>
        <v>S068</v>
      </c>
      <c r="D2223" s="7" t="str">
        <f>IFERROR(__xludf.DUMMYFUNCTION("""COMPUTED_VALUE"""),"Python Programming Fundamentals")</f>
        <v>Python Programming Fundamentals</v>
      </c>
    </row>
    <row r="2224">
      <c r="A2224" s="7" t="str">
        <f>IFERROR(__xludf.DUMMYFUNCTION("""COMPUTED_VALUE"""),"R52")</f>
        <v>R52</v>
      </c>
      <c r="B2224" s="7" t="str">
        <f>IFERROR(__xludf.DUMMYFUNCTION("""COMPUTED_VALUE"""),"IoT Solutions Engineer")</f>
        <v>IoT Solutions Engineer</v>
      </c>
      <c r="C2224" s="7" t="str">
        <f>IFERROR(__xludf.DUMMYFUNCTION("""COMPUTED_VALUE"""),"S072")</f>
        <v>S072</v>
      </c>
      <c r="D2224" s="7" t="str">
        <f>IFERROR(__xludf.DUMMYFUNCTION("""COMPUTED_VALUE"""),"Node.js Runtime &amp; Event Loop")</f>
        <v>Node.js Runtime &amp; Event Loop</v>
      </c>
    </row>
    <row r="2225">
      <c r="A2225" s="7" t="str">
        <f>IFERROR(__xludf.DUMMYFUNCTION("""COMPUTED_VALUE"""),"R52")</f>
        <v>R52</v>
      </c>
      <c r="B2225" s="7" t="str">
        <f>IFERROR(__xludf.DUMMYFUNCTION("""COMPUTED_VALUE"""),"IoT Solutions Engineer")</f>
        <v>IoT Solutions Engineer</v>
      </c>
      <c r="C2225" s="7" t="str">
        <f>IFERROR(__xludf.DUMMYFUNCTION("""COMPUTED_VALUE"""),"S078")</f>
        <v>S078</v>
      </c>
      <c r="D2225" s="7" t="str">
        <f>IFERROR(__xludf.DUMMYFUNCTION("""COMPUTED_VALUE"""),"Rust Systems &amp; Web Programming")</f>
        <v>Rust Systems &amp; Web Programming</v>
      </c>
    </row>
    <row r="2226">
      <c r="A2226" s="7" t="str">
        <f>IFERROR(__xludf.DUMMYFUNCTION("""COMPUTED_VALUE"""),"R52")</f>
        <v>R52</v>
      </c>
      <c r="B2226" s="7" t="str">
        <f>IFERROR(__xludf.DUMMYFUNCTION("""COMPUTED_VALUE"""),"IoT Solutions Engineer")</f>
        <v>IoT Solutions Engineer</v>
      </c>
      <c r="C2226" s="7" t="str">
        <f>IFERROR(__xludf.DUMMYFUNCTION("""COMPUTED_VALUE"""),"S082")</f>
        <v>S082</v>
      </c>
      <c r="D2226" s="7" t="str">
        <f>IFERROR(__xludf.DUMMYFUNCTION("""COMPUTED_VALUE"""),"C Programming &amp; Pointers")</f>
        <v>C Programming &amp; Pointers</v>
      </c>
    </row>
    <row r="2227">
      <c r="A2227" s="7" t="str">
        <f>IFERROR(__xludf.DUMMYFUNCTION("""COMPUTED_VALUE"""),"R52")</f>
        <v>R52</v>
      </c>
      <c r="B2227" s="7" t="str">
        <f>IFERROR(__xludf.DUMMYFUNCTION("""COMPUTED_VALUE"""),"IoT Solutions Engineer")</f>
        <v>IoT Solutions Engineer</v>
      </c>
      <c r="C2227" s="7" t="str">
        <f>IFERROR(__xludf.DUMMYFUNCTION("""COMPUTED_VALUE"""),"S083")</f>
        <v>S083</v>
      </c>
      <c r="D2227" s="7" t="str">
        <f>IFERROR(__xludf.DUMMYFUNCTION("""COMPUTED_VALUE"""),"C++ &amp; Standard Template Library (STL)")</f>
        <v>C++ &amp; Standard Template Library (STL)</v>
      </c>
    </row>
    <row r="2228">
      <c r="A2228" s="7" t="str">
        <f>IFERROR(__xludf.DUMMYFUNCTION("""COMPUTED_VALUE"""),"R52")</f>
        <v>R52</v>
      </c>
      <c r="B2228" s="7" t="str">
        <f>IFERROR(__xludf.DUMMYFUNCTION("""COMPUTED_VALUE"""),"IoT Solutions Engineer")</f>
        <v>IoT Solutions Engineer</v>
      </c>
      <c r="C2228" s="7" t="str">
        <f>IFERROR(__xludf.DUMMYFUNCTION("""COMPUTED_VALUE"""),"S086")</f>
        <v>S086</v>
      </c>
      <c r="D2228" s="7" t="str">
        <f>IFERROR(__xludf.DUMMYFUNCTION("""COMPUTED_VALUE"""),"RESTful API Design &amp; OpenAPI/Swagger")</f>
        <v>RESTful API Design &amp; OpenAPI/Swagger</v>
      </c>
    </row>
    <row r="2229">
      <c r="A2229" s="7" t="str">
        <f>IFERROR(__xludf.DUMMYFUNCTION("""COMPUTED_VALUE"""),"R52")</f>
        <v>R52</v>
      </c>
      <c r="B2229" s="7" t="str">
        <f>IFERROR(__xludf.DUMMYFUNCTION("""COMPUTED_VALUE"""),"IoT Solutions Engineer")</f>
        <v>IoT Solutions Engineer</v>
      </c>
      <c r="C2229" s="7" t="str">
        <f>IFERROR(__xludf.DUMMYFUNCTION("""COMPUTED_VALUE"""),"S088")</f>
        <v>S088</v>
      </c>
      <c r="D2229" s="7" t="str">
        <f>IFERROR(__xludf.DUMMYFUNCTION("""COMPUTED_VALUE"""),"gRPC &amp; Protocol Buffers")</f>
        <v>gRPC &amp; Protocol Buffers</v>
      </c>
    </row>
    <row r="2230">
      <c r="A2230" s="7" t="str">
        <f>IFERROR(__xludf.DUMMYFUNCTION("""COMPUTED_VALUE"""),"R52")</f>
        <v>R52</v>
      </c>
      <c r="B2230" s="7" t="str">
        <f>IFERROR(__xludf.DUMMYFUNCTION("""COMPUTED_VALUE"""),"IoT Solutions Engineer")</f>
        <v>IoT Solutions Engineer</v>
      </c>
      <c r="C2230" s="7" t="str">
        <f>IFERROR(__xludf.DUMMYFUNCTION("""COMPUTED_VALUE"""),"S089")</f>
        <v>S089</v>
      </c>
      <c r="D2230" s="7" t="str">
        <f>IFERROR(__xludf.DUMMYFUNCTION("""COMPUTED_VALUE"""),"WebSockets &amp; Real-Time Communication (Socket.io)")</f>
        <v>WebSockets &amp; Real-Time Communication (Socket.io)</v>
      </c>
    </row>
    <row r="2231">
      <c r="A2231" s="7" t="str">
        <f>IFERROR(__xludf.DUMMYFUNCTION("""COMPUTED_VALUE"""),"R52")</f>
        <v>R52</v>
      </c>
      <c r="B2231" s="7" t="str">
        <f>IFERROR(__xludf.DUMMYFUNCTION("""COMPUTED_VALUE"""),"IoT Solutions Engineer")</f>
        <v>IoT Solutions Engineer</v>
      </c>
      <c r="C2231" s="7" t="str">
        <f>IFERROR(__xludf.DUMMYFUNCTION("""COMPUTED_VALUE"""),"S096")</f>
        <v>S096</v>
      </c>
      <c r="D2231" s="7" t="str">
        <f>IFERROR(__xludf.DUMMYFUNCTION("""COMPUTED_VALUE"""),"Event-Driven Architecture &amp; Pub/Sub Patterns")</f>
        <v>Event-Driven Architecture &amp; Pub/Sub Patterns</v>
      </c>
    </row>
    <row r="2232">
      <c r="A2232" s="7" t="str">
        <f>IFERROR(__xludf.DUMMYFUNCTION("""COMPUTED_VALUE"""),"R52")</f>
        <v>R52</v>
      </c>
      <c r="B2232" s="7" t="str">
        <f>IFERROR(__xludf.DUMMYFUNCTION("""COMPUTED_VALUE"""),"IoT Solutions Engineer")</f>
        <v>IoT Solutions Engineer</v>
      </c>
      <c r="C2232" s="7" t="str">
        <f>IFERROR(__xludf.DUMMYFUNCTION("""COMPUTED_VALUE"""),"S097")</f>
        <v>S097</v>
      </c>
      <c r="D2232" s="7" t="str">
        <f>IFERROR(__xludf.DUMMYFUNCTION("""COMPUTED_VALUE"""),"Message Brokers &amp; Queues (RabbitMQ, ActiveMQ)")</f>
        <v>Message Brokers &amp; Queues (RabbitMQ, ActiveMQ)</v>
      </c>
    </row>
    <row r="2233">
      <c r="A2233" s="7" t="str">
        <f>IFERROR(__xludf.DUMMYFUNCTION("""COMPUTED_VALUE"""),"R52")</f>
        <v>R52</v>
      </c>
      <c r="B2233" s="7" t="str">
        <f>IFERROR(__xludf.DUMMYFUNCTION("""COMPUTED_VALUE"""),"IoT Solutions Engineer")</f>
        <v>IoT Solutions Engineer</v>
      </c>
      <c r="C2233" s="7" t="str">
        <f>IFERROR(__xludf.DUMMYFUNCTION("""COMPUTED_VALUE"""),"S098")</f>
        <v>S098</v>
      </c>
      <c r="D2233" s="7" t="str">
        <f>IFERROR(__xludf.DUMMYFUNCTION("""COMPUTED_VALUE"""),"Distributed Event Streaming (Apache Kafka)")</f>
        <v>Distributed Event Streaming (Apache Kafka)</v>
      </c>
    </row>
    <row r="2234">
      <c r="A2234" s="7" t="str">
        <f>IFERROR(__xludf.DUMMYFUNCTION("""COMPUTED_VALUE"""),"R52")</f>
        <v>R52</v>
      </c>
      <c r="B2234" s="7" t="str">
        <f>IFERROR(__xludf.DUMMYFUNCTION("""COMPUTED_VALUE"""),"IoT Solutions Engineer")</f>
        <v>IoT Solutions Engineer</v>
      </c>
      <c r="C2234" s="7" t="str">
        <f>IFERROR(__xludf.DUMMYFUNCTION("""COMPUTED_VALUE"""),"S113")</f>
        <v>S113</v>
      </c>
      <c r="D2234" s="7" t="str">
        <f>IFERROR(__xludf.DUMMYFUNCTION("""COMPUTED_VALUE"""),"SQLite Embedded Databases")</f>
        <v>SQLite Embedded Databases</v>
      </c>
    </row>
    <row r="2235">
      <c r="A2235" s="7" t="str">
        <f>IFERROR(__xludf.DUMMYFUNCTION("""COMPUTED_VALUE"""),"R52")</f>
        <v>R52</v>
      </c>
      <c r="B2235" s="7" t="str">
        <f>IFERROR(__xludf.DUMMYFUNCTION("""COMPUTED_VALUE"""),"IoT Solutions Engineer")</f>
        <v>IoT Solutions Engineer</v>
      </c>
      <c r="C2235" s="7" t="str">
        <f>IFERROR(__xludf.DUMMYFUNCTION("""COMPUTED_VALUE"""),"S124")</f>
        <v>S124</v>
      </c>
      <c r="D2235" s="7" t="str">
        <f>IFERROR(__xludf.DUMMYFUNCTION("""COMPUTED_VALUE"""),"Time-Series Databases (InfluxDB, TimescaleDB)")</f>
        <v>Time-Series Databases (InfluxDB, TimescaleDB)</v>
      </c>
    </row>
    <row r="2236">
      <c r="A2236" s="7" t="str">
        <f>IFERROR(__xludf.DUMMYFUNCTION("""COMPUTED_VALUE"""),"R52")</f>
        <v>R52</v>
      </c>
      <c r="B2236" s="7" t="str">
        <f>IFERROR(__xludf.DUMMYFUNCTION("""COMPUTED_VALUE"""),"IoT Solutions Engineer")</f>
        <v>IoT Solutions Engineer</v>
      </c>
      <c r="C2236" s="7" t="str">
        <f>IFERROR(__xludf.DUMMYFUNCTION("""COMPUTED_VALUE"""),"S171")</f>
        <v>S171</v>
      </c>
      <c r="D2236" s="7" t="str">
        <f>IFERROR(__xludf.DUMMYFUNCTION("""COMPUTED_VALUE"""),"Containerization with Docker")</f>
        <v>Containerization with Docker</v>
      </c>
    </row>
    <row r="2237">
      <c r="A2237" s="7" t="str">
        <f>IFERROR(__xludf.DUMMYFUNCTION("""COMPUTED_VALUE"""),"R52")</f>
        <v>R52</v>
      </c>
      <c r="B2237" s="7" t="str">
        <f>IFERROR(__xludf.DUMMYFUNCTION("""COMPUTED_VALUE"""),"IoT Solutions Engineer")</f>
        <v>IoT Solutions Engineer</v>
      </c>
      <c r="C2237" s="7" t="str">
        <f>IFERROR(__xludf.DUMMYFUNCTION("""COMPUTED_VALUE"""),"S174")</f>
        <v>S174</v>
      </c>
      <c r="D2237" s="7" t="str">
        <f>IFERROR(__xludf.DUMMYFUNCTION("""COMPUTED_VALUE"""),"Amazon Web Services Core (EC2, S3, RDS, IAM, VPC)")</f>
        <v>Amazon Web Services Core (EC2, S3, RDS, IAM, VPC)</v>
      </c>
    </row>
    <row r="2238">
      <c r="A2238" s="7" t="str">
        <f>IFERROR(__xludf.DUMMYFUNCTION("""COMPUTED_VALUE"""),"R52")</f>
        <v>R52</v>
      </c>
      <c r="B2238" s="7" t="str">
        <f>IFERROR(__xludf.DUMMYFUNCTION("""COMPUTED_VALUE"""),"IoT Solutions Engineer")</f>
        <v>IoT Solutions Engineer</v>
      </c>
      <c r="C2238" s="7" t="str">
        <f>IFERROR(__xludf.DUMMYFUNCTION("""COMPUTED_VALUE"""),"S177")</f>
        <v>S177</v>
      </c>
      <c r="D2238" s="7" t="str">
        <f>IFERROR(__xludf.DUMMYFUNCTION("""COMPUTED_VALUE"""),"Serverless Computing (AWS Lambda, Cloud Functions)")</f>
        <v>Serverless Computing (AWS Lambda, Cloud Functions)</v>
      </c>
    </row>
    <row r="2239">
      <c r="A2239" s="7" t="str">
        <f>IFERROR(__xludf.DUMMYFUNCTION("""COMPUTED_VALUE"""),"R52")</f>
        <v>R52</v>
      </c>
      <c r="B2239" s="7" t="str">
        <f>IFERROR(__xludf.DUMMYFUNCTION("""COMPUTED_VALUE"""),"IoT Solutions Engineer")</f>
        <v>IoT Solutions Engineer</v>
      </c>
      <c r="C2239" s="7" t="str">
        <f>IFERROR(__xludf.DUMMYFUNCTION("""COMPUTED_VALUE"""),"S184")</f>
        <v>S184</v>
      </c>
      <c r="D2239" s="7" t="str">
        <f>IFERROR(__xludf.DUMMYFUNCTION("""COMPUTED_VALUE"""),"Infrastructure &amp; Metrics Monitoring (Prometheus &amp; Grafana)")</f>
        <v>Infrastructure &amp; Metrics Monitoring (Prometheus &amp; Grafana)</v>
      </c>
    </row>
    <row r="2240">
      <c r="A2240" s="7" t="str">
        <f>IFERROR(__xludf.DUMMYFUNCTION("""COMPUTED_VALUE"""),"R52")</f>
        <v>R52</v>
      </c>
      <c r="B2240" s="7" t="str">
        <f>IFERROR(__xludf.DUMMYFUNCTION("""COMPUTED_VALUE"""),"IoT Solutions Engineer")</f>
        <v>IoT Solutions Engineer</v>
      </c>
      <c r="C2240" s="7" t="str">
        <f>IFERROR(__xludf.DUMMYFUNCTION("""COMPUTED_VALUE"""),"S191")</f>
        <v>S191</v>
      </c>
      <c r="D2240" s="7" t="str">
        <f>IFERROR(__xludf.DUMMYFUNCTION("""COMPUTED_VALUE"""),"Enterprise Linux System Administration (RHEL, Ubuntu, systemd)")</f>
        <v>Enterprise Linux System Administration (RHEL, Ubuntu, systemd)</v>
      </c>
    </row>
    <row r="2241">
      <c r="A2241" s="7" t="str">
        <f>IFERROR(__xludf.DUMMYFUNCTION("""COMPUTED_VALUE"""),"R52")</f>
        <v>R52</v>
      </c>
      <c r="B2241" s="7" t="str">
        <f>IFERROR(__xludf.DUMMYFUNCTION("""COMPUTED_VALUE"""),"IoT Solutions Engineer")</f>
        <v>IoT Solutions Engineer</v>
      </c>
      <c r="C2241" s="7" t="str">
        <f>IFERROR(__xludf.DUMMYFUNCTION("""COMPUTED_VALUE"""),"S194")</f>
        <v>S194</v>
      </c>
      <c r="D2241" s="7" t="str">
        <f>IFERROR(__xludf.DUMMYFUNCTION("""COMPUTED_VALUE"""),"TCP/IP Networking, Subnetting, VLANs &amp; VPNs")</f>
        <v>TCP/IP Networking, Subnetting, VLANs &amp; VPNs</v>
      </c>
    </row>
    <row r="2242">
      <c r="A2242" s="7" t="str">
        <f>IFERROR(__xludf.DUMMYFUNCTION("""COMPUTED_VALUE"""),"R52")</f>
        <v>R52</v>
      </c>
      <c r="B2242" s="7" t="str">
        <f>IFERROR(__xludf.DUMMYFUNCTION("""COMPUTED_VALUE"""),"IoT Solutions Engineer")</f>
        <v>IoT Solutions Engineer</v>
      </c>
      <c r="C2242" s="7" t="str">
        <f>IFERROR(__xludf.DUMMYFUNCTION("""COMPUTED_VALUE"""),"S197")</f>
        <v>S197</v>
      </c>
      <c r="D2242" s="7" t="str">
        <f>IFERROR(__xludf.DUMMYFUNCTION("""COMPUTED_VALUE"""),"Network Security, Firewalls &amp; WAF")</f>
        <v>Network Security, Firewalls &amp; WAF</v>
      </c>
    </row>
    <row r="2243">
      <c r="A2243" s="7" t="str">
        <f>IFERROR(__xludf.DUMMYFUNCTION("""COMPUTED_VALUE"""),"R52")</f>
        <v>R52</v>
      </c>
      <c r="B2243" s="7" t="str">
        <f>IFERROR(__xludf.DUMMYFUNCTION("""COMPUTED_VALUE"""),"IoT Solutions Engineer")</f>
        <v>IoT Solutions Engineer</v>
      </c>
      <c r="C2243" s="7" t="str">
        <f>IFERROR(__xludf.DUMMYFUNCTION("""COMPUTED_VALUE"""),"S209")</f>
        <v>S209</v>
      </c>
      <c r="D2243" s="7" t="str">
        <f>IFERROR(__xludf.DUMMYFUNCTION("""COMPUTED_VALUE"""),"Applied Cryptography, Hashing &amp; PKI Certificates")</f>
        <v>Applied Cryptography, Hashing &amp; PKI Certificates</v>
      </c>
    </row>
    <row r="2244">
      <c r="A2244" s="7" t="str">
        <f>IFERROR(__xludf.DUMMYFUNCTION("""COMPUTED_VALUE"""),"R52")</f>
        <v>R52</v>
      </c>
      <c r="B2244" s="7" t="str">
        <f>IFERROR(__xludf.DUMMYFUNCTION("""COMPUTED_VALUE"""),"IoT Solutions Engineer")</f>
        <v>IoT Solutions Engineer</v>
      </c>
      <c r="C2244" s="7" t="str">
        <f>IFERROR(__xludf.DUMMYFUNCTION("""COMPUTED_VALUE"""),"S220")</f>
        <v>S220</v>
      </c>
      <c r="D2244" s="7" t="str">
        <f>IFERROR(__xludf.DUMMYFUNCTION("""COMPUTED_VALUE"""),"Wireless, IoT &amp; Hardware Security Testing")</f>
        <v>Wireless, IoT &amp; Hardware Security Testing</v>
      </c>
    </row>
    <row r="2245">
      <c r="A2245" s="7" t="str">
        <f>IFERROR(__xludf.DUMMYFUNCTION("""COMPUTED_VALUE"""),"R52")</f>
        <v>R52</v>
      </c>
      <c r="B2245" s="7" t="str">
        <f>IFERROR(__xludf.DUMMYFUNCTION("""COMPUTED_VALUE"""),"IoT Solutions Engineer")</f>
        <v>IoT Solutions Engineer</v>
      </c>
      <c r="C2245" s="7" t="str">
        <f>IFERROR(__xludf.DUMMYFUNCTION("""COMPUTED_VALUE"""),"S232")</f>
        <v>S232</v>
      </c>
      <c r="D2245" s="7" t="str">
        <f>IFERROR(__xludf.DUMMYFUNCTION("""COMPUTED_VALUE"""),"Embedded Systems Programming (Embedded C/C++ &amp; Bare-Metal)")</f>
        <v>Embedded Systems Programming (Embedded C/C++ &amp; Bare-Metal)</v>
      </c>
    </row>
    <row r="2246">
      <c r="A2246" s="7" t="str">
        <f>IFERROR(__xludf.DUMMYFUNCTION("""COMPUTED_VALUE"""),"R52")</f>
        <v>R52</v>
      </c>
      <c r="B2246" s="7" t="str">
        <f>IFERROR(__xludf.DUMMYFUNCTION("""COMPUTED_VALUE"""),"IoT Solutions Engineer")</f>
        <v>IoT Solutions Engineer</v>
      </c>
      <c r="C2246" s="7" t="str">
        <f>IFERROR(__xludf.DUMMYFUNCTION("""COMPUTED_VALUE"""),"S233")</f>
        <v>S233</v>
      </c>
      <c r="D2246" s="7" t="str">
        <f>IFERROR(__xludf.DUMMYFUNCTION("""COMPUTED_VALUE"""),"Microcontrollers &amp; Single-Board Computers (ARM Cortex, STM32, ESP32, Raspberry Pi)")</f>
        <v>Microcontrollers &amp; Single-Board Computers (ARM Cortex, STM32, ESP32, Raspberry Pi)</v>
      </c>
    </row>
    <row r="2247">
      <c r="A2247" s="7" t="str">
        <f>IFERROR(__xludf.DUMMYFUNCTION("""COMPUTED_VALUE"""),"R52")</f>
        <v>R52</v>
      </c>
      <c r="B2247" s="7" t="str">
        <f>IFERROR(__xludf.DUMMYFUNCTION("""COMPUTED_VALUE"""),"IoT Solutions Engineer")</f>
        <v>IoT Solutions Engineer</v>
      </c>
      <c r="C2247" s="7" t="str">
        <f>IFERROR(__xludf.DUMMYFUNCTION("""COMPUTED_VALUE"""),"S234")</f>
        <v>S234</v>
      </c>
      <c r="D2247" s="7" t="str">
        <f>IFERROR(__xludf.DUMMYFUNCTION("""COMPUTED_VALUE"""),"Real-Time Operating Systems (FreeRTOS, Zephyr)")</f>
        <v>Real-Time Operating Systems (FreeRTOS, Zephyr)</v>
      </c>
    </row>
    <row r="2248">
      <c r="A2248" s="7" t="str">
        <f>IFERROR(__xludf.DUMMYFUNCTION("""COMPUTED_VALUE"""),"R52")</f>
        <v>R52</v>
      </c>
      <c r="B2248" s="7" t="str">
        <f>IFERROR(__xludf.DUMMYFUNCTION("""COMPUTED_VALUE"""),"IoT Solutions Engineer")</f>
        <v>IoT Solutions Engineer</v>
      </c>
      <c r="C2248" s="7" t="str">
        <f>IFERROR(__xludf.DUMMYFUNCTION("""COMPUTED_VALUE"""),"S235")</f>
        <v>S235</v>
      </c>
      <c r="D2248" s="7" t="str">
        <f>IFERROR(__xludf.DUMMYFUNCTION("""COMPUTED_VALUE"""),"Hardware Communication Protocols (I2C, SPI, UART, CAN Bus)")</f>
        <v>Hardware Communication Protocols (I2C, SPI, UART, CAN Bus)</v>
      </c>
    </row>
    <row r="2249">
      <c r="A2249" s="7" t="str">
        <f>IFERROR(__xludf.DUMMYFUNCTION("""COMPUTED_VALUE"""),"R52")</f>
        <v>R52</v>
      </c>
      <c r="B2249" s="7" t="str">
        <f>IFERROR(__xludf.DUMMYFUNCTION("""COMPUTED_VALUE"""),"IoT Solutions Engineer")</f>
        <v>IoT Solutions Engineer</v>
      </c>
      <c r="C2249" s="7" t="str">
        <f>IFERROR(__xludf.DUMMYFUNCTION("""COMPUTED_VALUE"""),"S236")</f>
        <v>S236</v>
      </c>
      <c r="D2249" s="7" t="str">
        <f>IFERROR(__xludf.DUMMYFUNCTION("""COMPUTED_VALUE"""),"IoT Messaging &amp; Edge Connectivity (MQTT, CoAP, LoRaWAN, BLE)")</f>
        <v>IoT Messaging &amp; Edge Connectivity (MQTT, CoAP, LoRaWAN, BLE)</v>
      </c>
    </row>
    <row r="2250">
      <c r="A2250" s="7" t="str">
        <f>IFERROR(__xludf.DUMMYFUNCTION("""COMPUTED_VALUE"""),"R52")</f>
        <v>R52</v>
      </c>
      <c r="B2250" s="7" t="str">
        <f>IFERROR(__xludf.DUMMYFUNCTION("""COMPUTED_VALUE"""),"IoT Solutions Engineer")</f>
        <v>IoT Solutions Engineer</v>
      </c>
      <c r="C2250" s="7" t="str">
        <f>IFERROR(__xludf.DUMMYFUNCTION("""COMPUTED_VALUE"""),"S246")</f>
        <v>S246</v>
      </c>
      <c r="D2250" s="7" t="str">
        <f>IFERROR(__xludf.DUMMYFUNCTION("""COMPUTED_VALUE"""),"Agile Methodologies, Scrum Framework &amp; Kanban")</f>
        <v>Agile Methodologies, Scrum Framework &amp; Kanban</v>
      </c>
    </row>
    <row r="2251">
      <c r="A2251" s="7" t="str">
        <f>IFERROR(__xludf.DUMMYFUNCTION("""COMPUTED_VALUE"""),"R52")</f>
        <v>R52</v>
      </c>
      <c r="B2251" s="7" t="str">
        <f>IFERROR(__xludf.DUMMYFUNCTION("""COMPUTED_VALUE"""),"IoT Solutions Engineer")</f>
        <v>IoT Solutions Engineer</v>
      </c>
      <c r="C2251" s="7" t="str">
        <f>IFERROR(__xludf.DUMMYFUNCTION("""COMPUTED_VALUE"""),"S247")</f>
        <v>S247</v>
      </c>
      <c r="D2251" s="7" t="str">
        <f>IFERROR(__xludf.DUMMYFUNCTION("""COMPUTED_VALUE"""),"Project Tracking &amp; Documentation Tools (Jira, Confluence, Linear)")</f>
        <v>Project Tracking &amp; Documentation Tools (Jira, Confluence, Linear)</v>
      </c>
    </row>
    <row r="2252">
      <c r="A2252" s="7" t="str">
        <f>IFERROR(__xludf.DUMMYFUNCTION("""COMPUTED_VALUE"""),"R53")</f>
        <v>R53</v>
      </c>
      <c r="B2252" s="7" t="str">
        <f>IFERROR(__xludf.DUMMYFUNCTION("""COMPUTED_VALUE"""),"Game Engine Programmer")</f>
        <v>Game Engine Programmer</v>
      </c>
      <c r="C2252" s="7" t="str">
        <f>IFERROR(__xludf.DUMMYFUNCTION("""COMPUTED_VALUE"""),"S001")</f>
        <v>S001</v>
      </c>
      <c r="D2252" s="7" t="str">
        <f>IFERROR(__xludf.DUMMYFUNCTION("""COMPUTED_VALUE"""),"Computer Architecture &amp; Organization")</f>
        <v>Computer Architecture &amp; Organization</v>
      </c>
    </row>
    <row r="2253">
      <c r="A2253" s="7" t="str">
        <f>IFERROR(__xludf.DUMMYFUNCTION("""COMPUTED_VALUE"""),"R53")</f>
        <v>R53</v>
      </c>
      <c r="B2253" s="7" t="str">
        <f>IFERROR(__xludf.DUMMYFUNCTION("""COMPUTED_VALUE"""),"Game Engine Programmer")</f>
        <v>Game Engine Programmer</v>
      </c>
      <c r="C2253" s="7" t="str">
        <f>IFERROR(__xludf.DUMMYFUNCTION("""COMPUTED_VALUE"""),"S002")</f>
        <v>S002</v>
      </c>
      <c r="D2253" s="7" t="str">
        <f>IFERROR(__xludf.DUMMYFUNCTION("""COMPUTED_VALUE"""),"Operating Systems Concepts")</f>
        <v>Operating Systems Concepts</v>
      </c>
    </row>
    <row r="2254">
      <c r="A2254" s="7" t="str">
        <f>IFERROR(__xludf.DUMMYFUNCTION("""COMPUTED_VALUE"""),"R53")</f>
        <v>R53</v>
      </c>
      <c r="B2254" s="7" t="str">
        <f>IFERROR(__xludf.DUMMYFUNCTION("""COMPUTED_VALUE"""),"Game Engine Programmer")</f>
        <v>Game Engine Programmer</v>
      </c>
      <c r="C2254" s="7" t="str">
        <f>IFERROR(__xludf.DUMMYFUNCTION("""COMPUTED_VALUE"""),"S003")</f>
        <v>S003</v>
      </c>
      <c r="D2254" s="7" t="str">
        <f>IFERROR(__xludf.DUMMYFUNCTION("""COMPUTED_VALUE"""),"Process &amp; Thread Management")</f>
        <v>Process &amp; Thread Management</v>
      </c>
    </row>
    <row r="2255">
      <c r="A2255" s="7" t="str">
        <f>IFERROR(__xludf.DUMMYFUNCTION("""COMPUTED_VALUE"""),"R53")</f>
        <v>R53</v>
      </c>
      <c r="B2255" s="7" t="str">
        <f>IFERROR(__xludf.DUMMYFUNCTION("""COMPUTED_VALUE"""),"Game Engine Programmer")</f>
        <v>Game Engine Programmer</v>
      </c>
      <c r="C2255" s="7" t="str">
        <f>IFERROR(__xludf.DUMMYFUNCTION("""COMPUTED_VALUE"""),"S004")</f>
        <v>S004</v>
      </c>
      <c r="D2255" s="7" t="str">
        <f>IFERROR(__xludf.DUMMYFUNCTION("""COMPUTED_VALUE"""),"Memory Management &amp; Paging")</f>
        <v>Memory Management &amp; Paging</v>
      </c>
    </row>
    <row r="2256">
      <c r="A2256" s="7" t="str">
        <f>IFERROR(__xludf.DUMMYFUNCTION("""COMPUTED_VALUE"""),"R53")</f>
        <v>R53</v>
      </c>
      <c r="B2256" s="7" t="str">
        <f>IFERROR(__xludf.DUMMYFUNCTION("""COMPUTED_VALUE"""),"Game Engine Programmer")</f>
        <v>Game Engine Programmer</v>
      </c>
      <c r="C2256" s="7" t="str">
        <f>IFERROR(__xludf.DUMMYFUNCTION("""COMPUTED_VALUE"""),"S005")</f>
        <v>S005</v>
      </c>
      <c r="D2256" s="7" t="str">
        <f>IFERROR(__xludf.DUMMYFUNCTION("""COMPUTED_VALUE"""),"File Systems &amp; Storage I/O")</f>
        <v>File Systems &amp; Storage I/O</v>
      </c>
    </row>
    <row r="2257">
      <c r="A2257" s="7" t="str">
        <f>IFERROR(__xludf.DUMMYFUNCTION("""COMPUTED_VALUE"""),"R53")</f>
        <v>R53</v>
      </c>
      <c r="B2257" s="7" t="str">
        <f>IFERROR(__xludf.DUMMYFUNCTION("""COMPUTED_VALUE"""),"Game Engine Programmer")</f>
        <v>Game Engine Programmer</v>
      </c>
      <c r="C2257" s="7" t="str">
        <f>IFERROR(__xludf.DUMMYFUNCTION("""COMPUTED_VALUE"""),"S006")</f>
        <v>S006</v>
      </c>
      <c r="D2257" s="7" t="str">
        <f>IFERROR(__xludf.DUMMYFUNCTION("""COMPUTED_VALUE"""),"Basic Data Structures (Arrays, Lists, Stacks, Queues)")</f>
        <v>Basic Data Structures (Arrays, Lists, Stacks, Queues)</v>
      </c>
    </row>
    <row r="2258">
      <c r="A2258" s="7" t="str">
        <f>IFERROR(__xludf.DUMMYFUNCTION("""COMPUTED_VALUE"""),"R53")</f>
        <v>R53</v>
      </c>
      <c r="B2258" s="7" t="str">
        <f>IFERROR(__xludf.DUMMYFUNCTION("""COMPUTED_VALUE"""),"Game Engine Programmer")</f>
        <v>Game Engine Programmer</v>
      </c>
      <c r="C2258" s="7" t="str">
        <f>IFERROR(__xludf.DUMMYFUNCTION("""COMPUTED_VALUE"""),"S007")</f>
        <v>S007</v>
      </c>
      <c r="D2258" s="7" t="str">
        <f>IFERROR(__xludf.DUMMYFUNCTION("""COMPUTED_VALUE"""),"Trees &amp; Binary Search Trees")</f>
        <v>Trees &amp; Binary Search Trees</v>
      </c>
    </row>
    <row r="2259">
      <c r="A2259" s="7" t="str">
        <f>IFERROR(__xludf.DUMMYFUNCTION("""COMPUTED_VALUE"""),"R53")</f>
        <v>R53</v>
      </c>
      <c r="B2259" s="7" t="str">
        <f>IFERROR(__xludf.DUMMYFUNCTION("""COMPUTED_VALUE"""),"Game Engine Programmer")</f>
        <v>Game Engine Programmer</v>
      </c>
      <c r="C2259" s="7" t="str">
        <f>IFERROR(__xludf.DUMMYFUNCTION("""COMPUTED_VALUE"""),"S008")</f>
        <v>S008</v>
      </c>
      <c r="D2259" s="7" t="str">
        <f>IFERROR(__xludf.DUMMYFUNCTION("""COMPUTED_VALUE"""),"Heaps, Priority Queues &amp; Hashing")</f>
        <v>Heaps, Priority Queues &amp; Hashing</v>
      </c>
    </row>
    <row r="2260">
      <c r="A2260" s="7" t="str">
        <f>IFERROR(__xludf.DUMMYFUNCTION("""COMPUTED_VALUE"""),"R53")</f>
        <v>R53</v>
      </c>
      <c r="B2260" s="7" t="str">
        <f>IFERROR(__xludf.DUMMYFUNCTION("""COMPUTED_VALUE"""),"Game Engine Programmer")</f>
        <v>Game Engine Programmer</v>
      </c>
      <c r="C2260" s="7" t="str">
        <f>IFERROR(__xludf.DUMMYFUNCTION("""COMPUTED_VALUE"""),"S009")</f>
        <v>S009</v>
      </c>
      <c r="D2260" s="7" t="str">
        <f>IFERROR(__xludf.DUMMYFUNCTION("""COMPUTED_VALUE"""),"Graphs &amp; Graph Traversal (BFS/DFS)")</f>
        <v>Graphs &amp; Graph Traversal (BFS/DFS)</v>
      </c>
    </row>
    <row r="2261">
      <c r="A2261" s="7" t="str">
        <f>IFERROR(__xludf.DUMMYFUNCTION("""COMPUTED_VALUE"""),"R53")</f>
        <v>R53</v>
      </c>
      <c r="B2261" s="7" t="str">
        <f>IFERROR(__xludf.DUMMYFUNCTION("""COMPUTED_VALUE"""),"Game Engine Programmer")</f>
        <v>Game Engine Programmer</v>
      </c>
      <c r="C2261" s="7" t="str">
        <f>IFERROR(__xludf.DUMMYFUNCTION("""COMPUTED_VALUE"""),"S010")</f>
        <v>S010</v>
      </c>
      <c r="D2261" s="7" t="str">
        <f>IFERROR(__xludf.DUMMYFUNCTION("""COMPUTED_VALUE"""),"Sorting &amp; Searching Algorithms")</f>
        <v>Sorting &amp; Searching Algorithms</v>
      </c>
    </row>
    <row r="2262">
      <c r="A2262" s="7" t="str">
        <f>IFERROR(__xludf.DUMMYFUNCTION("""COMPUTED_VALUE"""),"R53")</f>
        <v>R53</v>
      </c>
      <c r="B2262" s="7" t="str">
        <f>IFERROR(__xludf.DUMMYFUNCTION("""COMPUTED_VALUE"""),"Game Engine Programmer")</f>
        <v>Game Engine Programmer</v>
      </c>
      <c r="C2262" s="7" t="str">
        <f>IFERROR(__xludf.DUMMYFUNCTION("""COMPUTED_VALUE"""),"S011")</f>
        <v>S011</v>
      </c>
      <c r="D2262" s="7" t="str">
        <f>IFERROR(__xludf.DUMMYFUNCTION("""COMPUTED_VALUE"""),"Dynamic Programming &amp; Greedy Algorithms")</f>
        <v>Dynamic Programming &amp; Greedy Algorithms</v>
      </c>
    </row>
    <row r="2263">
      <c r="A2263" s="7" t="str">
        <f>IFERROR(__xludf.DUMMYFUNCTION("""COMPUTED_VALUE"""),"R53")</f>
        <v>R53</v>
      </c>
      <c r="B2263" s="7" t="str">
        <f>IFERROR(__xludf.DUMMYFUNCTION("""COMPUTED_VALUE"""),"Game Engine Programmer")</f>
        <v>Game Engine Programmer</v>
      </c>
      <c r="C2263" s="7" t="str">
        <f>IFERROR(__xludf.DUMMYFUNCTION("""COMPUTED_VALUE"""),"S012")</f>
        <v>S012</v>
      </c>
      <c r="D2263" s="7" t="str">
        <f>IFERROR(__xludf.DUMMYFUNCTION("""COMPUTED_VALUE"""),"Time &amp; Space Complexity (Big-O Analysis)")</f>
        <v>Time &amp; Space Complexity (Big-O Analysis)</v>
      </c>
    </row>
    <row r="2264">
      <c r="A2264" s="7" t="str">
        <f>IFERROR(__xludf.DUMMYFUNCTION("""COMPUTED_VALUE"""),"R53")</f>
        <v>R53</v>
      </c>
      <c r="B2264" s="7" t="str">
        <f>IFERROR(__xludf.DUMMYFUNCTION("""COMPUTED_VALUE"""),"Game Engine Programmer")</f>
        <v>Game Engine Programmer</v>
      </c>
      <c r="C2264" s="7" t="str">
        <f>IFERROR(__xludf.DUMMYFUNCTION("""COMPUTED_VALUE"""),"S013")</f>
        <v>S013</v>
      </c>
      <c r="D2264" s="7" t="str">
        <f>IFERROR(__xludf.DUMMYFUNCTION("""COMPUTED_VALUE"""),"Object-Oriented Programming (OOP)")</f>
        <v>Object-Oriented Programming (OOP)</v>
      </c>
    </row>
    <row r="2265">
      <c r="A2265" s="7" t="str">
        <f>IFERROR(__xludf.DUMMYFUNCTION("""COMPUTED_VALUE"""),"R53")</f>
        <v>R53</v>
      </c>
      <c r="B2265" s="7" t="str">
        <f>IFERROR(__xludf.DUMMYFUNCTION("""COMPUTED_VALUE"""),"Game Engine Programmer")</f>
        <v>Game Engine Programmer</v>
      </c>
      <c r="C2265" s="7" t="str">
        <f>IFERROR(__xludf.DUMMYFUNCTION("""COMPUTED_VALUE"""),"S015")</f>
        <v>S015</v>
      </c>
      <c r="D2265" s="7" t="str">
        <f>IFERROR(__xludf.DUMMYFUNCTION("""COMPUTED_VALUE"""),"Software Design Patterns (GoF)")</f>
        <v>Software Design Patterns (GoF)</v>
      </c>
    </row>
    <row r="2266">
      <c r="A2266" s="7" t="str">
        <f>IFERROR(__xludf.DUMMYFUNCTION("""COMPUTED_VALUE"""),"R53")</f>
        <v>R53</v>
      </c>
      <c r="B2266" s="7" t="str">
        <f>IFERROR(__xludf.DUMMYFUNCTION("""COMPUTED_VALUE"""),"Game Engine Programmer")</f>
        <v>Game Engine Programmer</v>
      </c>
      <c r="C2266" s="7" t="str">
        <f>IFERROR(__xludf.DUMMYFUNCTION("""COMPUTED_VALUE"""),"S016")</f>
        <v>S016</v>
      </c>
      <c r="D2266" s="7" t="str">
        <f>IFERROR(__xludf.DUMMYFUNCTION("""COMPUTED_VALUE"""),"SOLID Principles &amp; Clean Code")</f>
        <v>SOLID Principles &amp; Clean Code</v>
      </c>
    </row>
    <row r="2267">
      <c r="A2267" s="7" t="str">
        <f>IFERROR(__xludf.DUMMYFUNCTION("""COMPUTED_VALUE"""),"R53")</f>
        <v>R53</v>
      </c>
      <c r="B2267" s="7" t="str">
        <f>IFERROR(__xludf.DUMMYFUNCTION("""COMPUTED_VALUE"""),"Game Engine Programmer")</f>
        <v>Game Engine Programmer</v>
      </c>
      <c r="C2267" s="7" t="str">
        <f>IFERROR(__xludf.DUMMYFUNCTION("""COMPUTED_VALUE"""),"S017")</f>
        <v>S017</v>
      </c>
      <c r="D2267" s="7" t="str">
        <f>IFERROR(__xludf.DUMMYFUNCTION("""COMPUTED_VALUE"""),"Git Version Control Fundamentals")</f>
        <v>Git Version Control Fundamentals</v>
      </c>
    </row>
    <row r="2268">
      <c r="A2268" s="7" t="str">
        <f>IFERROR(__xludf.DUMMYFUNCTION("""COMPUTED_VALUE"""),"R53")</f>
        <v>R53</v>
      </c>
      <c r="B2268" s="7" t="str">
        <f>IFERROR(__xludf.DUMMYFUNCTION("""COMPUTED_VALUE"""),"Game Engine Programmer")</f>
        <v>Game Engine Programmer</v>
      </c>
      <c r="C2268" s="7" t="str">
        <f>IFERROR(__xludf.DUMMYFUNCTION("""COMPUTED_VALUE"""),"S018")</f>
        <v>S018</v>
      </c>
      <c r="D2268" s="7" t="str">
        <f>IFERROR(__xludf.DUMMYFUNCTION("""COMPUTED_VALUE"""),"GitHub / GitLab Workflows &amp; Pull Requests")</f>
        <v>GitHub / GitLab Workflows &amp; Pull Requests</v>
      </c>
    </row>
    <row r="2269">
      <c r="A2269" s="7" t="str">
        <f>IFERROR(__xludf.DUMMYFUNCTION("""COMPUTED_VALUE"""),"R53")</f>
        <v>R53</v>
      </c>
      <c r="B2269" s="7" t="str">
        <f>IFERROR(__xludf.DUMMYFUNCTION("""COMPUTED_VALUE"""),"Game Engine Programmer")</f>
        <v>Game Engine Programmer</v>
      </c>
      <c r="C2269" s="7" t="str">
        <f>IFERROR(__xludf.DUMMYFUNCTION("""COMPUTED_VALUE"""),"S026")</f>
        <v>S026</v>
      </c>
      <c r="D2269" s="7" t="str">
        <f>IFERROR(__xludf.DUMMYFUNCTION("""COMPUTED_VALUE"""),"Data Serialization (JSON, XML, YAML, Protobuf)")</f>
        <v>Data Serialization (JSON, XML, YAML, Protobuf)</v>
      </c>
    </row>
    <row r="2270">
      <c r="A2270" s="7" t="str">
        <f>IFERROR(__xludf.DUMMYFUNCTION("""COMPUTED_VALUE"""),"R53")</f>
        <v>R53</v>
      </c>
      <c r="B2270" s="7" t="str">
        <f>IFERROR(__xludf.DUMMYFUNCTION("""COMPUTED_VALUE"""),"Game Engine Programmer")</f>
        <v>Game Engine Programmer</v>
      </c>
      <c r="C2270" s="7" t="str">
        <f>IFERROR(__xludf.DUMMYFUNCTION("""COMPUTED_VALUE"""),"S028")</f>
        <v>S028</v>
      </c>
      <c r="D2270" s="7" t="str">
        <f>IFERROR(__xludf.DUMMYFUNCTION("""COMPUTED_VALUE"""),"Technical Writing &amp; Markdown Documentation")</f>
        <v>Technical Writing &amp; Markdown Documentation</v>
      </c>
    </row>
    <row r="2271">
      <c r="A2271" s="7" t="str">
        <f>IFERROR(__xludf.DUMMYFUNCTION("""COMPUTED_VALUE"""),"R53")</f>
        <v>R53</v>
      </c>
      <c r="B2271" s="7" t="str">
        <f>IFERROR(__xludf.DUMMYFUNCTION("""COMPUTED_VALUE"""),"Game Engine Programmer")</f>
        <v>Game Engine Programmer</v>
      </c>
      <c r="C2271" s="7" t="str">
        <f>IFERROR(__xludf.DUMMYFUNCTION("""COMPUTED_VALUE"""),"S029")</f>
        <v>S029</v>
      </c>
      <c r="D2271" s="7" t="str">
        <f>IFERROR(__xludf.DUMMYFUNCTION("""COMPUTED_VALUE"""),"Debugging, Profiling &amp; Root Cause Analysis")</f>
        <v>Debugging, Profiling &amp; Root Cause Analysis</v>
      </c>
    </row>
    <row r="2272">
      <c r="A2272" s="7" t="str">
        <f>IFERROR(__xludf.DUMMYFUNCTION("""COMPUTED_VALUE"""),"R53")</f>
        <v>R53</v>
      </c>
      <c r="B2272" s="7" t="str">
        <f>IFERROR(__xludf.DUMMYFUNCTION("""COMPUTED_VALUE"""),"Game Engine Programmer")</f>
        <v>Game Engine Programmer</v>
      </c>
      <c r="C2272" s="7" t="str">
        <f>IFERROR(__xludf.DUMMYFUNCTION("""COMPUTED_VALUE"""),"S030")</f>
        <v>S030</v>
      </c>
      <c r="D2272" s="7" t="str">
        <f>IFERROR(__xludf.DUMMYFUNCTION("""COMPUTED_VALUE"""),"Discrete Mathematics &amp; Boolean Logic")</f>
        <v>Discrete Mathematics &amp; Boolean Logic</v>
      </c>
    </row>
    <row r="2273">
      <c r="A2273" s="7" t="str">
        <f>IFERROR(__xludf.DUMMYFUNCTION("""COMPUTED_VALUE"""),"R53")</f>
        <v>R53</v>
      </c>
      <c r="B2273" s="7" t="str">
        <f>IFERROR(__xludf.DUMMYFUNCTION("""COMPUTED_VALUE"""),"Game Engine Programmer")</f>
        <v>Game Engine Programmer</v>
      </c>
      <c r="C2273" s="7" t="str">
        <f>IFERROR(__xludf.DUMMYFUNCTION("""COMPUTED_VALUE"""),"S055")</f>
        <v>S055</v>
      </c>
      <c r="D2273" s="7" t="str">
        <f>IFERROR(__xludf.DUMMYFUNCTION("""COMPUTED_VALUE"""),"WebAssembly (Wasm)")</f>
        <v>WebAssembly (Wasm)</v>
      </c>
    </row>
    <row r="2274">
      <c r="A2274" s="7" t="str">
        <f>IFERROR(__xludf.DUMMYFUNCTION("""COMPUTED_VALUE"""),"R53")</f>
        <v>R53</v>
      </c>
      <c r="B2274" s="7" t="str">
        <f>IFERROR(__xludf.DUMMYFUNCTION("""COMPUTED_VALUE"""),"Game Engine Programmer")</f>
        <v>Game Engine Programmer</v>
      </c>
      <c r="C2274" s="7" t="str">
        <f>IFERROR(__xludf.DUMMYFUNCTION("""COMPUTED_VALUE"""),"S058")</f>
        <v>S058</v>
      </c>
      <c r="D2274" s="7" t="str">
        <f>IFERROR(__xludf.DUMMYFUNCTION("""COMPUTED_VALUE"""),"WebGL &amp; 3D Browser Graphics (Three.js)")</f>
        <v>WebGL &amp; 3D Browser Graphics (Three.js)</v>
      </c>
    </row>
    <row r="2275">
      <c r="A2275" s="7" t="str">
        <f>IFERROR(__xludf.DUMMYFUNCTION("""COMPUTED_VALUE"""),"R53")</f>
        <v>R53</v>
      </c>
      <c r="B2275" s="7" t="str">
        <f>IFERROR(__xludf.DUMMYFUNCTION("""COMPUTED_VALUE"""),"Game Engine Programmer")</f>
        <v>Game Engine Programmer</v>
      </c>
      <c r="C2275" s="7" t="str">
        <f>IFERROR(__xludf.DUMMYFUNCTION("""COMPUTED_VALUE"""),"S075")</f>
        <v>S075</v>
      </c>
      <c r="D2275" s="7" t="str">
        <f>IFERROR(__xludf.DUMMYFUNCTION("""COMPUTED_VALUE"""),"C# &amp; .NET Runtime")</f>
        <v>C# &amp; .NET Runtime</v>
      </c>
    </row>
    <row r="2276">
      <c r="A2276" s="7" t="str">
        <f>IFERROR(__xludf.DUMMYFUNCTION("""COMPUTED_VALUE"""),"R53")</f>
        <v>R53</v>
      </c>
      <c r="B2276" s="7" t="str">
        <f>IFERROR(__xludf.DUMMYFUNCTION("""COMPUTED_VALUE"""),"Game Engine Programmer")</f>
        <v>Game Engine Programmer</v>
      </c>
      <c r="C2276" s="7" t="str">
        <f>IFERROR(__xludf.DUMMYFUNCTION("""COMPUTED_VALUE"""),"S078")</f>
        <v>S078</v>
      </c>
      <c r="D2276" s="7" t="str">
        <f>IFERROR(__xludf.DUMMYFUNCTION("""COMPUTED_VALUE"""),"Rust Systems &amp; Web Programming")</f>
        <v>Rust Systems &amp; Web Programming</v>
      </c>
    </row>
    <row r="2277">
      <c r="A2277" s="7" t="str">
        <f>IFERROR(__xludf.DUMMYFUNCTION("""COMPUTED_VALUE"""),"R53")</f>
        <v>R53</v>
      </c>
      <c r="B2277" s="7" t="str">
        <f>IFERROR(__xludf.DUMMYFUNCTION("""COMPUTED_VALUE"""),"Game Engine Programmer")</f>
        <v>Game Engine Programmer</v>
      </c>
      <c r="C2277" s="7" t="str">
        <f>IFERROR(__xludf.DUMMYFUNCTION("""COMPUTED_VALUE"""),"S082")</f>
        <v>S082</v>
      </c>
      <c r="D2277" s="7" t="str">
        <f>IFERROR(__xludf.DUMMYFUNCTION("""COMPUTED_VALUE"""),"C Programming &amp; Pointers")</f>
        <v>C Programming &amp; Pointers</v>
      </c>
    </row>
    <row r="2278">
      <c r="A2278" s="7" t="str">
        <f>IFERROR(__xludf.DUMMYFUNCTION("""COMPUTED_VALUE"""),"R53")</f>
        <v>R53</v>
      </c>
      <c r="B2278" s="7" t="str">
        <f>IFERROR(__xludf.DUMMYFUNCTION("""COMPUTED_VALUE"""),"Game Engine Programmer")</f>
        <v>Game Engine Programmer</v>
      </c>
      <c r="C2278" s="7" t="str">
        <f>IFERROR(__xludf.DUMMYFUNCTION("""COMPUTED_VALUE"""),"S083")</f>
        <v>S083</v>
      </c>
      <c r="D2278" s="7" t="str">
        <f>IFERROR(__xludf.DUMMYFUNCTION("""COMPUTED_VALUE"""),"C++ &amp; Standard Template Library (STL)")</f>
        <v>C++ &amp; Standard Template Library (STL)</v>
      </c>
    </row>
    <row r="2279">
      <c r="A2279" s="7" t="str">
        <f>IFERROR(__xludf.DUMMYFUNCTION("""COMPUTED_VALUE"""),"R53")</f>
        <v>R53</v>
      </c>
      <c r="B2279" s="7" t="str">
        <f>IFERROR(__xludf.DUMMYFUNCTION("""COMPUTED_VALUE"""),"Game Engine Programmer")</f>
        <v>Game Engine Programmer</v>
      </c>
      <c r="C2279" s="7" t="str">
        <f>IFERROR(__xludf.DUMMYFUNCTION("""COMPUTED_VALUE"""),"S100")</f>
        <v>S100</v>
      </c>
      <c r="D2279" s="7" t="str">
        <f>IFERROR(__xludf.DUMMYFUNCTION("""COMPUTED_VALUE"""),"Multithreading, Concurrency &amp; Parallel Processing")</f>
        <v>Multithreading, Concurrency &amp; Parallel Processing</v>
      </c>
    </row>
    <row r="2280">
      <c r="A2280" s="7" t="str">
        <f>IFERROR(__xludf.DUMMYFUNCTION("""COMPUTED_VALUE"""),"R53")</f>
        <v>R53</v>
      </c>
      <c r="B2280" s="7" t="str">
        <f>IFERROR(__xludf.DUMMYFUNCTION("""COMPUTED_VALUE"""),"Game Engine Programmer")</f>
        <v>Game Engine Programmer</v>
      </c>
      <c r="C2280" s="7" t="str">
        <f>IFERROR(__xludf.DUMMYFUNCTION("""COMPUTED_VALUE"""),"S138")</f>
        <v>S138</v>
      </c>
      <c r="D2280" s="7" t="str">
        <f>IFERROR(__xludf.DUMMYFUNCTION("""COMPUTED_VALUE"""),"Linear Algebra, Calculus &amp; Optimization for ML")</f>
        <v>Linear Algebra, Calculus &amp; Optimization for ML</v>
      </c>
    </row>
    <row r="2281">
      <c r="A2281" s="7" t="str">
        <f>IFERROR(__xludf.DUMMYFUNCTION("""COMPUTED_VALUE"""),"R53")</f>
        <v>R53</v>
      </c>
      <c r="B2281" s="7" t="str">
        <f>IFERROR(__xludf.DUMMYFUNCTION("""COMPUTED_VALUE"""),"Game Engine Programmer")</f>
        <v>Game Engine Programmer</v>
      </c>
      <c r="C2281" s="7" t="str">
        <f>IFERROR(__xludf.DUMMYFUNCTION("""COMPUTED_VALUE"""),"S228")</f>
        <v>S228</v>
      </c>
      <c r="D2281" s="7" t="str">
        <f>IFERROR(__xludf.DUMMYFUNCTION("""COMPUTED_VALUE"""),"Game Development with Unity Engine &amp; C#")</f>
        <v>Game Development with Unity Engine &amp; C#</v>
      </c>
    </row>
    <row r="2282">
      <c r="A2282" s="7" t="str">
        <f>IFERROR(__xludf.DUMMYFUNCTION("""COMPUTED_VALUE"""),"R53")</f>
        <v>R53</v>
      </c>
      <c r="B2282" s="7" t="str">
        <f>IFERROR(__xludf.DUMMYFUNCTION("""COMPUTED_VALUE"""),"Game Engine Programmer")</f>
        <v>Game Engine Programmer</v>
      </c>
      <c r="C2282" s="7" t="str">
        <f>IFERROR(__xludf.DUMMYFUNCTION("""COMPUTED_VALUE"""),"S229")</f>
        <v>S229</v>
      </c>
      <c r="D2282" s="7" t="str">
        <f>IFERROR(__xludf.DUMMYFUNCTION("""COMPUTED_VALUE"""),"Game Development with Unreal Engine &amp; C++")</f>
        <v>Game Development with Unreal Engine &amp; C++</v>
      </c>
    </row>
    <row r="2283">
      <c r="A2283" s="7" t="str">
        <f>IFERROR(__xludf.DUMMYFUNCTION("""COMPUTED_VALUE"""),"R53")</f>
        <v>R53</v>
      </c>
      <c r="B2283" s="7" t="str">
        <f>IFERROR(__xludf.DUMMYFUNCTION("""COMPUTED_VALUE"""),"Game Engine Programmer")</f>
        <v>Game Engine Programmer</v>
      </c>
      <c r="C2283" s="7" t="str">
        <f>IFERROR(__xludf.DUMMYFUNCTION("""COMPUTED_VALUE"""),"S230")</f>
        <v>S230</v>
      </c>
      <c r="D2283" s="7" t="str">
        <f>IFERROR(__xludf.DUMMYFUNCTION("""COMPUTED_VALUE"""),"3D Mathematics, Physics Engines &amp; Shader Programming (HLSL/GLSL)")</f>
        <v>3D Mathematics, Physics Engines &amp; Shader Programming (HLSL/GLSL)</v>
      </c>
    </row>
    <row r="2284">
      <c r="A2284" s="7" t="str">
        <f>IFERROR(__xludf.DUMMYFUNCTION("""COMPUTED_VALUE"""),"R53")</f>
        <v>R53</v>
      </c>
      <c r="B2284" s="7" t="str">
        <f>IFERROR(__xludf.DUMMYFUNCTION("""COMPUTED_VALUE"""),"Game Engine Programmer")</f>
        <v>Game Engine Programmer</v>
      </c>
      <c r="C2284" s="7" t="str">
        <f>IFERROR(__xludf.DUMMYFUNCTION("""COMPUTED_VALUE"""),"S231")</f>
        <v>S231</v>
      </c>
      <c r="D2284" s="7" t="str">
        <f>IFERROR(__xludf.DUMMYFUNCTION("""COMPUTED_VALUE"""),"Extended Reality Development (AR/VR, OpenXR, ARKit, ARCore)")</f>
        <v>Extended Reality Development (AR/VR, OpenXR, ARKit, ARCore)</v>
      </c>
    </row>
    <row r="2285">
      <c r="A2285" s="7" t="str">
        <f>IFERROR(__xludf.DUMMYFUNCTION("""COMPUTED_VALUE"""),"R53")</f>
        <v>R53</v>
      </c>
      <c r="B2285" s="7" t="str">
        <f>IFERROR(__xludf.DUMMYFUNCTION("""COMPUTED_VALUE"""),"Game Engine Programmer")</f>
        <v>Game Engine Programmer</v>
      </c>
      <c r="C2285" s="7" t="str">
        <f>IFERROR(__xludf.DUMMYFUNCTION("""COMPUTED_VALUE"""),"S246")</f>
        <v>S246</v>
      </c>
      <c r="D2285" s="7" t="str">
        <f>IFERROR(__xludf.DUMMYFUNCTION("""COMPUTED_VALUE"""),"Agile Methodologies, Scrum Framework &amp; Kanban")</f>
        <v>Agile Methodologies, Scrum Framework &amp; Kanban</v>
      </c>
    </row>
    <row r="2286">
      <c r="A2286" s="7" t="str">
        <f>IFERROR(__xludf.DUMMYFUNCTION("""COMPUTED_VALUE"""),"R53")</f>
        <v>R53</v>
      </c>
      <c r="B2286" s="7" t="str">
        <f>IFERROR(__xludf.DUMMYFUNCTION("""COMPUTED_VALUE"""),"Game Engine Programmer")</f>
        <v>Game Engine Programmer</v>
      </c>
      <c r="C2286" s="7" t="str">
        <f>IFERROR(__xludf.DUMMYFUNCTION("""COMPUTED_VALUE"""),"S247")</f>
        <v>S247</v>
      </c>
      <c r="D2286" s="7" t="str">
        <f>IFERROR(__xludf.DUMMYFUNCTION("""COMPUTED_VALUE"""),"Project Tracking &amp; Documentation Tools (Jira, Confluence, Linear)")</f>
        <v>Project Tracking &amp; Documentation Tools (Jira, Confluence, Linear)</v>
      </c>
    </row>
    <row r="2287">
      <c r="A2287" s="7" t="str">
        <f>IFERROR(__xludf.DUMMYFUNCTION("""COMPUTED_VALUE"""),"R54")</f>
        <v>R54</v>
      </c>
      <c r="B2287" s="7" t="str">
        <f>IFERROR(__xludf.DUMMYFUNCTION("""COMPUTED_VALUE"""),"AR/VR Developer")</f>
        <v>AR/VR Developer</v>
      </c>
      <c r="C2287" s="7" t="str">
        <f>IFERROR(__xludf.DUMMYFUNCTION("""COMPUTED_VALUE"""),"S001")</f>
        <v>S001</v>
      </c>
      <c r="D2287" s="7" t="str">
        <f>IFERROR(__xludf.DUMMYFUNCTION("""COMPUTED_VALUE"""),"Computer Architecture &amp; Organization")</f>
        <v>Computer Architecture &amp; Organization</v>
      </c>
    </row>
    <row r="2288">
      <c r="A2288" s="7" t="str">
        <f>IFERROR(__xludf.DUMMYFUNCTION("""COMPUTED_VALUE"""),"R54")</f>
        <v>R54</v>
      </c>
      <c r="B2288" s="7" t="str">
        <f>IFERROR(__xludf.DUMMYFUNCTION("""COMPUTED_VALUE"""),"AR/VR Developer")</f>
        <v>AR/VR Developer</v>
      </c>
      <c r="C2288" s="7" t="str">
        <f>IFERROR(__xludf.DUMMYFUNCTION("""COMPUTED_VALUE"""),"S003")</f>
        <v>S003</v>
      </c>
      <c r="D2288" s="7" t="str">
        <f>IFERROR(__xludf.DUMMYFUNCTION("""COMPUTED_VALUE"""),"Process &amp; Thread Management")</f>
        <v>Process &amp; Thread Management</v>
      </c>
    </row>
    <row r="2289">
      <c r="A2289" s="7" t="str">
        <f>IFERROR(__xludf.DUMMYFUNCTION("""COMPUTED_VALUE"""),"R54")</f>
        <v>R54</v>
      </c>
      <c r="B2289" s="7" t="str">
        <f>IFERROR(__xludf.DUMMYFUNCTION("""COMPUTED_VALUE"""),"AR/VR Developer")</f>
        <v>AR/VR Developer</v>
      </c>
      <c r="C2289" s="7" t="str">
        <f>IFERROR(__xludf.DUMMYFUNCTION("""COMPUTED_VALUE"""),"S004")</f>
        <v>S004</v>
      </c>
      <c r="D2289" s="7" t="str">
        <f>IFERROR(__xludf.DUMMYFUNCTION("""COMPUTED_VALUE"""),"Memory Management &amp; Paging")</f>
        <v>Memory Management &amp; Paging</v>
      </c>
    </row>
    <row r="2290">
      <c r="A2290" s="7" t="str">
        <f>IFERROR(__xludf.DUMMYFUNCTION("""COMPUTED_VALUE"""),"R54")</f>
        <v>R54</v>
      </c>
      <c r="B2290" s="7" t="str">
        <f>IFERROR(__xludf.DUMMYFUNCTION("""COMPUTED_VALUE"""),"AR/VR Developer")</f>
        <v>AR/VR Developer</v>
      </c>
      <c r="C2290" s="7" t="str">
        <f>IFERROR(__xludf.DUMMYFUNCTION("""COMPUTED_VALUE"""),"S006")</f>
        <v>S006</v>
      </c>
      <c r="D2290" s="7" t="str">
        <f>IFERROR(__xludf.DUMMYFUNCTION("""COMPUTED_VALUE"""),"Basic Data Structures (Arrays, Lists, Stacks, Queues)")</f>
        <v>Basic Data Structures (Arrays, Lists, Stacks, Queues)</v>
      </c>
    </row>
    <row r="2291">
      <c r="A2291" s="7" t="str">
        <f>IFERROR(__xludf.DUMMYFUNCTION("""COMPUTED_VALUE"""),"R54")</f>
        <v>R54</v>
      </c>
      <c r="B2291" s="7" t="str">
        <f>IFERROR(__xludf.DUMMYFUNCTION("""COMPUTED_VALUE"""),"AR/VR Developer")</f>
        <v>AR/VR Developer</v>
      </c>
      <c r="C2291" s="7" t="str">
        <f>IFERROR(__xludf.DUMMYFUNCTION("""COMPUTED_VALUE"""),"S007")</f>
        <v>S007</v>
      </c>
      <c r="D2291" s="7" t="str">
        <f>IFERROR(__xludf.DUMMYFUNCTION("""COMPUTED_VALUE"""),"Trees &amp; Binary Search Trees")</f>
        <v>Trees &amp; Binary Search Trees</v>
      </c>
    </row>
    <row r="2292">
      <c r="A2292" s="7" t="str">
        <f>IFERROR(__xludf.DUMMYFUNCTION("""COMPUTED_VALUE"""),"R54")</f>
        <v>R54</v>
      </c>
      <c r="B2292" s="7" t="str">
        <f>IFERROR(__xludf.DUMMYFUNCTION("""COMPUTED_VALUE"""),"AR/VR Developer")</f>
        <v>AR/VR Developer</v>
      </c>
      <c r="C2292" s="7" t="str">
        <f>IFERROR(__xludf.DUMMYFUNCTION("""COMPUTED_VALUE"""),"S009")</f>
        <v>S009</v>
      </c>
      <c r="D2292" s="7" t="str">
        <f>IFERROR(__xludf.DUMMYFUNCTION("""COMPUTED_VALUE"""),"Graphs &amp; Graph Traversal (BFS/DFS)")</f>
        <v>Graphs &amp; Graph Traversal (BFS/DFS)</v>
      </c>
    </row>
    <row r="2293">
      <c r="A2293" s="7" t="str">
        <f>IFERROR(__xludf.DUMMYFUNCTION("""COMPUTED_VALUE"""),"R54")</f>
        <v>R54</v>
      </c>
      <c r="B2293" s="7" t="str">
        <f>IFERROR(__xludf.DUMMYFUNCTION("""COMPUTED_VALUE"""),"AR/VR Developer")</f>
        <v>AR/VR Developer</v>
      </c>
      <c r="C2293" s="7" t="str">
        <f>IFERROR(__xludf.DUMMYFUNCTION("""COMPUTED_VALUE"""),"S010")</f>
        <v>S010</v>
      </c>
      <c r="D2293" s="7" t="str">
        <f>IFERROR(__xludf.DUMMYFUNCTION("""COMPUTED_VALUE"""),"Sorting &amp; Searching Algorithms")</f>
        <v>Sorting &amp; Searching Algorithms</v>
      </c>
    </row>
    <row r="2294">
      <c r="A2294" s="7" t="str">
        <f>IFERROR(__xludf.DUMMYFUNCTION("""COMPUTED_VALUE"""),"R54")</f>
        <v>R54</v>
      </c>
      <c r="B2294" s="7" t="str">
        <f>IFERROR(__xludf.DUMMYFUNCTION("""COMPUTED_VALUE"""),"AR/VR Developer")</f>
        <v>AR/VR Developer</v>
      </c>
      <c r="C2294" s="7" t="str">
        <f>IFERROR(__xludf.DUMMYFUNCTION("""COMPUTED_VALUE"""),"S012")</f>
        <v>S012</v>
      </c>
      <c r="D2294" s="7" t="str">
        <f>IFERROR(__xludf.DUMMYFUNCTION("""COMPUTED_VALUE"""),"Time &amp; Space Complexity (Big-O Analysis)")</f>
        <v>Time &amp; Space Complexity (Big-O Analysis)</v>
      </c>
    </row>
    <row r="2295">
      <c r="A2295" s="7" t="str">
        <f>IFERROR(__xludf.DUMMYFUNCTION("""COMPUTED_VALUE"""),"R54")</f>
        <v>R54</v>
      </c>
      <c r="B2295" s="7" t="str">
        <f>IFERROR(__xludf.DUMMYFUNCTION("""COMPUTED_VALUE"""),"AR/VR Developer")</f>
        <v>AR/VR Developer</v>
      </c>
      <c r="C2295" s="7" t="str">
        <f>IFERROR(__xludf.DUMMYFUNCTION("""COMPUTED_VALUE"""),"S013")</f>
        <v>S013</v>
      </c>
      <c r="D2295" s="7" t="str">
        <f>IFERROR(__xludf.DUMMYFUNCTION("""COMPUTED_VALUE"""),"Object-Oriented Programming (OOP)")</f>
        <v>Object-Oriented Programming (OOP)</v>
      </c>
    </row>
    <row r="2296">
      <c r="A2296" s="7" t="str">
        <f>IFERROR(__xludf.DUMMYFUNCTION("""COMPUTED_VALUE"""),"R54")</f>
        <v>R54</v>
      </c>
      <c r="B2296" s="7" t="str">
        <f>IFERROR(__xludf.DUMMYFUNCTION("""COMPUTED_VALUE"""),"AR/VR Developer")</f>
        <v>AR/VR Developer</v>
      </c>
      <c r="C2296" s="7" t="str">
        <f>IFERROR(__xludf.DUMMYFUNCTION("""COMPUTED_VALUE"""),"S015")</f>
        <v>S015</v>
      </c>
      <c r="D2296" s="7" t="str">
        <f>IFERROR(__xludf.DUMMYFUNCTION("""COMPUTED_VALUE"""),"Software Design Patterns (GoF)")</f>
        <v>Software Design Patterns (GoF)</v>
      </c>
    </row>
    <row r="2297">
      <c r="A2297" s="7" t="str">
        <f>IFERROR(__xludf.DUMMYFUNCTION("""COMPUTED_VALUE"""),"R54")</f>
        <v>R54</v>
      </c>
      <c r="B2297" s="7" t="str">
        <f>IFERROR(__xludf.DUMMYFUNCTION("""COMPUTED_VALUE"""),"AR/VR Developer")</f>
        <v>AR/VR Developer</v>
      </c>
      <c r="C2297" s="7" t="str">
        <f>IFERROR(__xludf.DUMMYFUNCTION("""COMPUTED_VALUE"""),"S016")</f>
        <v>S016</v>
      </c>
      <c r="D2297" s="7" t="str">
        <f>IFERROR(__xludf.DUMMYFUNCTION("""COMPUTED_VALUE"""),"SOLID Principles &amp; Clean Code")</f>
        <v>SOLID Principles &amp; Clean Code</v>
      </c>
    </row>
    <row r="2298">
      <c r="A2298" s="7" t="str">
        <f>IFERROR(__xludf.DUMMYFUNCTION("""COMPUTED_VALUE"""),"R54")</f>
        <v>R54</v>
      </c>
      <c r="B2298" s="7" t="str">
        <f>IFERROR(__xludf.DUMMYFUNCTION("""COMPUTED_VALUE"""),"AR/VR Developer")</f>
        <v>AR/VR Developer</v>
      </c>
      <c r="C2298" s="7" t="str">
        <f>IFERROR(__xludf.DUMMYFUNCTION("""COMPUTED_VALUE"""),"S017")</f>
        <v>S017</v>
      </c>
      <c r="D2298" s="7" t="str">
        <f>IFERROR(__xludf.DUMMYFUNCTION("""COMPUTED_VALUE"""),"Git Version Control Fundamentals")</f>
        <v>Git Version Control Fundamentals</v>
      </c>
    </row>
    <row r="2299">
      <c r="A2299" s="7" t="str">
        <f>IFERROR(__xludf.DUMMYFUNCTION("""COMPUTED_VALUE"""),"R54")</f>
        <v>R54</v>
      </c>
      <c r="B2299" s="7" t="str">
        <f>IFERROR(__xludf.DUMMYFUNCTION("""COMPUTED_VALUE"""),"AR/VR Developer")</f>
        <v>AR/VR Developer</v>
      </c>
      <c r="C2299" s="7" t="str">
        <f>IFERROR(__xludf.DUMMYFUNCTION("""COMPUTED_VALUE"""),"S018")</f>
        <v>S018</v>
      </c>
      <c r="D2299" s="7" t="str">
        <f>IFERROR(__xludf.DUMMYFUNCTION("""COMPUTED_VALUE"""),"GitHub / GitLab Workflows &amp; Pull Requests")</f>
        <v>GitHub / GitLab Workflows &amp; Pull Requests</v>
      </c>
    </row>
    <row r="2300">
      <c r="A2300" s="7" t="str">
        <f>IFERROR(__xludf.DUMMYFUNCTION("""COMPUTED_VALUE"""),"R54")</f>
        <v>R54</v>
      </c>
      <c r="B2300" s="7" t="str">
        <f>IFERROR(__xludf.DUMMYFUNCTION("""COMPUTED_VALUE"""),"AR/VR Developer")</f>
        <v>AR/VR Developer</v>
      </c>
      <c r="C2300" s="7" t="str">
        <f>IFERROR(__xludf.DUMMYFUNCTION("""COMPUTED_VALUE"""),"S026")</f>
        <v>S026</v>
      </c>
      <c r="D2300" s="7" t="str">
        <f>IFERROR(__xludf.DUMMYFUNCTION("""COMPUTED_VALUE"""),"Data Serialization (JSON, XML, YAML, Protobuf)")</f>
        <v>Data Serialization (JSON, XML, YAML, Protobuf)</v>
      </c>
    </row>
    <row r="2301">
      <c r="A2301" s="7" t="str">
        <f>IFERROR(__xludf.DUMMYFUNCTION("""COMPUTED_VALUE"""),"R54")</f>
        <v>R54</v>
      </c>
      <c r="B2301" s="7" t="str">
        <f>IFERROR(__xludf.DUMMYFUNCTION("""COMPUTED_VALUE"""),"AR/VR Developer")</f>
        <v>AR/VR Developer</v>
      </c>
      <c r="C2301" s="7" t="str">
        <f>IFERROR(__xludf.DUMMYFUNCTION("""COMPUTED_VALUE"""),"S028")</f>
        <v>S028</v>
      </c>
      <c r="D2301" s="7" t="str">
        <f>IFERROR(__xludf.DUMMYFUNCTION("""COMPUTED_VALUE"""),"Technical Writing &amp; Markdown Documentation")</f>
        <v>Technical Writing &amp; Markdown Documentation</v>
      </c>
    </row>
    <row r="2302">
      <c r="A2302" s="7" t="str">
        <f>IFERROR(__xludf.DUMMYFUNCTION("""COMPUTED_VALUE"""),"R54")</f>
        <v>R54</v>
      </c>
      <c r="B2302" s="7" t="str">
        <f>IFERROR(__xludf.DUMMYFUNCTION("""COMPUTED_VALUE"""),"AR/VR Developer")</f>
        <v>AR/VR Developer</v>
      </c>
      <c r="C2302" s="7" t="str">
        <f>IFERROR(__xludf.DUMMYFUNCTION("""COMPUTED_VALUE"""),"S029")</f>
        <v>S029</v>
      </c>
      <c r="D2302" s="7" t="str">
        <f>IFERROR(__xludf.DUMMYFUNCTION("""COMPUTED_VALUE"""),"Debugging, Profiling &amp; Root Cause Analysis")</f>
        <v>Debugging, Profiling &amp; Root Cause Analysis</v>
      </c>
    </row>
    <row r="2303">
      <c r="A2303" s="7" t="str">
        <f>IFERROR(__xludf.DUMMYFUNCTION("""COMPUTED_VALUE"""),"R54")</f>
        <v>R54</v>
      </c>
      <c r="B2303" s="7" t="str">
        <f>IFERROR(__xludf.DUMMYFUNCTION("""COMPUTED_VALUE"""),"AR/VR Developer")</f>
        <v>AR/VR Developer</v>
      </c>
      <c r="C2303" s="7" t="str">
        <f>IFERROR(__xludf.DUMMYFUNCTION("""COMPUTED_VALUE"""),"S030")</f>
        <v>S030</v>
      </c>
      <c r="D2303" s="7" t="str">
        <f>IFERROR(__xludf.DUMMYFUNCTION("""COMPUTED_VALUE"""),"Discrete Mathematics &amp; Boolean Logic")</f>
        <v>Discrete Mathematics &amp; Boolean Logic</v>
      </c>
    </row>
    <row r="2304">
      <c r="A2304" s="7" t="str">
        <f>IFERROR(__xludf.DUMMYFUNCTION("""COMPUTED_VALUE"""),"R54")</f>
        <v>R54</v>
      </c>
      <c r="B2304" s="7" t="str">
        <f>IFERROR(__xludf.DUMMYFUNCTION("""COMPUTED_VALUE"""),"AR/VR Developer")</f>
        <v>AR/VR Developer</v>
      </c>
      <c r="C2304" s="7" t="str">
        <f>IFERROR(__xludf.DUMMYFUNCTION("""COMPUTED_VALUE"""),"S034")</f>
        <v>S034</v>
      </c>
      <c r="D2304" s="7" t="str">
        <f>IFERROR(__xludf.DUMMYFUNCTION("""COMPUTED_VALUE"""),"JavaScript Fundamentals (ES6+)")</f>
        <v>JavaScript Fundamentals (ES6+)</v>
      </c>
    </row>
    <row r="2305">
      <c r="A2305" s="7" t="str">
        <f>IFERROR(__xludf.DUMMYFUNCTION("""COMPUTED_VALUE"""),"R54")</f>
        <v>R54</v>
      </c>
      <c r="B2305" s="7" t="str">
        <f>IFERROR(__xludf.DUMMYFUNCTION("""COMPUTED_VALUE"""),"AR/VR Developer")</f>
        <v>AR/VR Developer</v>
      </c>
      <c r="C2305" s="7" t="str">
        <f>IFERROR(__xludf.DUMMYFUNCTION("""COMPUTED_VALUE"""),"S038")</f>
        <v>S038</v>
      </c>
      <c r="D2305" s="7" t="str">
        <f>IFERROR(__xludf.DUMMYFUNCTION("""COMPUTED_VALUE"""),"TypeScript &amp; Static Typing")</f>
        <v>TypeScript &amp; Static Typing</v>
      </c>
    </row>
    <row r="2306">
      <c r="A2306" s="7" t="str">
        <f>IFERROR(__xludf.DUMMYFUNCTION("""COMPUTED_VALUE"""),"R54")</f>
        <v>R54</v>
      </c>
      <c r="B2306" s="7" t="str">
        <f>IFERROR(__xludf.DUMMYFUNCTION("""COMPUTED_VALUE"""),"AR/VR Developer")</f>
        <v>AR/VR Developer</v>
      </c>
      <c r="C2306" s="7" t="str">
        <f>IFERROR(__xludf.DUMMYFUNCTION("""COMPUTED_VALUE"""),"S055")</f>
        <v>S055</v>
      </c>
      <c r="D2306" s="7" t="str">
        <f>IFERROR(__xludf.DUMMYFUNCTION("""COMPUTED_VALUE"""),"WebAssembly (Wasm)")</f>
        <v>WebAssembly (Wasm)</v>
      </c>
    </row>
    <row r="2307">
      <c r="A2307" s="7" t="str">
        <f>IFERROR(__xludf.DUMMYFUNCTION("""COMPUTED_VALUE"""),"R54")</f>
        <v>R54</v>
      </c>
      <c r="B2307" s="7" t="str">
        <f>IFERROR(__xludf.DUMMYFUNCTION("""COMPUTED_VALUE"""),"AR/VR Developer")</f>
        <v>AR/VR Developer</v>
      </c>
      <c r="C2307" s="7" t="str">
        <f>IFERROR(__xludf.DUMMYFUNCTION("""COMPUTED_VALUE"""),"S058")</f>
        <v>S058</v>
      </c>
      <c r="D2307" s="7" t="str">
        <f>IFERROR(__xludf.DUMMYFUNCTION("""COMPUTED_VALUE"""),"WebGL &amp; 3D Browser Graphics (Three.js)")</f>
        <v>WebGL &amp; 3D Browser Graphics (Three.js)</v>
      </c>
    </row>
    <row r="2308">
      <c r="A2308" s="7" t="str">
        <f>IFERROR(__xludf.DUMMYFUNCTION("""COMPUTED_VALUE"""),"R54")</f>
        <v>R54</v>
      </c>
      <c r="B2308" s="7" t="str">
        <f>IFERROR(__xludf.DUMMYFUNCTION("""COMPUTED_VALUE"""),"AR/VR Developer")</f>
        <v>AR/VR Developer</v>
      </c>
      <c r="C2308" s="7" t="str">
        <f>IFERROR(__xludf.DUMMYFUNCTION("""COMPUTED_VALUE"""),"S075")</f>
        <v>S075</v>
      </c>
      <c r="D2308" s="7" t="str">
        <f>IFERROR(__xludf.DUMMYFUNCTION("""COMPUTED_VALUE"""),"C# &amp; .NET Runtime")</f>
        <v>C# &amp; .NET Runtime</v>
      </c>
    </row>
    <row r="2309">
      <c r="A2309" s="7" t="str">
        <f>IFERROR(__xludf.DUMMYFUNCTION("""COMPUTED_VALUE"""),"R54")</f>
        <v>R54</v>
      </c>
      <c r="B2309" s="7" t="str">
        <f>IFERROR(__xludf.DUMMYFUNCTION("""COMPUTED_VALUE"""),"AR/VR Developer")</f>
        <v>AR/VR Developer</v>
      </c>
      <c r="C2309" s="7" t="str">
        <f>IFERROR(__xludf.DUMMYFUNCTION("""COMPUTED_VALUE"""),"S082")</f>
        <v>S082</v>
      </c>
      <c r="D2309" s="7" t="str">
        <f>IFERROR(__xludf.DUMMYFUNCTION("""COMPUTED_VALUE"""),"C Programming &amp; Pointers")</f>
        <v>C Programming &amp; Pointers</v>
      </c>
    </row>
    <row r="2310">
      <c r="A2310" s="7" t="str">
        <f>IFERROR(__xludf.DUMMYFUNCTION("""COMPUTED_VALUE"""),"R54")</f>
        <v>R54</v>
      </c>
      <c r="B2310" s="7" t="str">
        <f>IFERROR(__xludf.DUMMYFUNCTION("""COMPUTED_VALUE"""),"AR/VR Developer")</f>
        <v>AR/VR Developer</v>
      </c>
      <c r="C2310" s="7" t="str">
        <f>IFERROR(__xludf.DUMMYFUNCTION("""COMPUTED_VALUE"""),"S083")</f>
        <v>S083</v>
      </c>
      <c r="D2310" s="7" t="str">
        <f>IFERROR(__xludf.DUMMYFUNCTION("""COMPUTED_VALUE"""),"C++ &amp; Standard Template Library (STL)")</f>
        <v>C++ &amp; Standard Template Library (STL)</v>
      </c>
    </row>
    <row r="2311">
      <c r="A2311" s="7" t="str">
        <f>IFERROR(__xludf.DUMMYFUNCTION("""COMPUTED_VALUE"""),"R54")</f>
        <v>R54</v>
      </c>
      <c r="B2311" s="7" t="str">
        <f>IFERROR(__xludf.DUMMYFUNCTION("""COMPUTED_VALUE"""),"AR/VR Developer")</f>
        <v>AR/VR Developer</v>
      </c>
      <c r="C2311" s="7" t="str">
        <f>IFERROR(__xludf.DUMMYFUNCTION("""COMPUTED_VALUE"""),"S100")</f>
        <v>S100</v>
      </c>
      <c r="D2311" s="7" t="str">
        <f>IFERROR(__xludf.DUMMYFUNCTION("""COMPUTED_VALUE"""),"Multithreading, Concurrency &amp; Parallel Processing")</f>
        <v>Multithreading, Concurrency &amp; Parallel Processing</v>
      </c>
    </row>
    <row r="2312">
      <c r="A2312" s="7" t="str">
        <f>IFERROR(__xludf.DUMMYFUNCTION("""COMPUTED_VALUE"""),"R54")</f>
        <v>R54</v>
      </c>
      <c r="B2312" s="7" t="str">
        <f>IFERROR(__xludf.DUMMYFUNCTION("""COMPUTED_VALUE"""),"AR/VR Developer")</f>
        <v>AR/VR Developer</v>
      </c>
      <c r="C2312" s="7" t="str">
        <f>IFERROR(__xludf.DUMMYFUNCTION("""COMPUTED_VALUE"""),"S138")</f>
        <v>S138</v>
      </c>
      <c r="D2312" s="7" t="str">
        <f>IFERROR(__xludf.DUMMYFUNCTION("""COMPUTED_VALUE"""),"Linear Algebra, Calculus &amp; Optimization for ML")</f>
        <v>Linear Algebra, Calculus &amp; Optimization for ML</v>
      </c>
    </row>
    <row r="2313">
      <c r="A2313" s="7" t="str">
        <f>IFERROR(__xludf.DUMMYFUNCTION("""COMPUTED_VALUE"""),"R54")</f>
        <v>R54</v>
      </c>
      <c r="B2313" s="7" t="str">
        <f>IFERROR(__xludf.DUMMYFUNCTION("""COMPUTED_VALUE"""),"AR/VR Developer")</f>
        <v>AR/VR Developer</v>
      </c>
      <c r="C2313" s="7" t="str">
        <f>IFERROR(__xludf.DUMMYFUNCTION("""COMPUTED_VALUE"""),"S161")</f>
        <v>S161</v>
      </c>
      <c r="D2313" s="7" t="str">
        <f>IFERROR(__xludf.DUMMYFUNCTION("""COMPUTED_VALUE"""),"Computer Vision &amp; Image Processing (OpenCV)")</f>
        <v>Computer Vision &amp; Image Processing (OpenCV)</v>
      </c>
    </row>
    <row r="2314">
      <c r="A2314" s="7" t="str">
        <f>IFERROR(__xludf.DUMMYFUNCTION("""COMPUTED_VALUE"""),"R54")</f>
        <v>R54</v>
      </c>
      <c r="B2314" s="7" t="str">
        <f>IFERROR(__xludf.DUMMYFUNCTION("""COMPUTED_VALUE"""),"AR/VR Developer")</f>
        <v>AR/VR Developer</v>
      </c>
      <c r="C2314" s="7" t="str">
        <f>IFERROR(__xludf.DUMMYFUNCTION("""COMPUTED_VALUE"""),"S162")</f>
        <v>S162</v>
      </c>
      <c r="D2314" s="7" t="str">
        <f>IFERROR(__xludf.DUMMYFUNCTION("""COMPUTED_VALUE"""),"Convolutional Neural Networks (CNNs) &amp; Object Detection (YOLO)")</f>
        <v>Convolutional Neural Networks (CNNs) &amp; Object Detection (YOLO)</v>
      </c>
    </row>
    <row r="2315">
      <c r="A2315" s="7" t="str">
        <f>IFERROR(__xludf.DUMMYFUNCTION("""COMPUTED_VALUE"""),"R54")</f>
        <v>R54</v>
      </c>
      <c r="B2315" s="7" t="str">
        <f>IFERROR(__xludf.DUMMYFUNCTION("""COMPUTED_VALUE"""),"AR/VR Developer")</f>
        <v>AR/VR Developer</v>
      </c>
      <c r="C2315" s="7" t="str">
        <f>IFERROR(__xludf.DUMMYFUNCTION("""COMPUTED_VALUE"""),"S221")</f>
        <v>S221</v>
      </c>
      <c r="D2315" s="7" t="str">
        <f>IFERROR(__xludf.DUMMYFUNCTION("""COMPUTED_VALUE"""),"iOS Application Development (Swift &amp; UIKit)")</f>
        <v>iOS Application Development (Swift &amp; UIKit)</v>
      </c>
    </row>
    <row r="2316">
      <c r="A2316" s="7" t="str">
        <f>IFERROR(__xludf.DUMMYFUNCTION("""COMPUTED_VALUE"""),"R54")</f>
        <v>R54</v>
      </c>
      <c r="B2316" s="7" t="str">
        <f>IFERROR(__xludf.DUMMYFUNCTION("""COMPUTED_VALUE"""),"AR/VR Developer")</f>
        <v>AR/VR Developer</v>
      </c>
      <c r="C2316" s="7" t="str">
        <f>IFERROR(__xludf.DUMMYFUNCTION("""COMPUTED_VALUE"""),"S223")</f>
        <v>S223</v>
      </c>
      <c r="D2316" s="7" t="str">
        <f>IFERROR(__xludf.DUMMYFUNCTION("""COMPUTED_VALUE"""),"Android Application Development (Kotlin &amp; Android SDK)")</f>
        <v>Android Application Development (Kotlin &amp; Android SDK)</v>
      </c>
    </row>
    <row r="2317">
      <c r="A2317" s="7" t="str">
        <f>IFERROR(__xludf.DUMMYFUNCTION("""COMPUTED_VALUE"""),"R54")</f>
        <v>R54</v>
      </c>
      <c r="B2317" s="7" t="str">
        <f>IFERROR(__xludf.DUMMYFUNCTION("""COMPUTED_VALUE"""),"AR/VR Developer")</f>
        <v>AR/VR Developer</v>
      </c>
      <c r="C2317" s="7" t="str">
        <f>IFERROR(__xludf.DUMMYFUNCTION("""COMPUTED_VALUE"""),"S227")</f>
        <v>S227</v>
      </c>
      <c r="D2317" s="7" t="str">
        <f>IFERROR(__xludf.DUMMYFUNCTION("""COMPUTED_VALUE"""),"Mobile App Store Deployment, Signing &amp; Profiling")</f>
        <v>Mobile App Store Deployment, Signing &amp; Profiling</v>
      </c>
    </row>
    <row r="2318">
      <c r="A2318" s="7" t="str">
        <f>IFERROR(__xludf.DUMMYFUNCTION("""COMPUTED_VALUE"""),"R54")</f>
        <v>R54</v>
      </c>
      <c r="B2318" s="7" t="str">
        <f>IFERROR(__xludf.DUMMYFUNCTION("""COMPUTED_VALUE"""),"AR/VR Developer")</f>
        <v>AR/VR Developer</v>
      </c>
      <c r="C2318" s="7" t="str">
        <f>IFERROR(__xludf.DUMMYFUNCTION("""COMPUTED_VALUE"""),"S228")</f>
        <v>S228</v>
      </c>
      <c r="D2318" s="7" t="str">
        <f>IFERROR(__xludf.DUMMYFUNCTION("""COMPUTED_VALUE"""),"Game Development with Unity Engine &amp; C#")</f>
        <v>Game Development with Unity Engine &amp; C#</v>
      </c>
    </row>
    <row r="2319">
      <c r="A2319" s="7" t="str">
        <f>IFERROR(__xludf.DUMMYFUNCTION("""COMPUTED_VALUE"""),"R54")</f>
        <v>R54</v>
      </c>
      <c r="B2319" s="7" t="str">
        <f>IFERROR(__xludf.DUMMYFUNCTION("""COMPUTED_VALUE"""),"AR/VR Developer")</f>
        <v>AR/VR Developer</v>
      </c>
      <c r="C2319" s="7" t="str">
        <f>IFERROR(__xludf.DUMMYFUNCTION("""COMPUTED_VALUE"""),"S229")</f>
        <v>S229</v>
      </c>
      <c r="D2319" s="7" t="str">
        <f>IFERROR(__xludf.DUMMYFUNCTION("""COMPUTED_VALUE"""),"Game Development with Unreal Engine &amp; C++")</f>
        <v>Game Development with Unreal Engine &amp; C++</v>
      </c>
    </row>
    <row r="2320">
      <c r="A2320" s="7" t="str">
        <f>IFERROR(__xludf.DUMMYFUNCTION("""COMPUTED_VALUE"""),"R54")</f>
        <v>R54</v>
      </c>
      <c r="B2320" s="7" t="str">
        <f>IFERROR(__xludf.DUMMYFUNCTION("""COMPUTED_VALUE"""),"AR/VR Developer")</f>
        <v>AR/VR Developer</v>
      </c>
      <c r="C2320" s="7" t="str">
        <f>IFERROR(__xludf.DUMMYFUNCTION("""COMPUTED_VALUE"""),"S230")</f>
        <v>S230</v>
      </c>
      <c r="D2320" s="7" t="str">
        <f>IFERROR(__xludf.DUMMYFUNCTION("""COMPUTED_VALUE"""),"3D Mathematics, Physics Engines &amp; Shader Programming (HLSL/GLSL)")</f>
        <v>3D Mathematics, Physics Engines &amp; Shader Programming (HLSL/GLSL)</v>
      </c>
    </row>
    <row r="2321">
      <c r="A2321" s="7" t="str">
        <f>IFERROR(__xludf.DUMMYFUNCTION("""COMPUTED_VALUE"""),"R54")</f>
        <v>R54</v>
      </c>
      <c r="B2321" s="7" t="str">
        <f>IFERROR(__xludf.DUMMYFUNCTION("""COMPUTED_VALUE"""),"AR/VR Developer")</f>
        <v>AR/VR Developer</v>
      </c>
      <c r="C2321" s="7" t="str">
        <f>IFERROR(__xludf.DUMMYFUNCTION("""COMPUTED_VALUE"""),"S231")</f>
        <v>S231</v>
      </c>
      <c r="D2321" s="7" t="str">
        <f>IFERROR(__xludf.DUMMYFUNCTION("""COMPUTED_VALUE"""),"Extended Reality Development (AR/VR, OpenXR, ARKit, ARCore)")</f>
        <v>Extended Reality Development (AR/VR, OpenXR, ARKit, ARCore)</v>
      </c>
    </row>
    <row r="2322">
      <c r="A2322" s="7" t="str">
        <f>IFERROR(__xludf.DUMMYFUNCTION("""COMPUTED_VALUE"""),"R54")</f>
        <v>R54</v>
      </c>
      <c r="B2322" s="7" t="str">
        <f>IFERROR(__xludf.DUMMYFUNCTION("""COMPUTED_VALUE"""),"AR/VR Developer")</f>
        <v>AR/VR Developer</v>
      </c>
      <c r="C2322" s="7" t="str">
        <f>IFERROR(__xludf.DUMMYFUNCTION("""COMPUTED_VALUE"""),"S246")</f>
        <v>S246</v>
      </c>
      <c r="D2322" s="7" t="str">
        <f>IFERROR(__xludf.DUMMYFUNCTION("""COMPUTED_VALUE"""),"Agile Methodologies, Scrum Framework &amp; Kanban")</f>
        <v>Agile Methodologies, Scrum Framework &amp; Kanban</v>
      </c>
    </row>
    <row r="2323">
      <c r="A2323" s="7" t="str">
        <f>IFERROR(__xludf.DUMMYFUNCTION("""COMPUTED_VALUE"""),"R54")</f>
        <v>R54</v>
      </c>
      <c r="B2323" s="7" t="str">
        <f>IFERROR(__xludf.DUMMYFUNCTION("""COMPUTED_VALUE"""),"AR/VR Developer")</f>
        <v>AR/VR Developer</v>
      </c>
      <c r="C2323" s="7" t="str">
        <f>IFERROR(__xludf.DUMMYFUNCTION("""COMPUTED_VALUE"""),"S247")</f>
        <v>S247</v>
      </c>
      <c r="D2323" s="7" t="str">
        <f>IFERROR(__xludf.DUMMYFUNCTION("""COMPUTED_VALUE"""),"Project Tracking &amp; Documentation Tools (Jira, Confluence, Linear)")</f>
        <v>Project Tracking &amp; Documentation Tools (Jira, Confluence, Linear)</v>
      </c>
    </row>
    <row r="2324">
      <c r="A2324" s="7" t="str">
        <f>IFERROR(__xludf.DUMMYFUNCTION("""COMPUTED_VALUE"""),"R55")</f>
        <v>R55</v>
      </c>
      <c r="B2324" s="7" t="str">
        <f>IFERROR(__xludf.DUMMYFUNCTION("""COMPUTED_VALUE"""),"FinTech Systems Engineer")</f>
        <v>FinTech Systems Engineer</v>
      </c>
      <c r="C2324" s="7" t="str">
        <f>IFERROR(__xludf.DUMMYFUNCTION("""COMPUTED_VALUE"""),"S002")</f>
        <v>S002</v>
      </c>
      <c r="D2324" s="7" t="str">
        <f>IFERROR(__xludf.DUMMYFUNCTION("""COMPUTED_VALUE"""),"Operating Systems Concepts")</f>
        <v>Operating Systems Concepts</v>
      </c>
    </row>
    <row r="2325">
      <c r="A2325" s="7" t="str">
        <f>IFERROR(__xludf.DUMMYFUNCTION("""COMPUTED_VALUE"""),"R55")</f>
        <v>R55</v>
      </c>
      <c r="B2325" s="7" t="str">
        <f>IFERROR(__xludf.DUMMYFUNCTION("""COMPUTED_VALUE"""),"FinTech Systems Engineer")</f>
        <v>FinTech Systems Engineer</v>
      </c>
      <c r="C2325" s="7" t="str">
        <f>IFERROR(__xludf.DUMMYFUNCTION("""COMPUTED_VALUE"""),"S003")</f>
        <v>S003</v>
      </c>
      <c r="D2325" s="7" t="str">
        <f>IFERROR(__xludf.DUMMYFUNCTION("""COMPUTED_VALUE"""),"Process &amp; Thread Management")</f>
        <v>Process &amp; Thread Management</v>
      </c>
    </row>
    <row r="2326">
      <c r="A2326" s="7" t="str">
        <f>IFERROR(__xludf.DUMMYFUNCTION("""COMPUTED_VALUE"""),"R55")</f>
        <v>R55</v>
      </c>
      <c r="B2326" s="7" t="str">
        <f>IFERROR(__xludf.DUMMYFUNCTION("""COMPUTED_VALUE"""),"FinTech Systems Engineer")</f>
        <v>FinTech Systems Engineer</v>
      </c>
      <c r="C2326" s="7" t="str">
        <f>IFERROR(__xludf.DUMMYFUNCTION("""COMPUTED_VALUE"""),"S006")</f>
        <v>S006</v>
      </c>
      <c r="D2326" s="7" t="str">
        <f>IFERROR(__xludf.DUMMYFUNCTION("""COMPUTED_VALUE"""),"Basic Data Structures (Arrays, Lists, Stacks, Queues)")</f>
        <v>Basic Data Structures (Arrays, Lists, Stacks, Queues)</v>
      </c>
    </row>
    <row r="2327">
      <c r="A2327" s="7" t="str">
        <f>IFERROR(__xludf.DUMMYFUNCTION("""COMPUTED_VALUE"""),"R55")</f>
        <v>R55</v>
      </c>
      <c r="B2327" s="7" t="str">
        <f>IFERROR(__xludf.DUMMYFUNCTION("""COMPUTED_VALUE"""),"FinTech Systems Engineer")</f>
        <v>FinTech Systems Engineer</v>
      </c>
      <c r="C2327" s="7" t="str">
        <f>IFERROR(__xludf.DUMMYFUNCTION("""COMPUTED_VALUE"""),"S007")</f>
        <v>S007</v>
      </c>
      <c r="D2327" s="7" t="str">
        <f>IFERROR(__xludf.DUMMYFUNCTION("""COMPUTED_VALUE"""),"Trees &amp; Binary Search Trees")</f>
        <v>Trees &amp; Binary Search Trees</v>
      </c>
    </row>
    <row r="2328">
      <c r="A2328" s="7" t="str">
        <f>IFERROR(__xludf.DUMMYFUNCTION("""COMPUTED_VALUE"""),"R55")</f>
        <v>R55</v>
      </c>
      <c r="B2328" s="7" t="str">
        <f>IFERROR(__xludf.DUMMYFUNCTION("""COMPUTED_VALUE"""),"FinTech Systems Engineer")</f>
        <v>FinTech Systems Engineer</v>
      </c>
      <c r="C2328" s="7" t="str">
        <f>IFERROR(__xludf.DUMMYFUNCTION("""COMPUTED_VALUE"""),"S008")</f>
        <v>S008</v>
      </c>
      <c r="D2328" s="7" t="str">
        <f>IFERROR(__xludf.DUMMYFUNCTION("""COMPUTED_VALUE"""),"Heaps, Priority Queues &amp; Hashing")</f>
        <v>Heaps, Priority Queues &amp; Hashing</v>
      </c>
    </row>
    <row r="2329">
      <c r="A2329" s="7" t="str">
        <f>IFERROR(__xludf.DUMMYFUNCTION("""COMPUTED_VALUE"""),"R55")</f>
        <v>R55</v>
      </c>
      <c r="B2329" s="7" t="str">
        <f>IFERROR(__xludf.DUMMYFUNCTION("""COMPUTED_VALUE"""),"FinTech Systems Engineer")</f>
        <v>FinTech Systems Engineer</v>
      </c>
      <c r="C2329" s="7" t="str">
        <f>IFERROR(__xludf.DUMMYFUNCTION("""COMPUTED_VALUE"""),"S010")</f>
        <v>S010</v>
      </c>
      <c r="D2329" s="7" t="str">
        <f>IFERROR(__xludf.DUMMYFUNCTION("""COMPUTED_VALUE"""),"Sorting &amp; Searching Algorithms")</f>
        <v>Sorting &amp; Searching Algorithms</v>
      </c>
    </row>
    <row r="2330">
      <c r="A2330" s="7" t="str">
        <f>IFERROR(__xludf.DUMMYFUNCTION("""COMPUTED_VALUE"""),"R55")</f>
        <v>R55</v>
      </c>
      <c r="B2330" s="7" t="str">
        <f>IFERROR(__xludf.DUMMYFUNCTION("""COMPUTED_VALUE"""),"FinTech Systems Engineer")</f>
        <v>FinTech Systems Engineer</v>
      </c>
      <c r="C2330" s="7" t="str">
        <f>IFERROR(__xludf.DUMMYFUNCTION("""COMPUTED_VALUE"""),"S012")</f>
        <v>S012</v>
      </c>
      <c r="D2330" s="7" t="str">
        <f>IFERROR(__xludf.DUMMYFUNCTION("""COMPUTED_VALUE"""),"Time &amp; Space Complexity (Big-O Analysis)")</f>
        <v>Time &amp; Space Complexity (Big-O Analysis)</v>
      </c>
    </row>
    <row r="2331">
      <c r="A2331" s="7" t="str">
        <f>IFERROR(__xludf.DUMMYFUNCTION("""COMPUTED_VALUE"""),"R55")</f>
        <v>R55</v>
      </c>
      <c r="B2331" s="7" t="str">
        <f>IFERROR(__xludf.DUMMYFUNCTION("""COMPUTED_VALUE"""),"FinTech Systems Engineer")</f>
        <v>FinTech Systems Engineer</v>
      </c>
      <c r="C2331" s="7" t="str">
        <f>IFERROR(__xludf.DUMMYFUNCTION("""COMPUTED_VALUE"""),"S013")</f>
        <v>S013</v>
      </c>
      <c r="D2331" s="7" t="str">
        <f>IFERROR(__xludf.DUMMYFUNCTION("""COMPUTED_VALUE"""),"Object-Oriented Programming (OOP)")</f>
        <v>Object-Oriented Programming (OOP)</v>
      </c>
    </row>
    <row r="2332">
      <c r="A2332" s="7" t="str">
        <f>IFERROR(__xludf.DUMMYFUNCTION("""COMPUTED_VALUE"""),"R55")</f>
        <v>R55</v>
      </c>
      <c r="B2332" s="7" t="str">
        <f>IFERROR(__xludf.DUMMYFUNCTION("""COMPUTED_VALUE"""),"FinTech Systems Engineer")</f>
        <v>FinTech Systems Engineer</v>
      </c>
      <c r="C2332" s="7" t="str">
        <f>IFERROR(__xludf.DUMMYFUNCTION("""COMPUTED_VALUE"""),"S015")</f>
        <v>S015</v>
      </c>
      <c r="D2332" s="7" t="str">
        <f>IFERROR(__xludf.DUMMYFUNCTION("""COMPUTED_VALUE"""),"Software Design Patterns (GoF)")</f>
        <v>Software Design Patterns (GoF)</v>
      </c>
    </row>
    <row r="2333">
      <c r="A2333" s="7" t="str">
        <f>IFERROR(__xludf.DUMMYFUNCTION("""COMPUTED_VALUE"""),"R55")</f>
        <v>R55</v>
      </c>
      <c r="B2333" s="7" t="str">
        <f>IFERROR(__xludf.DUMMYFUNCTION("""COMPUTED_VALUE"""),"FinTech Systems Engineer")</f>
        <v>FinTech Systems Engineer</v>
      </c>
      <c r="C2333" s="7" t="str">
        <f>IFERROR(__xludf.DUMMYFUNCTION("""COMPUTED_VALUE"""),"S016")</f>
        <v>S016</v>
      </c>
      <c r="D2333" s="7" t="str">
        <f>IFERROR(__xludf.DUMMYFUNCTION("""COMPUTED_VALUE"""),"SOLID Principles &amp; Clean Code")</f>
        <v>SOLID Principles &amp; Clean Code</v>
      </c>
    </row>
    <row r="2334">
      <c r="A2334" s="7" t="str">
        <f>IFERROR(__xludf.DUMMYFUNCTION("""COMPUTED_VALUE"""),"R55")</f>
        <v>R55</v>
      </c>
      <c r="B2334" s="7" t="str">
        <f>IFERROR(__xludf.DUMMYFUNCTION("""COMPUTED_VALUE"""),"FinTech Systems Engineer")</f>
        <v>FinTech Systems Engineer</v>
      </c>
      <c r="C2334" s="7" t="str">
        <f>IFERROR(__xludf.DUMMYFUNCTION("""COMPUTED_VALUE"""),"S017")</f>
        <v>S017</v>
      </c>
      <c r="D2334" s="7" t="str">
        <f>IFERROR(__xludf.DUMMYFUNCTION("""COMPUTED_VALUE"""),"Git Version Control Fundamentals")</f>
        <v>Git Version Control Fundamentals</v>
      </c>
    </row>
    <row r="2335">
      <c r="A2335" s="7" t="str">
        <f>IFERROR(__xludf.DUMMYFUNCTION("""COMPUTED_VALUE"""),"R55")</f>
        <v>R55</v>
      </c>
      <c r="B2335" s="7" t="str">
        <f>IFERROR(__xludf.DUMMYFUNCTION("""COMPUTED_VALUE"""),"FinTech Systems Engineer")</f>
        <v>FinTech Systems Engineer</v>
      </c>
      <c r="C2335" s="7" t="str">
        <f>IFERROR(__xludf.DUMMYFUNCTION("""COMPUTED_VALUE"""),"S018")</f>
        <v>S018</v>
      </c>
      <c r="D2335" s="7" t="str">
        <f>IFERROR(__xludf.DUMMYFUNCTION("""COMPUTED_VALUE"""),"GitHub / GitLab Workflows &amp; Pull Requests")</f>
        <v>GitHub / GitLab Workflows &amp; Pull Requests</v>
      </c>
    </row>
    <row r="2336">
      <c r="A2336" s="7" t="str">
        <f>IFERROR(__xludf.DUMMYFUNCTION("""COMPUTED_VALUE"""),"R55")</f>
        <v>R55</v>
      </c>
      <c r="B2336" s="7" t="str">
        <f>IFERROR(__xludf.DUMMYFUNCTION("""COMPUTED_VALUE"""),"FinTech Systems Engineer")</f>
        <v>FinTech Systems Engineer</v>
      </c>
      <c r="C2336" s="7" t="str">
        <f>IFERROR(__xludf.DUMMYFUNCTION("""COMPUTED_VALUE"""),"S019")</f>
        <v>S019</v>
      </c>
      <c r="D2336" s="7" t="str">
        <f>IFERROR(__xludf.DUMMYFUNCTION("""COMPUTED_VALUE"""),"Linux Command Line &amp; File Permissions")</f>
        <v>Linux Command Line &amp; File Permissions</v>
      </c>
    </row>
    <row r="2337">
      <c r="A2337" s="7" t="str">
        <f>IFERROR(__xludf.DUMMYFUNCTION("""COMPUTED_VALUE"""),"R55")</f>
        <v>R55</v>
      </c>
      <c r="B2337" s="7" t="str">
        <f>IFERROR(__xludf.DUMMYFUNCTION("""COMPUTED_VALUE"""),"FinTech Systems Engineer")</f>
        <v>FinTech Systems Engineer</v>
      </c>
      <c r="C2337" s="7" t="str">
        <f>IFERROR(__xludf.DUMMYFUNCTION("""COMPUTED_VALUE"""),"S022")</f>
        <v>S022</v>
      </c>
      <c r="D2337" s="7" t="str">
        <f>IFERROR(__xludf.DUMMYFUNCTION("""COMPUTED_VALUE"""),"Computer Networking &amp; OSI Model")</f>
        <v>Computer Networking &amp; OSI Model</v>
      </c>
    </row>
    <row r="2338">
      <c r="A2338" s="7" t="str">
        <f>IFERROR(__xludf.DUMMYFUNCTION("""COMPUTED_VALUE"""),"R55")</f>
        <v>R55</v>
      </c>
      <c r="B2338" s="7" t="str">
        <f>IFERROR(__xludf.DUMMYFUNCTION("""COMPUTED_VALUE"""),"FinTech Systems Engineer")</f>
        <v>FinTech Systems Engineer</v>
      </c>
      <c r="C2338" s="7" t="str">
        <f>IFERROR(__xludf.DUMMYFUNCTION("""COMPUTED_VALUE"""),"S023")</f>
        <v>S023</v>
      </c>
      <c r="D2338" s="7" t="str">
        <f>IFERROR(__xludf.DUMMYFUNCTION("""COMPUTED_VALUE"""),"HTTP/HTTPS Protocols &amp; Status Codes")</f>
        <v>HTTP/HTTPS Protocols &amp; Status Codes</v>
      </c>
    </row>
    <row r="2339">
      <c r="A2339" s="7" t="str">
        <f>IFERROR(__xludf.DUMMYFUNCTION("""COMPUTED_VALUE"""),"R55")</f>
        <v>R55</v>
      </c>
      <c r="B2339" s="7" t="str">
        <f>IFERROR(__xludf.DUMMYFUNCTION("""COMPUTED_VALUE"""),"FinTech Systems Engineer")</f>
        <v>FinTech Systems Engineer</v>
      </c>
      <c r="C2339" s="7" t="str">
        <f>IFERROR(__xludf.DUMMYFUNCTION("""COMPUTED_VALUE"""),"S024")</f>
        <v>S024</v>
      </c>
      <c r="D2339" s="7" t="str">
        <f>IFERROR(__xludf.DUMMYFUNCTION("""COMPUTED_VALUE"""),"DNS, Domain Routing &amp; SSL/TLS")</f>
        <v>DNS, Domain Routing &amp; SSL/TLS</v>
      </c>
    </row>
    <row r="2340">
      <c r="A2340" s="7" t="str">
        <f>IFERROR(__xludf.DUMMYFUNCTION("""COMPUTED_VALUE"""),"R55")</f>
        <v>R55</v>
      </c>
      <c r="B2340" s="7" t="str">
        <f>IFERROR(__xludf.DUMMYFUNCTION("""COMPUTED_VALUE"""),"FinTech Systems Engineer")</f>
        <v>FinTech Systems Engineer</v>
      </c>
      <c r="C2340" s="7" t="str">
        <f>IFERROR(__xludf.DUMMYFUNCTION("""COMPUTED_VALUE"""),"S026")</f>
        <v>S026</v>
      </c>
      <c r="D2340" s="7" t="str">
        <f>IFERROR(__xludf.DUMMYFUNCTION("""COMPUTED_VALUE"""),"Data Serialization (JSON, XML, YAML, Protobuf)")</f>
        <v>Data Serialization (JSON, XML, YAML, Protobuf)</v>
      </c>
    </row>
    <row r="2341">
      <c r="A2341" s="7" t="str">
        <f>IFERROR(__xludf.DUMMYFUNCTION("""COMPUTED_VALUE"""),"R55")</f>
        <v>R55</v>
      </c>
      <c r="B2341" s="7" t="str">
        <f>IFERROR(__xludf.DUMMYFUNCTION("""COMPUTED_VALUE"""),"FinTech Systems Engineer")</f>
        <v>FinTech Systems Engineer</v>
      </c>
      <c r="C2341" s="7" t="str">
        <f>IFERROR(__xludf.DUMMYFUNCTION("""COMPUTED_VALUE"""),"S028")</f>
        <v>S028</v>
      </c>
      <c r="D2341" s="7" t="str">
        <f>IFERROR(__xludf.DUMMYFUNCTION("""COMPUTED_VALUE"""),"Technical Writing &amp; Markdown Documentation")</f>
        <v>Technical Writing &amp; Markdown Documentation</v>
      </c>
    </row>
    <row r="2342">
      <c r="A2342" s="7" t="str">
        <f>IFERROR(__xludf.DUMMYFUNCTION("""COMPUTED_VALUE"""),"R55")</f>
        <v>R55</v>
      </c>
      <c r="B2342" s="7" t="str">
        <f>IFERROR(__xludf.DUMMYFUNCTION("""COMPUTED_VALUE"""),"FinTech Systems Engineer")</f>
        <v>FinTech Systems Engineer</v>
      </c>
      <c r="C2342" s="7" t="str">
        <f>IFERROR(__xludf.DUMMYFUNCTION("""COMPUTED_VALUE"""),"S029")</f>
        <v>S029</v>
      </c>
      <c r="D2342" s="7" t="str">
        <f>IFERROR(__xludf.DUMMYFUNCTION("""COMPUTED_VALUE"""),"Debugging, Profiling &amp; Root Cause Analysis")</f>
        <v>Debugging, Profiling &amp; Root Cause Analysis</v>
      </c>
    </row>
    <row r="2343">
      <c r="A2343" s="7" t="str">
        <f>IFERROR(__xludf.DUMMYFUNCTION("""COMPUTED_VALUE"""),"R55")</f>
        <v>R55</v>
      </c>
      <c r="B2343" s="7" t="str">
        <f>IFERROR(__xludf.DUMMYFUNCTION("""COMPUTED_VALUE"""),"FinTech Systems Engineer")</f>
        <v>FinTech Systems Engineer</v>
      </c>
      <c r="C2343" s="7" t="str">
        <f>IFERROR(__xludf.DUMMYFUNCTION("""COMPUTED_VALUE"""),"S066")</f>
        <v>S066</v>
      </c>
      <c r="D2343" s="7" t="str">
        <f>IFERROR(__xludf.DUMMYFUNCTION("""COMPUTED_VALUE"""),"Java Programming &amp; JVM Internals")</f>
        <v>Java Programming &amp; JVM Internals</v>
      </c>
    </row>
    <row r="2344">
      <c r="A2344" s="7" t="str">
        <f>IFERROR(__xludf.DUMMYFUNCTION("""COMPUTED_VALUE"""),"R55")</f>
        <v>R55</v>
      </c>
      <c r="B2344" s="7" t="str">
        <f>IFERROR(__xludf.DUMMYFUNCTION("""COMPUTED_VALUE"""),"FinTech Systems Engineer")</f>
        <v>FinTech Systems Engineer</v>
      </c>
      <c r="C2344" s="7" t="str">
        <f>IFERROR(__xludf.DUMMYFUNCTION("""COMPUTED_VALUE"""),"S067")</f>
        <v>S067</v>
      </c>
      <c r="D2344" s="7" t="str">
        <f>IFERROR(__xludf.DUMMYFUNCTION("""COMPUTED_VALUE"""),"Spring Framework &amp; Spring Boot")</f>
        <v>Spring Framework &amp; Spring Boot</v>
      </c>
    </row>
    <row r="2345">
      <c r="A2345" s="7" t="str">
        <f>IFERROR(__xludf.DUMMYFUNCTION("""COMPUTED_VALUE"""),"R55")</f>
        <v>R55</v>
      </c>
      <c r="B2345" s="7" t="str">
        <f>IFERROR(__xludf.DUMMYFUNCTION("""COMPUTED_VALUE"""),"FinTech Systems Engineer")</f>
        <v>FinTech Systems Engineer</v>
      </c>
      <c r="C2345" s="7" t="str">
        <f>IFERROR(__xludf.DUMMYFUNCTION("""COMPUTED_VALUE"""),"S068")</f>
        <v>S068</v>
      </c>
      <c r="D2345" s="7" t="str">
        <f>IFERROR(__xludf.DUMMYFUNCTION("""COMPUTED_VALUE"""),"Python Programming Fundamentals")</f>
        <v>Python Programming Fundamentals</v>
      </c>
    </row>
    <row r="2346">
      <c r="A2346" s="7" t="str">
        <f>IFERROR(__xludf.DUMMYFUNCTION("""COMPUTED_VALUE"""),"R55")</f>
        <v>R55</v>
      </c>
      <c r="B2346" s="7" t="str">
        <f>IFERROR(__xludf.DUMMYFUNCTION("""COMPUTED_VALUE"""),"FinTech Systems Engineer")</f>
        <v>FinTech Systems Engineer</v>
      </c>
      <c r="C2346" s="7" t="str">
        <f>IFERROR(__xludf.DUMMYFUNCTION("""COMPUTED_VALUE"""),"S075")</f>
        <v>S075</v>
      </c>
      <c r="D2346" s="7" t="str">
        <f>IFERROR(__xludf.DUMMYFUNCTION("""COMPUTED_VALUE"""),"C# &amp; .NET Runtime")</f>
        <v>C# &amp; .NET Runtime</v>
      </c>
    </row>
    <row r="2347">
      <c r="A2347" s="7" t="str">
        <f>IFERROR(__xludf.DUMMYFUNCTION("""COMPUTED_VALUE"""),"R55")</f>
        <v>R55</v>
      </c>
      <c r="B2347" s="7" t="str">
        <f>IFERROR(__xludf.DUMMYFUNCTION("""COMPUTED_VALUE"""),"FinTech Systems Engineer")</f>
        <v>FinTech Systems Engineer</v>
      </c>
      <c r="C2347" s="7" t="str">
        <f>IFERROR(__xludf.DUMMYFUNCTION("""COMPUTED_VALUE"""),"S076")</f>
        <v>S076</v>
      </c>
      <c r="D2347" s="7" t="str">
        <f>IFERROR(__xludf.DUMMYFUNCTION("""COMPUTED_VALUE"""),"ASP.NET Core Web APIs")</f>
        <v>ASP.NET Core Web APIs</v>
      </c>
    </row>
    <row r="2348">
      <c r="A2348" s="7" t="str">
        <f>IFERROR(__xludf.DUMMYFUNCTION("""COMPUTED_VALUE"""),"R55")</f>
        <v>R55</v>
      </c>
      <c r="B2348" s="7" t="str">
        <f>IFERROR(__xludf.DUMMYFUNCTION("""COMPUTED_VALUE"""),"FinTech Systems Engineer")</f>
        <v>FinTech Systems Engineer</v>
      </c>
      <c r="C2348" s="7" t="str">
        <f>IFERROR(__xludf.DUMMYFUNCTION("""COMPUTED_VALUE"""),"S077")</f>
        <v>S077</v>
      </c>
      <c r="D2348" s="7" t="str">
        <f>IFERROR(__xludf.DUMMYFUNCTION("""COMPUTED_VALUE"""),"Go (Golang) Programming")</f>
        <v>Go (Golang) Programming</v>
      </c>
    </row>
    <row r="2349">
      <c r="A2349" s="7" t="str">
        <f>IFERROR(__xludf.DUMMYFUNCTION("""COMPUTED_VALUE"""),"R55")</f>
        <v>R55</v>
      </c>
      <c r="B2349" s="7" t="str">
        <f>IFERROR(__xludf.DUMMYFUNCTION("""COMPUTED_VALUE"""),"FinTech Systems Engineer")</f>
        <v>FinTech Systems Engineer</v>
      </c>
      <c r="C2349" s="7" t="str">
        <f>IFERROR(__xludf.DUMMYFUNCTION("""COMPUTED_VALUE"""),"S086")</f>
        <v>S086</v>
      </c>
      <c r="D2349" s="7" t="str">
        <f>IFERROR(__xludf.DUMMYFUNCTION("""COMPUTED_VALUE"""),"RESTful API Design &amp; OpenAPI/Swagger")</f>
        <v>RESTful API Design &amp; OpenAPI/Swagger</v>
      </c>
    </row>
    <row r="2350">
      <c r="A2350" s="7" t="str">
        <f>IFERROR(__xludf.DUMMYFUNCTION("""COMPUTED_VALUE"""),"R55")</f>
        <v>R55</v>
      </c>
      <c r="B2350" s="7" t="str">
        <f>IFERROR(__xludf.DUMMYFUNCTION("""COMPUTED_VALUE"""),"FinTech Systems Engineer")</f>
        <v>FinTech Systems Engineer</v>
      </c>
      <c r="C2350" s="7" t="str">
        <f>IFERROR(__xludf.DUMMYFUNCTION("""COMPUTED_VALUE"""),"S088")</f>
        <v>S088</v>
      </c>
      <c r="D2350" s="7" t="str">
        <f>IFERROR(__xludf.DUMMYFUNCTION("""COMPUTED_VALUE"""),"gRPC &amp; Protocol Buffers")</f>
        <v>gRPC &amp; Protocol Buffers</v>
      </c>
    </row>
    <row r="2351">
      <c r="A2351" s="7" t="str">
        <f>IFERROR(__xludf.DUMMYFUNCTION("""COMPUTED_VALUE"""),"R55")</f>
        <v>R55</v>
      </c>
      <c r="B2351" s="7" t="str">
        <f>IFERROR(__xludf.DUMMYFUNCTION("""COMPUTED_VALUE"""),"FinTech Systems Engineer")</f>
        <v>FinTech Systems Engineer</v>
      </c>
      <c r="C2351" s="7" t="str">
        <f>IFERROR(__xludf.DUMMYFUNCTION("""COMPUTED_VALUE"""),"S091")</f>
        <v>S091</v>
      </c>
      <c r="D2351" s="7" t="str">
        <f>IFERROR(__xludf.DUMMYFUNCTION("""COMPUTED_VALUE"""),"Authentication &amp; Session Management (JWT, Cookies)")</f>
        <v>Authentication &amp; Session Management (JWT, Cookies)</v>
      </c>
    </row>
    <row r="2352">
      <c r="A2352" s="7" t="str">
        <f>IFERROR(__xludf.DUMMYFUNCTION("""COMPUTED_VALUE"""),"R55")</f>
        <v>R55</v>
      </c>
      <c r="B2352" s="7" t="str">
        <f>IFERROR(__xludf.DUMMYFUNCTION("""COMPUTED_VALUE"""),"FinTech Systems Engineer")</f>
        <v>FinTech Systems Engineer</v>
      </c>
      <c r="C2352" s="7" t="str">
        <f>IFERROR(__xludf.DUMMYFUNCTION("""COMPUTED_VALUE"""),"S092")</f>
        <v>S092</v>
      </c>
      <c r="D2352" s="7" t="str">
        <f>IFERROR(__xludf.DUMMYFUNCTION("""COMPUTED_VALUE"""),"OAuth 2.0, OpenID Connect (OIDC) &amp; SSO")</f>
        <v>OAuth 2.0, OpenID Connect (OIDC) &amp; SSO</v>
      </c>
    </row>
    <row r="2353">
      <c r="A2353" s="7" t="str">
        <f>IFERROR(__xludf.DUMMYFUNCTION("""COMPUTED_VALUE"""),"R55")</f>
        <v>R55</v>
      </c>
      <c r="B2353" s="7" t="str">
        <f>IFERROR(__xludf.DUMMYFUNCTION("""COMPUTED_VALUE"""),"FinTech Systems Engineer")</f>
        <v>FinTech Systems Engineer</v>
      </c>
      <c r="C2353" s="7" t="str">
        <f>IFERROR(__xludf.DUMMYFUNCTION("""COMPUTED_VALUE"""),"S093")</f>
        <v>S093</v>
      </c>
      <c r="D2353" s="7" t="str">
        <f>IFERROR(__xludf.DUMMYFUNCTION("""COMPUTED_VALUE"""),"Role-Based &amp; Attribute-Based Access Control (RBAC/ABAC)")</f>
        <v>Role-Based &amp; Attribute-Based Access Control (RBAC/ABAC)</v>
      </c>
    </row>
    <row r="2354">
      <c r="A2354" s="7" t="str">
        <f>IFERROR(__xludf.DUMMYFUNCTION("""COMPUTED_VALUE"""),"R55")</f>
        <v>R55</v>
      </c>
      <c r="B2354" s="7" t="str">
        <f>IFERROR(__xludf.DUMMYFUNCTION("""COMPUTED_VALUE"""),"FinTech Systems Engineer")</f>
        <v>FinTech Systems Engineer</v>
      </c>
      <c r="C2354" s="7" t="str">
        <f>IFERROR(__xludf.DUMMYFUNCTION("""COMPUTED_VALUE"""),"S094")</f>
        <v>S094</v>
      </c>
      <c r="D2354" s="7" t="str">
        <f>IFERROR(__xludf.DUMMYFUNCTION("""COMPUTED_VALUE"""),"API Gateways, Rate Limiting &amp; Throttling (Kong, Envoy)")</f>
        <v>API Gateways, Rate Limiting &amp; Throttling (Kong, Envoy)</v>
      </c>
    </row>
    <row r="2355">
      <c r="A2355" s="7" t="str">
        <f>IFERROR(__xludf.DUMMYFUNCTION("""COMPUTED_VALUE"""),"R55")</f>
        <v>R55</v>
      </c>
      <c r="B2355" s="7" t="str">
        <f>IFERROR(__xludf.DUMMYFUNCTION("""COMPUTED_VALUE"""),"FinTech Systems Engineer")</f>
        <v>FinTech Systems Engineer</v>
      </c>
      <c r="C2355" s="7" t="str">
        <f>IFERROR(__xludf.DUMMYFUNCTION("""COMPUTED_VALUE"""),"S095")</f>
        <v>S095</v>
      </c>
      <c r="D2355" s="7" t="str">
        <f>IFERROR(__xludf.DUMMYFUNCTION("""COMPUTED_VALUE"""),"Microservices Architecture &amp; Service Mesh")</f>
        <v>Microservices Architecture &amp; Service Mesh</v>
      </c>
    </row>
    <row r="2356">
      <c r="A2356" s="7" t="str">
        <f>IFERROR(__xludf.DUMMYFUNCTION("""COMPUTED_VALUE"""),"R55")</f>
        <v>R55</v>
      </c>
      <c r="B2356" s="7" t="str">
        <f>IFERROR(__xludf.DUMMYFUNCTION("""COMPUTED_VALUE"""),"FinTech Systems Engineer")</f>
        <v>FinTech Systems Engineer</v>
      </c>
      <c r="C2356" s="7" t="str">
        <f>IFERROR(__xludf.DUMMYFUNCTION("""COMPUTED_VALUE"""),"S096")</f>
        <v>S096</v>
      </c>
      <c r="D2356" s="7" t="str">
        <f>IFERROR(__xludf.DUMMYFUNCTION("""COMPUTED_VALUE"""),"Event-Driven Architecture &amp; Pub/Sub Patterns")</f>
        <v>Event-Driven Architecture &amp; Pub/Sub Patterns</v>
      </c>
    </row>
    <row r="2357">
      <c r="A2357" s="7" t="str">
        <f>IFERROR(__xludf.DUMMYFUNCTION("""COMPUTED_VALUE"""),"R55")</f>
        <v>R55</v>
      </c>
      <c r="B2357" s="7" t="str">
        <f>IFERROR(__xludf.DUMMYFUNCTION("""COMPUTED_VALUE"""),"FinTech Systems Engineer")</f>
        <v>FinTech Systems Engineer</v>
      </c>
      <c r="C2357" s="7" t="str">
        <f>IFERROR(__xludf.DUMMYFUNCTION("""COMPUTED_VALUE"""),"S097")</f>
        <v>S097</v>
      </c>
      <c r="D2357" s="7" t="str">
        <f>IFERROR(__xludf.DUMMYFUNCTION("""COMPUTED_VALUE"""),"Message Brokers &amp; Queues (RabbitMQ, ActiveMQ)")</f>
        <v>Message Brokers &amp; Queues (RabbitMQ, ActiveMQ)</v>
      </c>
    </row>
    <row r="2358">
      <c r="A2358" s="7" t="str">
        <f>IFERROR(__xludf.DUMMYFUNCTION("""COMPUTED_VALUE"""),"R55")</f>
        <v>R55</v>
      </c>
      <c r="B2358" s="7" t="str">
        <f>IFERROR(__xludf.DUMMYFUNCTION("""COMPUTED_VALUE"""),"FinTech Systems Engineer")</f>
        <v>FinTech Systems Engineer</v>
      </c>
      <c r="C2358" s="7" t="str">
        <f>IFERROR(__xludf.DUMMYFUNCTION("""COMPUTED_VALUE"""),"S098")</f>
        <v>S098</v>
      </c>
      <c r="D2358" s="7" t="str">
        <f>IFERROR(__xludf.DUMMYFUNCTION("""COMPUTED_VALUE"""),"Distributed Event Streaming (Apache Kafka)")</f>
        <v>Distributed Event Streaming (Apache Kafka)</v>
      </c>
    </row>
    <row r="2359">
      <c r="A2359" s="7" t="str">
        <f>IFERROR(__xludf.DUMMYFUNCTION("""COMPUTED_VALUE"""),"R55")</f>
        <v>R55</v>
      </c>
      <c r="B2359" s="7" t="str">
        <f>IFERROR(__xludf.DUMMYFUNCTION("""COMPUTED_VALUE"""),"FinTech Systems Engineer")</f>
        <v>FinTech Systems Engineer</v>
      </c>
      <c r="C2359" s="7" t="str">
        <f>IFERROR(__xludf.DUMMYFUNCTION("""COMPUTED_VALUE"""),"S100")</f>
        <v>S100</v>
      </c>
      <c r="D2359" s="7" t="str">
        <f>IFERROR(__xludf.DUMMYFUNCTION("""COMPUTED_VALUE"""),"Multithreading, Concurrency &amp; Parallel Processing")</f>
        <v>Multithreading, Concurrency &amp; Parallel Processing</v>
      </c>
    </row>
    <row r="2360">
      <c r="A2360" s="7" t="str">
        <f>IFERROR(__xludf.DUMMYFUNCTION("""COMPUTED_VALUE"""),"R55")</f>
        <v>R55</v>
      </c>
      <c r="B2360" s="7" t="str">
        <f>IFERROR(__xludf.DUMMYFUNCTION("""COMPUTED_VALUE"""),"FinTech Systems Engineer")</f>
        <v>FinTech Systems Engineer</v>
      </c>
      <c r="C2360" s="7" t="str">
        <f>IFERROR(__xludf.DUMMYFUNCTION("""COMPUTED_VALUE"""),"S102")</f>
        <v>S102</v>
      </c>
      <c r="D2360" s="7" t="str">
        <f>IFERROR(__xludf.DUMMYFUNCTION("""COMPUTED_VALUE"""),"Backend Unit &amp; Integration Testing (JUnit, PyTest, Mocha)")</f>
        <v>Backend Unit &amp; Integration Testing (JUnit, PyTest, Mocha)</v>
      </c>
    </row>
    <row r="2361">
      <c r="A2361" s="7" t="str">
        <f>IFERROR(__xludf.DUMMYFUNCTION("""COMPUTED_VALUE"""),"R55")</f>
        <v>R55</v>
      </c>
      <c r="B2361" s="7" t="str">
        <f>IFERROR(__xludf.DUMMYFUNCTION("""COMPUTED_VALUE"""),"FinTech Systems Engineer")</f>
        <v>FinTech Systems Engineer</v>
      </c>
      <c r="C2361" s="7" t="str">
        <f>IFERROR(__xludf.DUMMYFUNCTION("""COMPUTED_VALUE"""),"S103")</f>
        <v>S103</v>
      </c>
      <c r="D2361" s="7" t="str">
        <f>IFERROR(__xludf.DUMMYFUNCTION("""COMPUTED_VALUE"""),"API Testing &amp; Contract Testing (Postman, Pact, Insomnia)")</f>
        <v>API Testing &amp; Contract Testing (Postman, Pact, Insomnia)</v>
      </c>
    </row>
    <row r="2362">
      <c r="A2362" s="7" t="str">
        <f>IFERROR(__xludf.DUMMYFUNCTION("""COMPUTED_VALUE"""),"R55")</f>
        <v>R55</v>
      </c>
      <c r="B2362" s="7" t="str">
        <f>IFERROR(__xludf.DUMMYFUNCTION("""COMPUTED_VALUE"""),"FinTech Systems Engineer")</f>
        <v>FinTech Systems Engineer</v>
      </c>
      <c r="C2362" s="7" t="str">
        <f>IFERROR(__xludf.DUMMYFUNCTION("""COMPUTED_VALUE"""),"S104")</f>
        <v>S104</v>
      </c>
      <c r="D2362" s="7" t="str">
        <f>IFERROR(__xludf.DUMMYFUNCTION("""COMPUTED_VALUE"""),"Load &amp; Performance Testing (JMeter, k6, Locust)")</f>
        <v>Load &amp; Performance Testing (JMeter, k6, Locust)</v>
      </c>
    </row>
    <row r="2363">
      <c r="A2363" s="7" t="str">
        <f>IFERROR(__xludf.DUMMYFUNCTION("""COMPUTED_VALUE"""),"R55")</f>
        <v>R55</v>
      </c>
      <c r="B2363" s="7" t="str">
        <f>IFERROR(__xludf.DUMMYFUNCTION("""COMPUTED_VALUE"""),"FinTech Systems Engineer")</f>
        <v>FinTech Systems Engineer</v>
      </c>
      <c r="C2363" s="7" t="str">
        <f>IFERROR(__xludf.DUMMYFUNCTION("""COMPUTED_VALUE"""),"S106")</f>
        <v>S106</v>
      </c>
      <c r="D2363" s="7" t="str">
        <f>IFERROR(__xludf.DUMMYFUNCTION("""COMPUTED_VALUE"""),"Relational Database Design &amp; Normalization (1NF-3NF)")</f>
        <v>Relational Database Design &amp; Normalization (1NF-3NF)</v>
      </c>
    </row>
    <row r="2364">
      <c r="A2364" s="7" t="str">
        <f>IFERROR(__xludf.DUMMYFUNCTION("""COMPUTED_VALUE"""),"R55")</f>
        <v>R55</v>
      </c>
      <c r="B2364" s="7" t="str">
        <f>IFERROR(__xludf.DUMMYFUNCTION("""COMPUTED_VALUE"""),"FinTech Systems Engineer")</f>
        <v>FinTech Systems Engineer</v>
      </c>
      <c r="C2364" s="7" t="str">
        <f>IFERROR(__xludf.DUMMYFUNCTION("""COMPUTED_VALUE"""),"S107")</f>
        <v>S107</v>
      </c>
      <c r="D2364" s="7" t="str">
        <f>IFERROR(__xludf.DUMMYFUNCTION("""COMPUTED_VALUE"""),"SQL Querying (Joins, Aggregations, Subqueries)")</f>
        <v>SQL Querying (Joins, Aggregations, Subqueries)</v>
      </c>
    </row>
    <row r="2365">
      <c r="A2365" s="7" t="str">
        <f>IFERROR(__xludf.DUMMYFUNCTION("""COMPUTED_VALUE"""),"R55")</f>
        <v>R55</v>
      </c>
      <c r="B2365" s="7" t="str">
        <f>IFERROR(__xludf.DUMMYFUNCTION("""COMPUTED_VALUE"""),"FinTech Systems Engineer")</f>
        <v>FinTech Systems Engineer</v>
      </c>
      <c r="C2365" s="7" t="str">
        <f>IFERROR(__xludf.DUMMYFUNCTION("""COMPUTED_VALUE"""),"S108")</f>
        <v>S108</v>
      </c>
      <c r="D2365" s="7" t="str">
        <f>IFERROR(__xludf.DUMMYFUNCTION("""COMPUTED_VALUE"""),"Advanced SQL (Window Functions, CTEs, Stored Procedures)")</f>
        <v>Advanced SQL (Window Functions, CTEs, Stored Procedures)</v>
      </c>
    </row>
    <row r="2366">
      <c r="A2366" s="7" t="str">
        <f>IFERROR(__xludf.DUMMYFUNCTION("""COMPUTED_VALUE"""),"R55")</f>
        <v>R55</v>
      </c>
      <c r="B2366" s="7" t="str">
        <f>IFERROR(__xludf.DUMMYFUNCTION("""COMPUTED_VALUE"""),"FinTech Systems Engineer")</f>
        <v>FinTech Systems Engineer</v>
      </c>
      <c r="C2366" s="7" t="str">
        <f>IFERROR(__xludf.DUMMYFUNCTION("""COMPUTED_VALUE"""),"S109")</f>
        <v>S109</v>
      </c>
      <c r="D2366" s="7" t="str">
        <f>IFERROR(__xludf.DUMMYFUNCTION("""COMPUTED_VALUE"""),"PostgreSQL Administration &amp; Development")</f>
        <v>PostgreSQL Administration &amp; Development</v>
      </c>
    </row>
    <row r="2367">
      <c r="A2367" s="7" t="str">
        <f>IFERROR(__xludf.DUMMYFUNCTION("""COMPUTED_VALUE"""),"R55")</f>
        <v>R55</v>
      </c>
      <c r="B2367" s="7" t="str">
        <f>IFERROR(__xludf.DUMMYFUNCTION("""COMPUTED_VALUE"""),"FinTech Systems Engineer")</f>
        <v>FinTech Systems Engineer</v>
      </c>
      <c r="C2367" s="7" t="str">
        <f>IFERROR(__xludf.DUMMYFUNCTION("""COMPUTED_VALUE"""),"S111")</f>
        <v>S111</v>
      </c>
      <c r="D2367" s="7" t="str">
        <f>IFERROR(__xludf.DUMMYFUNCTION("""COMPUTED_VALUE"""),"Microsoft SQL Server (T-SQL)")</f>
        <v>Microsoft SQL Server (T-SQL)</v>
      </c>
    </row>
    <row r="2368">
      <c r="A2368" s="7" t="str">
        <f>IFERROR(__xludf.DUMMYFUNCTION("""COMPUTED_VALUE"""),"R55")</f>
        <v>R55</v>
      </c>
      <c r="B2368" s="7" t="str">
        <f>IFERROR(__xludf.DUMMYFUNCTION("""COMPUTED_VALUE"""),"FinTech Systems Engineer")</f>
        <v>FinTech Systems Engineer</v>
      </c>
      <c r="C2368" s="7" t="str">
        <f>IFERROR(__xludf.DUMMYFUNCTION("""COMPUTED_VALUE"""),"S112")</f>
        <v>S112</v>
      </c>
      <c r="D2368" s="7" t="str">
        <f>IFERROR(__xludf.DUMMYFUNCTION("""COMPUTED_VALUE"""),"Oracle Database &amp; PL/SQL")</f>
        <v>Oracle Database &amp; PL/SQL</v>
      </c>
    </row>
    <row r="2369">
      <c r="A2369" s="7" t="str">
        <f>IFERROR(__xludf.DUMMYFUNCTION("""COMPUTED_VALUE"""),"R55")</f>
        <v>R55</v>
      </c>
      <c r="B2369" s="7" t="str">
        <f>IFERROR(__xludf.DUMMYFUNCTION("""COMPUTED_VALUE"""),"FinTech Systems Engineer")</f>
        <v>FinTech Systems Engineer</v>
      </c>
      <c r="C2369" s="7" t="str">
        <f>IFERROR(__xludf.DUMMYFUNCTION("""COMPUTED_VALUE"""),"S114")</f>
        <v>S114</v>
      </c>
      <c r="D2369" s="7" t="str">
        <f>IFERROR(__xludf.DUMMYFUNCTION("""COMPUTED_VALUE"""),"Database Indexing, Query Plans &amp; Optimization")</f>
        <v>Database Indexing, Query Plans &amp; Optimization</v>
      </c>
    </row>
    <row r="2370">
      <c r="A2370" s="7" t="str">
        <f>IFERROR(__xludf.DUMMYFUNCTION("""COMPUTED_VALUE"""),"R55")</f>
        <v>R55</v>
      </c>
      <c r="B2370" s="7" t="str">
        <f>IFERROR(__xludf.DUMMYFUNCTION("""COMPUTED_VALUE"""),"FinTech Systems Engineer")</f>
        <v>FinTech Systems Engineer</v>
      </c>
      <c r="C2370" s="7" t="str">
        <f>IFERROR(__xludf.DUMMYFUNCTION("""COMPUTED_VALUE"""),"S115")</f>
        <v>S115</v>
      </c>
      <c r="D2370" s="7" t="str">
        <f>IFERROR(__xludf.DUMMYFUNCTION("""COMPUTED_VALUE"""),"ACID Transactions, Locking &amp; Isolation Levels")</f>
        <v>ACID Transactions, Locking &amp; Isolation Levels</v>
      </c>
    </row>
    <row r="2371">
      <c r="A2371" s="7" t="str">
        <f>IFERROR(__xludf.DUMMYFUNCTION("""COMPUTED_VALUE"""),"R55")</f>
        <v>R55</v>
      </c>
      <c r="B2371" s="7" t="str">
        <f>IFERROR(__xludf.DUMMYFUNCTION("""COMPUTED_VALUE"""),"FinTech Systems Engineer")</f>
        <v>FinTech Systems Engineer</v>
      </c>
      <c r="C2371" s="7" t="str">
        <f>IFERROR(__xludf.DUMMYFUNCTION("""COMPUTED_VALUE"""),"S116")</f>
        <v>S116</v>
      </c>
      <c r="D2371" s="7" t="str">
        <f>IFERROR(__xludf.DUMMYFUNCTION("""COMPUTED_VALUE"""),"Database Replication, Sharding &amp; Partitioning")</f>
        <v>Database Replication, Sharding &amp; Partitioning</v>
      </c>
    </row>
    <row r="2372">
      <c r="A2372" s="7" t="str">
        <f>IFERROR(__xludf.DUMMYFUNCTION("""COMPUTED_VALUE"""),"R55")</f>
        <v>R55</v>
      </c>
      <c r="B2372" s="7" t="str">
        <f>IFERROR(__xludf.DUMMYFUNCTION("""COMPUTED_VALUE"""),"FinTech Systems Engineer")</f>
        <v>FinTech Systems Engineer</v>
      </c>
      <c r="C2372" s="7" t="str">
        <f>IFERROR(__xludf.DUMMYFUNCTION("""COMPUTED_VALUE"""),"S117")</f>
        <v>S117</v>
      </c>
      <c r="D2372" s="7" t="str">
        <f>IFERROR(__xludf.DUMMYFUNCTION("""COMPUTED_VALUE"""),"Database Backup, Point-in-Time Recovery &amp; Migration")</f>
        <v>Database Backup, Point-in-Time Recovery &amp; Migration</v>
      </c>
    </row>
    <row r="2373">
      <c r="A2373" s="7" t="str">
        <f>IFERROR(__xludf.DUMMYFUNCTION("""COMPUTED_VALUE"""),"R55")</f>
        <v>R55</v>
      </c>
      <c r="B2373" s="7" t="str">
        <f>IFERROR(__xludf.DUMMYFUNCTION("""COMPUTED_VALUE"""),"FinTech Systems Engineer")</f>
        <v>FinTech Systems Engineer</v>
      </c>
      <c r="C2373" s="7" t="str">
        <f>IFERROR(__xludf.DUMMYFUNCTION("""COMPUTED_VALUE"""),"S120")</f>
        <v>S120</v>
      </c>
      <c r="D2373" s="7" t="str">
        <f>IFERROR(__xludf.DUMMYFUNCTION("""COMPUTED_VALUE"""),"Key-Value Stores &amp; In-Memory DBs (Redis, Memcached)")</f>
        <v>Key-Value Stores &amp; In-Memory DBs (Redis, Memcached)</v>
      </c>
    </row>
    <row r="2374">
      <c r="A2374" s="7" t="str">
        <f>IFERROR(__xludf.DUMMYFUNCTION("""COMPUTED_VALUE"""),"R55")</f>
        <v>R55</v>
      </c>
      <c r="B2374" s="7" t="str">
        <f>IFERROR(__xludf.DUMMYFUNCTION("""COMPUTED_VALUE"""),"FinTech Systems Engineer")</f>
        <v>FinTech Systems Engineer</v>
      </c>
      <c r="C2374" s="7" t="str">
        <f>IFERROR(__xludf.DUMMYFUNCTION("""COMPUTED_VALUE"""),"S136")</f>
        <v>S136</v>
      </c>
      <c r="D2374" s="7" t="str">
        <f>IFERROR(__xludf.DUMMYFUNCTION("""COMPUTED_VALUE"""),"Probability Theory &amp; Descriptive Statistics")</f>
        <v>Probability Theory &amp; Descriptive Statistics</v>
      </c>
    </row>
    <row r="2375">
      <c r="A2375" s="7" t="str">
        <f>IFERROR(__xludf.DUMMYFUNCTION("""COMPUTED_VALUE"""),"R55")</f>
        <v>R55</v>
      </c>
      <c r="B2375" s="7" t="str">
        <f>IFERROR(__xludf.DUMMYFUNCTION("""COMPUTED_VALUE"""),"FinTech Systems Engineer")</f>
        <v>FinTech Systems Engineer</v>
      </c>
      <c r="C2375" s="7" t="str">
        <f>IFERROR(__xludf.DUMMYFUNCTION("""COMPUTED_VALUE"""),"S146")</f>
        <v>S146</v>
      </c>
      <c r="D2375" s="7" t="str">
        <f>IFERROR(__xludf.DUMMYFUNCTION("""COMPUTED_VALUE"""),"Advanced Excel, Pivot Tables &amp; Financial Modeling")</f>
        <v>Advanced Excel, Pivot Tables &amp; Financial Modeling</v>
      </c>
    </row>
    <row r="2376">
      <c r="A2376" s="7" t="str">
        <f>IFERROR(__xludf.DUMMYFUNCTION("""COMPUTED_VALUE"""),"R55")</f>
        <v>R55</v>
      </c>
      <c r="B2376" s="7" t="str">
        <f>IFERROR(__xludf.DUMMYFUNCTION("""COMPUTED_VALUE"""),"FinTech Systems Engineer")</f>
        <v>FinTech Systems Engineer</v>
      </c>
      <c r="C2376" s="7" t="str">
        <f>IFERROR(__xludf.DUMMYFUNCTION("""COMPUTED_VALUE"""),"S171")</f>
        <v>S171</v>
      </c>
      <c r="D2376" s="7" t="str">
        <f>IFERROR(__xludf.DUMMYFUNCTION("""COMPUTED_VALUE"""),"Containerization with Docker")</f>
        <v>Containerization with Docker</v>
      </c>
    </row>
    <row r="2377">
      <c r="A2377" s="7" t="str">
        <f>IFERROR(__xludf.DUMMYFUNCTION("""COMPUTED_VALUE"""),"R55")</f>
        <v>R55</v>
      </c>
      <c r="B2377" s="7" t="str">
        <f>IFERROR(__xludf.DUMMYFUNCTION("""COMPUTED_VALUE"""),"FinTech Systems Engineer")</f>
        <v>FinTech Systems Engineer</v>
      </c>
      <c r="C2377" s="7" t="str">
        <f>IFERROR(__xludf.DUMMYFUNCTION("""COMPUTED_VALUE"""),"S172")</f>
        <v>S172</v>
      </c>
      <c r="D2377" s="7" t="str">
        <f>IFERROR(__xludf.DUMMYFUNCTION("""COMPUTED_VALUE"""),"Kubernetes Cluster Orchestration (K8s)")</f>
        <v>Kubernetes Cluster Orchestration (K8s)</v>
      </c>
    </row>
    <row r="2378">
      <c r="A2378" s="7" t="str">
        <f>IFERROR(__xludf.DUMMYFUNCTION("""COMPUTED_VALUE"""),"R55")</f>
        <v>R55</v>
      </c>
      <c r="B2378" s="7" t="str">
        <f>IFERROR(__xludf.DUMMYFUNCTION("""COMPUTED_VALUE"""),"FinTech Systems Engineer")</f>
        <v>FinTech Systems Engineer</v>
      </c>
      <c r="C2378" s="7" t="str">
        <f>IFERROR(__xludf.DUMMYFUNCTION("""COMPUTED_VALUE"""),"S174")</f>
        <v>S174</v>
      </c>
      <c r="D2378" s="7" t="str">
        <f>IFERROR(__xludf.DUMMYFUNCTION("""COMPUTED_VALUE"""),"Amazon Web Services Core (EC2, S3, RDS, IAM, VPC)")</f>
        <v>Amazon Web Services Core (EC2, S3, RDS, IAM, VPC)</v>
      </c>
    </row>
    <row r="2379">
      <c r="A2379" s="7" t="str">
        <f>IFERROR(__xludf.DUMMYFUNCTION("""COMPUTED_VALUE"""),"R55")</f>
        <v>R55</v>
      </c>
      <c r="B2379" s="7" t="str">
        <f>IFERROR(__xludf.DUMMYFUNCTION("""COMPUTED_VALUE"""),"FinTech Systems Engineer")</f>
        <v>FinTech Systems Engineer</v>
      </c>
      <c r="C2379" s="7" t="str">
        <f>IFERROR(__xludf.DUMMYFUNCTION("""COMPUTED_VALUE"""),"S180")</f>
        <v>S180</v>
      </c>
      <c r="D2379" s="7" t="str">
        <f>IFERROR(__xludf.DUMMYFUNCTION("""COMPUTED_VALUE"""),"CI/CD Pipelines with GitHub Actions")</f>
        <v>CI/CD Pipelines with GitHub Actions</v>
      </c>
    </row>
    <row r="2380">
      <c r="A2380" s="7" t="str">
        <f>IFERROR(__xludf.DUMMYFUNCTION("""COMPUTED_VALUE"""),"R55")</f>
        <v>R55</v>
      </c>
      <c r="B2380" s="7" t="str">
        <f>IFERROR(__xludf.DUMMYFUNCTION("""COMPUTED_VALUE"""),"FinTech Systems Engineer")</f>
        <v>FinTech Systems Engineer</v>
      </c>
      <c r="C2380" s="7" t="str">
        <f>IFERROR(__xludf.DUMMYFUNCTION("""COMPUTED_VALUE"""),"S188")</f>
        <v>S188</v>
      </c>
      <c r="D2380" s="7" t="str">
        <f>IFERROR(__xludf.DUMMYFUNCTION("""COMPUTED_VALUE"""),"High Availability, Failover &amp; Disaster Recovery")</f>
        <v>High Availability, Failover &amp; Disaster Recovery</v>
      </c>
    </row>
    <row r="2381">
      <c r="A2381" s="7" t="str">
        <f>IFERROR(__xludf.DUMMYFUNCTION("""COMPUTED_VALUE"""),"R55")</f>
        <v>R55</v>
      </c>
      <c r="B2381" s="7" t="str">
        <f>IFERROR(__xludf.DUMMYFUNCTION("""COMPUTED_VALUE"""),"FinTech Systems Engineer")</f>
        <v>FinTech Systems Engineer</v>
      </c>
      <c r="C2381" s="7" t="str">
        <f>IFERROR(__xludf.DUMMYFUNCTION("""COMPUTED_VALUE"""),"S196")</f>
        <v>S196</v>
      </c>
      <c r="D2381" s="7" t="str">
        <f>IFERROR(__xludf.DUMMYFUNCTION("""COMPUTED_VALUE"""),"Cybersecurity Principles &amp; CIA Triad")</f>
        <v>Cybersecurity Principles &amp; CIA Triad</v>
      </c>
    </row>
    <row r="2382">
      <c r="A2382" s="7" t="str">
        <f>IFERROR(__xludf.DUMMYFUNCTION("""COMPUTED_VALUE"""),"R55")</f>
        <v>R55</v>
      </c>
      <c r="B2382" s="7" t="str">
        <f>IFERROR(__xludf.DUMMYFUNCTION("""COMPUTED_VALUE"""),"FinTech Systems Engineer")</f>
        <v>FinTech Systems Engineer</v>
      </c>
      <c r="C2382" s="7" t="str">
        <f>IFERROR(__xludf.DUMMYFUNCTION("""COMPUTED_VALUE"""),"S200")</f>
        <v>S200</v>
      </c>
      <c r="D2382" s="7" t="str">
        <f>IFERROR(__xludf.DUMMYFUNCTION("""COMPUTED_VALUE"""),"Web Application Security &amp; OWASP Top 10")</f>
        <v>Web Application Security &amp; OWASP Top 10</v>
      </c>
    </row>
    <row r="2383">
      <c r="A2383" s="7" t="str">
        <f>IFERROR(__xludf.DUMMYFUNCTION("""COMPUTED_VALUE"""),"R55")</f>
        <v>R55</v>
      </c>
      <c r="B2383" s="7" t="str">
        <f>IFERROR(__xludf.DUMMYFUNCTION("""COMPUTED_VALUE"""),"FinTech Systems Engineer")</f>
        <v>FinTech Systems Engineer</v>
      </c>
      <c r="C2383" s="7" t="str">
        <f>IFERROR(__xludf.DUMMYFUNCTION("""COMPUTED_VALUE"""),"S209")</f>
        <v>S209</v>
      </c>
      <c r="D2383" s="7" t="str">
        <f>IFERROR(__xludf.DUMMYFUNCTION("""COMPUTED_VALUE"""),"Applied Cryptography, Hashing &amp; PKI Certificates")</f>
        <v>Applied Cryptography, Hashing &amp; PKI Certificates</v>
      </c>
    </row>
    <row r="2384">
      <c r="A2384" s="7" t="str">
        <f>IFERROR(__xludf.DUMMYFUNCTION("""COMPUTED_VALUE"""),"R55")</f>
        <v>R55</v>
      </c>
      <c r="B2384" s="7" t="str">
        <f>IFERROR(__xludf.DUMMYFUNCTION("""COMPUTED_VALUE"""),"FinTech Systems Engineer")</f>
        <v>FinTech Systems Engineer</v>
      </c>
      <c r="C2384" s="7" t="str">
        <f>IFERROR(__xludf.DUMMYFUNCTION("""COMPUTED_VALUE"""),"S210")</f>
        <v>S210</v>
      </c>
      <c r="D2384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2385">
      <c r="A2385" s="7" t="str">
        <f>IFERROR(__xludf.DUMMYFUNCTION("""COMPUTED_VALUE"""),"R55")</f>
        <v>R55</v>
      </c>
      <c r="B2385" s="7" t="str">
        <f>IFERROR(__xludf.DUMMYFUNCTION("""COMPUTED_VALUE"""),"FinTech Systems Engineer")</f>
        <v>FinTech Systems Engineer</v>
      </c>
      <c r="C2385" s="7" t="str">
        <f>IFERROR(__xludf.DUMMYFUNCTION("""COMPUTED_VALUE"""),"S215")</f>
        <v>S215</v>
      </c>
      <c r="D2385" s="7" t="str">
        <f>IFERROR(__xludf.DUMMYFUNCTION("""COMPUTED_VALUE"""),"Secrets Management (HashiCorp Vault, AWS Secrets Manager)")</f>
        <v>Secrets Management (HashiCorp Vault, AWS Secrets Manager)</v>
      </c>
    </row>
    <row r="2386">
      <c r="A2386" s="7" t="str">
        <f>IFERROR(__xludf.DUMMYFUNCTION("""COMPUTED_VALUE"""),"R55")</f>
        <v>R55</v>
      </c>
      <c r="B2386" s="7" t="str">
        <f>IFERROR(__xludf.DUMMYFUNCTION("""COMPUTED_VALUE"""),"FinTech Systems Engineer")</f>
        <v>FinTech Systems Engineer</v>
      </c>
      <c r="C2386" s="7" t="str">
        <f>IFERROR(__xludf.DUMMYFUNCTION("""COMPUTED_VALUE"""),"S217")</f>
        <v>S217</v>
      </c>
      <c r="D2386" s="7" t="str">
        <f>IFERROR(__xludf.DUMMYFUNCTION("""COMPUTED_VALUE"""),"Governance, Risk &amp; Compliance (ISO 27001, SOC 2, NIST, GDPR)")</f>
        <v>Governance, Risk &amp; Compliance (ISO 27001, SOC 2, NIST, GDPR)</v>
      </c>
    </row>
    <row r="2387">
      <c r="A2387" s="7" t="str">
        <f>IFERROR(__xludf.DUMMYFUNCTION("""COMPUTED_VALUE"""),"R55")</f>
        <v>R55</v>
      </c>
      <c r="B2387" s="7" t="str">
        <f>IFERROR(__xludf.DUMMYFUNCTION("""COMPUTED_VALUE"""),"FinTech Systems Engineer")</f>
        <v>FinTech Systems Engineer</v>
      </c>
      <c r="C2387" s="7" t="str">
        <f>IFERROR(__xludf.DUMMYFUNCTION("""COMPUTED_VALUE"""),"S218")</f>
        <v>S218</v>
      </c>
      <c r="D2387" s="7" t="str">
        <f>IFERROR(__xludf.DUMMYFUNCTION("""COMPUTED_VALUE"""),"Security Auditing &amp; IT Risk Assessment")</f>
        <v>Security Auditing &amp; IT Risk Assessment</v>
      </c>
    </row>
    <row r="2388">
      <c r="A2388" s="7" t="str">
        <f>IFERROR(__xludf.DUMMYFUNCTION("""COMPUTED_VALUE"""),"R55")</f>
        <v>R55</v>
      </c>
      <c r="B2388" s="7" t="str">
        <f>IFERROR(__xludf.DUMMYFUNCTION("""COMPUTED_VALUE"""),"FinTech Systems Engineer")</f>
        <v>FinTech Systems Engineer</v>
      </c>
      <c r="C2388" s="7" t="str">
        <f>IFERROR(__xludf.DUMMYFUNCTION("""COMPUTED_VALUE"""),"S219")</f>
        <v>S219</v>
      </c>
      <c r="D2388" s="7" t="str">
        <f>IFERROR(__xludf.DUMMYFUNCTION("""COMPUTED_VALUE"""),"Secure Coding Practices &amp; Threat Mitigation")</f>
        <v>Secure Coding Practices &amp; Threat Mitigation</v>
      </c>
    </row>
    <row r="2389">
      <c r="A2389" s="7" t="str">
        <f>IFERROR(__xludf.DUMMYFUNCTION("""COMPUTED_VALUE"""),"R55")</f>
        <v>R55</v>
      </c>
      <c r="B2389" s="7" t="str">
        <f>IFERROR(__xludf.DUMMYFUNCTION("""COMPUTED_VALUE"""),"FinTech Systems Engineer")</f>
        <v>FinTech Systems Engineer</v>
      </c>
      <c r="C2389" s="7" t="str">
        <f>IFERROR(__xludf.DUMMYFUNCTION("""COMPUTED_VALUE"""),"S237")</f>
        <v>S237</v>
      </c>
      <c r="D2389" s="7" t="str">
        <f>IFERROR(__xludf.DUMMYFUNCTION("""COMPUTED_VALUE"""),"Blockchain Architecture, Consensus &amp; Distributed Ledgers")</f>
        <v>Blockchain Architecture, Consensus &amp; Distributed Ledgers</v>
      </c>
    </row>
    <row r="2390">
      <c r="A2390" s="7" t="str">
        <f>IFERROR(__xludf.DUMMYFUNCTION("""COMPUTED_VALUE"""),"R55")</f>
        <v>R55</v>
      </c>
      <c r="B2390" s="7" t="str">
        <f>IFERROR(__xludf.DUMMYFUNCTION("""COMPUTED_VALUE"""),"FinTech Systems Engineer")</f>
        <v>FinTech Systems Engineer</v>
      </c>
      <c r="C2390" s="7" t="str">
        <f>IFERROR(__xludf.DUMMYFUNCTION("""COMPUTED_VALUE"""),"S243")</f>
        <v>S243</v>
      </c>
      <c r="D2390" s="7" t="str">
        <f>IFERROR(__xludf.DUMMYFUNCTION("""COMPUTED_VALUE"""),"Large-Scale System Design &amp; High-Scalability Architecture")</f>
        <v>Large-Scale System Design &amp; High-Scalability Architecture</v>
      </c>
    </row>
    <row r="2391">
      <c r="A2391" s="7" t="str">
        <f>IFERROR(__xludf.DUMMYFUNCTION("""COMPUTED_VALUE"""),"R55")</f>
        <v>R55</v>
      </c>
      <c r="B2391" s="7" t="str">
        <f>IFERROR(__xludf.DUMMYFUNCTION("""COMPUTED_VALUE"""),"FinTech Systems Engineer")</f>
        <v>FinTech Systems Engineer</v>
      </c>
      <c r="C2391" s="7" t="str">
        <f>IFERROR(__xludf.DUMMYFUNCTION("""COMPUTED_VALUE"""),"S244")</f>
        <v>S244</v>
      </c>
      <c r="D2391" s="7" t="str">
        <f>IFERROR(__xludf.DUMMYFUNCTION("""COMPUTED_VALUE"""),"Distributed Systems Theory (CAP Theorem, Consensus, Raft/Paxos)")</f>
        <v>Distributed Systems Theory (CAP Theorem, Consensus, Raft/Paxos)</v>
      </c>
    </row>
    <row r="2392">
      <c r="A2392" s="7" t="str">
        <f>IFERROR(__xludf.DUMMYFUNCTION("""COMPUTED_VALUE"""),"R55")</f>
        <v>R55</v>
      </c>
      <c r="B2392" s="7" t="str">
        <f>IFERROR(__xludf.DUMMYFUNCTION("""COMPUTED_VALUE"""),"FinTech Systems Engineer")</f>
        <v>FinTech Systems Engineer</v>
      </c>
      <c r="C2392" s="7" t="str">
        <f>IFERROR(__xludf.DUMMYFUNCTION("""COMPUTED_VALUE"""),"S246")</f>
        <v>S246</v>
      </c>
      <c r="D2392" s="7" t="str">
        <f>IFERROR(__xludf.DUMMYFUNCTION("""COMPUTED_VALUE"""),"Agile Methodologies, Scrum Framework &amp; Kanban")</f>
        <v>Agile Methodologies, Scrum Framework &amp; Kanban</v>
      </c>
    </row>
    <row r="2393">
      <c r="A2393" s="7" t="str">
        <f>IFERROR(__xludf.DUMMYFUNCTION("""COMPUTED_VALUE"""),"R55")</f>
        <v>R55</v>
      </c>
      <c r="B2393" s="7" t="str">
        <f>IFERROR(__xludf.DUMMYFUNCTION("""COMPUTED_VALUE"""),"FinTech Systems Engineer")</f>
        <v>FinTech Systems Engineer</v>
      </c>
      <c r="C2393" s="7" t="str">
        <f>IFERROR(__xludf.DUMMYFUNCTION("""COMPUTED_VALUE"""),"S247")</f>
        <v>S247</v>
      </c>
      <c r="D2393" s="7" t="str">
        <f>IFERROR(__xludf.DUMMYFUNCTION("""COMPUTED_VALUE"""),"Project Tracking &amp; Documentation Tools (Jira, Confluence, Linear)")</f>
        <v>Project Tracking &amp; Documentation Tools (Jira, Confluence, Linear)</v>
      </c>
    </row>
    <row r="2394">
      <c r="A2394" s="7" t="str">
        <f>IFERROR(__xludf.DUMMYFUNCTION("""COMPUTED_VALUE"""),"R56")</f>
        <v>R56</v>
      </c>
      <c r="B2394" s="7" t="str">
        <f>IFERROR(__xludf.DUMMYFUNCTION("""COMPUTED_VALUE"""),"Big Data Architect")</f>
        <v>Big Data Architect</v>
      </c>
      <c r="C2394" s="7" t="str">
        <f>IFERROR(__xludf.DUMMYFUNCTION("""COMPUTED_VALUE"""),"S001")</f>
        <v>S001</v>
      </c>
      <c r="D2394" s="7" t="str">
        <f>IFERROR(__xludf.DUMMYFUNCTION("""COMPUTED_VALUE"""),"Computer Architecture &amp; Organization")</f>
        <v>Computer Architecture &amp; Organization</v>
      </c>
    </row>
    <row r="2395">
      <c r="A2395" s="7" t="str">
        <f>IFERROR(__xludf.DUMMYFUNCTION("""COMPUTED_VALUE"""),"R56")</f>
        <v>R56</v>
      </c>
      <c r="B2395" s="7" t="str">
        <f>IFERROR(__xludf.DUMMYFUNCTION("""COMPUTED_VALUE"""),"Big Data Architect")</f>
        <v>Big Data Architect</v>
      </c>
      <c r="C2395" s="7" t="str">
        <f>IFERROR(__xludf.DUMMYFUNCTION("""COMPUTED_VALUE"""),"S002")</f>
        <v>S002</v>
      </c>
      <c r="D2395" s="7" t="str">
        <f>IFERROR(__xludf.DUMMYFUNCTION("""COMPUTED_VALUE"""),"Operating Systems Concepts")</f>
        <v>Operating Systems Concepts</v>
      </c>
    </row>
    <row r="2396">
      <c r="A2396" s="7" t="str">
        <f>IFERROR(__xludf.DUMMYFUNCTION("""COMPUTED_VALUE"""),"R56")</f>
        <v>R56</v>
      </c>
      <c r="B2396" s="7" t="str">
        <f>IFERROR(__xludf.DUMMYFUNCTION("""COMPUTED_VALUE"""),"Big Data Architect")</f>
        <v>Big Data Architect</v>
      </c>
      <c r="C2396" s="7" t="str">
        <f>IFERROR(__xludf.DUMMYFUNCTION("""COMPUTED_VALUE"""),"S003")</f>
        <v>S003</v>
      </c>
      <c r="D2396" s="7" t="str">
        <f>IFERROR(__xludf.DUMMYFUNCTION("""COMPUTED_VALUE"""),"Process &amp; Thread Management")</f>
        <v>Process &amp; Thread Management</v>
      </c>
    </row>
    <row r="2397">
      <c r="A2397" s="7" t="str">
        <f>IFERROR(__xludf.DUMMYFUNCTION("""COMPUTED_VALUE"""),"R56")</f>
        <v>R56</v>
      </c>
      <c r="B2397" s="7" t="str">
        <f>IFERROR(__xludf.DUMMYFUNCTION("""COMPUTED_VALUE"""),"Big Data Architect")</f>
        <v>Big Data Architect</v>
      </c>
      <c r="C2397" s="7" t="str">
        <f>IFERROR(__xludf.DUMMYFUNCTION("""COMPUTED_VALUE"""),"S004")</f>
        <v>S004</v>
      </c>
      <c r="D2397" s="7" t="str">
        <f>IFERROR(__xludf.DUMMYFUNCTION("""COMPUTED_VALUE"""),"Memory Management &amp; Paging")</f>
        <v>Memory Management &amp; Paging</v>
      </c>
    </row>
    <row r="2398">
      <c r="A2398" s="7" t="str">
        <f>IFERROR(__xludf.DUMMYFUNCTION("""COMPUTED_VALUE"""),"R56")</f>
        <v>R56</v>
      </c>
      <c r="B2398" s="7" t="str">
        <f>IFERROR(__xludf.DUMMYFUNCTION("""COMPUTED_VALUE"""),"Big Data Architect")</f>
        <v>Big Data Architect</v>
      </c>
      <c r="C2398" s="7" t="str">
        <f>IFERROR(__xludf.DUMMYFUNCTION("""COMPUTED_VALUE"""),"S005")</f>
        <v>S005</v>
      </c>
      <c r="D2398" s="7" t="str">
        <f>IFERROR(__xludf.DUMMYFUNCTION("""COMPUTED_VALUE"""),"File Systems &amp; Storage I/O")</f>
        <v>File Systems &amp; Storage I/O</v>
      </c>
    </row>
    <row r="2399">
      <c r="A2399" s="7" t="str">
        <f>IFERROR(__xludf.DUMMYFUNCTION("""COMPUTED_VALUE"""),"R56")</f>
        <v>R56</v>
      </c>
      <c r="B2399" s="7" t="str">
        <f>IFERROR(__xludf.DUMMYFUNCTION("""COMPUTED_VALUE"""),"Big Data Architect")</f>
        <v>Big Data Architect</v>
      </c>
      <c r="C2399" s="7" t="str">
        <f>IFERROR(__xludf.DUMMYFUNCTION("""COMPUTED_VALUE"""),"S006")</f>
        <v>S006</v>
      </c>
      <c r="D2399" s="7" t="str">
        <f>IFERROR(__xludf.DUMMYFUNCTION("""COMPUTED_VALUE"""),"Basic Data Structures (Arrays, Lists, Stacks, Queues)")</f>
        <v>Basic Data Structures (Arrays, Lists, Stacks, Queues)</v>
      </c>
    </row>
    <row r="2400">
      <c r="A2400" s="7" t="str">
        <f>IFERROR(__xludf.DUMMYFUNCTION("""COMPUTED_VALUE"""),"R56")</f>
        <v>R56</v>
      </c>
      <c r="B2400" s="7" t="str">
        <f>IFERROR(__xludf.DUMMYFUNCTION("""COMPUTED_VALUE"""),"Big Data Architect")</f>
        <v>Big Data Architect</v>
      </c>
      <c r="C2400" s="7" t="str">
        <f>IFERROR(__xludf.DUMMYFUNCTION("""COMPUTED_VALUE"""),"S008")</f>
        <v>S008</v>
      </c>
      <c r="D2400" s="7" t="str">
        <f>IFERROR(__xludf.DUMMYFUNCTION("""COMPUTED_VALUE"""),"Heaps, Priority Queues &amp; Hashing")</f>
        <v>Heaps, Priority Queues &amp; Hashing</v>
      </c>
    </row>
    <row r="2401">
      <c r="A2401" s="7" t="str">
        <f>IFERROR(__xludf.DUMMYFUNCTION("""COMPUTED_VALUE"""),"R56")</f>
        <v>R56</v>
      </c>
      <c r="B2401" s="7" t="str">
        <f>IFERROR(__xludf.DUMMYFUNCTION("""COMPUTED_VALUE"""),"Big Data Architect")</f>
        <v>Big Data Architect</v>
      </c>
      <c r="C2401" s="7" t="str">
        <f>IFERROR(__xludf.DUMMYFUNCTION("""COMPUTED_VALUE"""),"S010")</f>
        <v>S010</v>
      </c>
      <c r="D2401" s="7" t="str">
        <f>IFERROR(__xludf.DUMMYFUNCTION("""COMPUTED_VALUE"""),"Sorting &amp; Searching Algorithms")</f>
        <v>Sorting &amp; Searching Algorithms</v>
      </c>
    </row>
    <row r="2402">
      <c r="A2402" s="7" t="str">
        <f>IFERROR(__xludf.DUMMYFUNCTION("""COMPUTED_VALUE"""),"R56")</f>
        <v>R56</v>
      </c>
      <c r="B2402" s="7" t="str">
        <f>IFERROR(__xludf.DUMMYFUNCTION("""COMPUTED_VALUE"""),"Big Data Architect")</f>
        <v>Big Data Architect</v>
      </c>
      <c r="C2402" s="7" t="str">
        <f>IFERROR(__xludf.DUMMYFUNCTION("""COMPUTED_VALUE"""),"S012")</f>
        <v>S012</v>
      </c>
      <c r="D2402" s="7" t="str">
        <f>IFERROR(__xludf.DUMMYFUNCTION("""COMPUTED_VALUE"""),"Time &amp; Space Complexity (Big-O Analysis)")</f>
        <v>Time &amp; Space Complexity (Big-O Analysis)</v>
      </c>
    </row>
    <row r="2403">
      <c r="A2403" s="7" t="str">
        <f>IFERROR(__xludf.DUMMYFUNCTION("""COMPUTED_VALUE"""),"R56")</f>
        <v>R56</v>
      </c>
      <c r="B2403" s="7" t="str">
        <f>IFERROR(__xludf.DUMMYFUNCTION("""COMPUTED_VALUE"""),"Big Data Architect")</f>
        <v>Big Data Architect</v>
      </c>
      <c r="C2403" s="7" t="str">
        <f>IFERROR(__xludf.DUMMYFUNCTION("""COMPUTED_VALUE"""),"S013")</f>
        <v>S013</v>
      </c>
      <c r="D2403" s="7" t="str">
        <f>IFERROR(__xludf.DUMMYFUNCTION("""COMPUTED_VALUE"""),"Object-Oriented Programming (OOP)")</f>
        <v>Object-Oriented Programming (OOP)</v>
      </c>
    </row>
    <row r="2404">
      <c r="A2404" s="7" t="str">
        <f>IFERROR(__xludf.DUMMYFUNCTION("""COMPUTED_VALUE"""),"R56")</f>
        <v>R56</v>
      </c>
      <c r="B2404" s="7" t="str">
        <f>IFERROR(__xludf.DUMMYFUNCTION("""COMPUTED_VALUE"""),"Big Data Architect")</f>
        <v>Big Data Architect</v>
      </c>
      <c r="C2404" s="7" t="str">
        <f>IFERROR(__xludf.DUMMYFUNCTION("""COMPUTED_VALUE"""),"S014")</f>
        <v>S014</v>
      </c>
      <c r="D2404" s="7" t="str">
        <f>IFERROR(__xludf.DUMMYFUNCTION("""COMPUTED_VALUE"""),"Functional Programming Concepts")</f>
        <v>Functional Programming Concepts</v>
      </c>
    </row>
    <row r="2405">
      <c r="A2405" s="7" t="str">
        <f>IFERROR(__xludf.DUMMYFUNCTION("""COMPUTED_VALUE"""),"R56")</f>
        <v>R56</v>
      </c>
      <c r="B2405" s="7" t="str">
        <f>IFERROR(__xludf.DUMMYFUNCTION("""COMPUTED_VALUE"""),"Big Data Architect")</f>
        <v>Big Data Architect</v>
      </c>
      <c r="C2405" s="7" t="str">
        <f>IFERROR(__xludf.DUMMYFUNCTION("""COMPUTED_VALUE"""),"S015")</f>
        <v>S015</v>
      </c>
      <c r="D2405" s="7" t="str">
        <f>IFERROR(__xludf.DUMMYFUNCTION("""COMPUTED_VALUE"""),"Software Design Patterns (GoF)")</f>
        <v>Software Design Patterns (GoF)</v>
      </c>
    </row>
    <row r="2406">
      <c r="A2406" s="7" t="str">
        <f>IFERROR(__xludf.DUMMYFUNCTION("""COMPUTED_VALUE"""),"R56")</f>
        <v>R56</v>
      </c>
      <c r="B2406" s="7" t="str">
        <f>IFERROR(__xludf.DUMMYFUNCTION("""COMPUTED_VALUE"""),"Big Data Architect")</f>
        <v>Big Data Architect</v>
      </c>
      <c r="C2406" s="7" t="str">
        <f>IFERROR(__xludf.DUMMYFUNCTION("""COMPUTED_VALUE"""),"S017")</f>
        <v>S017</v>
      </c>
      <c r="D2406" s="7" t="str">
        <f>IFERROR(__xludf.DUMMYFUNCTION("""COMPUTED_VALUE"""),"Git Version Control Fundamentals")</f>
        <v>Git Version Control Fundamentals</v>
      </c>
    </row>
    <row r="2407">
      <c r="A2407" s="7" t="str">
        <f>IFERROR(__xludf.DUMMYFUNCTION("""COMPUTED_VALUE"""),"R56")</f>
        <v>R56</v>
      </c>
      <c r="B2407" s="7" t="str">
        <f>IFERROR(__xludf.DUMMYFUNCTION("""COMPUTED_VALUE"""),"Big Data Architect")</f>
        <v>Big Data Architect</v>
      </c>
      <c r="C2407" s="7" t="str">
        <f>IFERROR(__xludf.DUMMYFUNCTION("""COMPUTED_VALUE"""),"S018")</f>
        <v>S018</v>
      </c>
      <c r="D2407" s="7" t="str">
        <f>IFERROR(__xludf.DUMMYFUNCTION("""COMPUTED_VALUE"""),"GitHub / GitLab Workflows &amp; Pull Requests")</f>
        <v>GitHub / GitLab Workflows &amp; Pull Requests</v>
      </c>
    </row>
    <row r="2408">
      <c r="A2408" s="7" t="str">
        <f>IFERROR(__xludf.DUMMYFUNCTION("""COMPUTED_VALUE"""),"R56")</f>
        <v>R56</v>
      </c>
      <c r="B2408" s="7" t="str">
        <f>IFERROR(__xludf.DUMMYFUNCTION("""COMPUTED_VALUE"""),"Big Data Architect")</f>
        <v>Big Data Architect</v>
      </c>
      <c r="C2408" s="7" t="str">
        <f>IFERROR(__xludf.DUMMYFUNCTION("""COMPUTED_VALUE"""),"S019")</f>
        <v>S019</v>
      </c>
      <c r="D2408" s="7" t="str">
        <f>IFERROR(__xludf.DUMMYFUNCTION("""COMPUTED_VALUE"""),"Linux Command Line &amp; File Permissions")</f>
        <v>Linux Command Line &amp; File Permissions</v>
      </c>
    </row>
    <row r="2409">
      <c r="A2409" s="7" t="str">
        <f>IFERROR(__xludf.DUMMYFUNCTION("""COMPUTED_VALUE"""),"R56")</f>
        <v>R56</v>
      </c>
      <c r="B2409" s="7" t="str">
        <f>IFERROR(__xludf.DUMMYFUNCTION("""COMPUTED_VALUE"""),"Big Data Architect")</f>
        <v>Big Data Architect</v>
      </c>
      <c r="C2409" s="7" t="str">
        <f>IFERROR(__xludf.DUMMYFUNCTION("""COMPUTED_VALUE"""),"S020")</f>
        <v>S020</v>
      </c>
      <c r="D2409" s="7" t="str">
        <f>IFERROR(__xludf.DUMMYFUNCTION("""COMPUTED_VALUE"""),"Bash &amp; Shell Scripting")</f>
        <v>Bash &amp; Shell Scripting</v>
      </c>
    </row>
    <row r="2410">
      <c r="A2410" s="7" t="str">
        <f>IFERROR(__xludf.DUMMYFUNCTION("""COMPUTED_VALUE"""),"R56")</f>
        <v>R56</v>
      </c>
      <c r="B2410" s="7" t="str">
        <f>IFERROR(__xludf.DUMMYFUNCTION("""COMPUTED_VALUE"""),"Big Data Architect")</f>
        <v>Big Data Architect</v>
      </c>
      <c r="C2410" s="7" t="str">
        <f>IFERROR(__xludf.DUMMYFUNCTION("""COMPUTED_VALUE"""),"S022")</f>
        <v>S022</v>
      </c>
      <c r="D2410" s="7" t="str">
        <f>IFERROR(__xludf.DUMMYFUNCTION("""COMPUTED_VALUE"""),"Computer Networking &amp; OSI Model")</f>
        <v>Computer Networking &amp; OSI Model</v>
      </c>
    </row>
    <row r="2411">
      <c r="A2411" s="7" t="str">
        <f>IFERROR(__xludf.DUMMYFUNCTION("""COMPUTED_VALUE"""),"R56")</f>
        <v>R56</v>
      </c>
      <c r="B2411" s="7" t="str">
        <f>IFERROR(__xludf.DUMMYFUNCTION("""COMPUTED_VALUE"""),"Big Data Architect")</f>
        <v>Big Data Architect</v>
      </c>
      <c r="C2411" s="7" t="str">
        <f>IFERROR(__xludf.DUMMYFUNCTION("""COMPUTED_VALUE"""),"S026")</f>
        <v>S026</v>
      </c>
      <c r="D2411" s="7" t="str">
        <f>IFERROR(__xludf.DUMMYFUNCTION("""COMPUTED_VALUE"""),"Data Serialization (JSON, XML, YAML, Protobuf)")</f>
        <v>Data Serialization (JSON, XML, YAML, Protobuf)</v>
      </c>
    </row>
    <row r="2412">
      <c r="A2412" s="7" t="str">
        <f>IFERROR(__xludf.DUMMYFUNCTION("""COMPUTED_VALUE"""),"R56")</f>
        <v>R56</v>
      </c>
      <c r="B2412" s="7" t="str">
        <f>IFERROR(__xludf.DUMMYFUNCTION("""COMPUTED_VALUE"""),"Big Data Architect")</f>
        <v>Big Data Architect</v>
      </c>
      <c r="C2412" s="7" t="str">
        <f>IFERROR(__xludf.DUMMYFUNCTION("""COMPUTED_VALUE"""),"S028")</f>
        <v>S028</v>
      </c>
      <c r="D2412" s="7" t="str">
        <f>IFERROR(__xludf.DUMMYFUNCTION("""COMPUTED_VALUE"""),"Technical Writing &amp; Markdown Documentation")</f>
        <v>Technical Writing &amp; Markdown Documentation</v>
      </c>
    </row>
    <row r="2413">
      <c r="A2413" s="7" t="str">
        <f>IFERROR(__xludf.DUMMYFUNCTION("""COMPUTED_VALUE"""),"R56")</f>
        <v>R56</v>
      </c>
      <c r="B2413" s="7" t="str">
        <f>IFERROR(__xludf.DUMMYFUNCTION("""COMPUTED_VALUE"""),"Big Data Architect")</f>
        <v>Big Data Architect</v>
      </c>
      <c r="C2413" s="7" t="str">
        <f>IFERROR(__xludf.DUMMYFUNCTION("""COMPUTED_VALUE"""),"S066")</f>
        <v>S066</v>
      </c>
      <c r="D2413" s="7" t="str">
        <f>IFERROR(__xludf.DUMMYFUNCTION("""COMPUTED_VALUE"""),"Java Programming &amp; JVM Internals")</f>
        <v>Java Programming &amp; JVM Internals</v>
      </c>
    </row>
    <row r="2414">
      <c r="A2414" s="7" t="str">
        <f>IFERROR(__xludf.DUMMYFUNCTION("""COMPUTED_VALUE"""),"R56")</f>
        <v>R56</v>
      </c>
      <c r="B2414" s="7" t="str">
        <f>IFERROR(__xludf.DUMMYFUNCTION("""COMPUTED_VALUE"""),"Big Data Architect")</f>
        <v>Big Data Architect</v>
      </c>
      <c r="C2414" s="7" t="str">
        <f>IFERROR(__xludf.DUMMYFUNCTION("""COMPUTED_VALUE"""),"S068")</f>
        <v>S068</v>
      </c>
      <c r="D2414" s="7" t="str">
        <f>IFERROR(__xludf.DUMMYFUNCTION("""COMPUTED_VALUE"""),"Python Programming Fundamentals")</f>
        <v>Python Programming Fundamentals</v>
      </c>
    </row>
    <row r="2415">
      <c r="A2415" s="7" t="str">
        <f>IFERROR(__xludf.DUMMYFUNCTION("""COMPUTED_VALUE"""),"R56")</f>
        <v>R56</v>
      </c>
      <c r="B2415" s="7" t="str">
        <f>IFERROR(__xludf.DUMMYFUNCTION("""COMPUTED_VALUE"""),"Big Data Architect")</f>
        <v>Big Data Architect</v>
      </c>
      <c r="C2415" s="7" t="str">
        <f>IFERROR(__xludf.DUMMYFUNCTION("""COMPUTED_VALUE"""),"S084")</f>
        <v>S084</v>
      </c>
      <c r="D2415" s="7" t="str">
        <f>IFERROR(__xludf.DUMMYFUNCTION("""COMPUTED_VALUE"""),"Scala &amp; Functional JVM Programming")</f>
        <v>Scala &amp; Functional JVM Programming</v>
      </c>
    </row>
    <row r="2416">
      <c r="A2416" s="7" t="str">
        <f>IFERROR(__xludf.DUMMYFUNCTION("""COMPUTED_VALUE"""),"R56")</f>
        <v>R56</v>
      </c>
      <c r="B2416" s="7" t="str">
        <f>IFERROR(__xludf.DUMMYFUNCTION("""COMPUTED_VALUE"""),"Big Data Architect")</f>
        <v>Big Data Architect</v>
      </c>
      <c r="C2416" s="7" t="str">
        <f>IFERROR(__xludf.DUMMYFUNCTION("""COMPUTED_VALUE"""),"S086")</f>
        <v>S086</v>
      </c>
      <c r="D2416" s="7" t="str">
        <f>IFERROR(__xludf.DUMMYFUNCTION("""COMPUTED_VALUE"""),"RESTful API Design &amp; OpenAPI/Swagger")</f>
        <v>RESTful API Design &amp; OpenAPI/Swagger</v>
      </c>
    </row>
    <row r="2417">
      <c r="A2417" s="7" t="str">
        <f>IFERROR(__xludf.DUMMYFUNCTION("""COMPUTED_VALUE"""),"R56")</f>
        <v>R56</v>
      </c>
      <c r="B2417" s="7" t="str">
        <f>IFERROR(__xludf.DUMMYFUNCTION("""COMPUTED_VALUE"""),"Big Data Architect")</f>
        <v>Big Data Architect</v>
      </c>
      <c r="C2417" s="7" t="str">
        <f>IFERROR(__xludf.DUMMYFUNCTION("""COMPUTED_VALUE"""),"S095")</f>
        <v>S095</v>
      </c>
      <c r="D2417" s="7" t="str">
        <f>IFERROR(__xludf.DUMMYFUNCTION("""COMPUTED_VALUE"""),"Microservices Architecture &amp; Service Mesh")</f>
        <v>Microservices Architecture &amp; Service Mesh</v>
      </c>
    </row>
    <row r="2418">
      <c r="A2418" s="7" t="str">
        <f>IFERROR(__xludf.DUMMYFUNCTION("""COMPUTED_VALUE"""),"R56")</f>
        <v>R56</v>
      </c>
      <c r="B2418" s="7" t="str">
        <f>IFERROR(__xludf.DUMMYFUNCTION("""COMPUTED_VALUE"""),"Big Data Architect")</f>
        <v>Big Data Architect</v>
      </c>
      <c r="C2418" s="7" t="str">
        <f>IFERROR(__xludf.DUMMYFUNCTION("""COMPUTED_VALUE"""),"S096")</f>
        <v>S096</v>
      </c>
      <c r="D2418" s="7" t="str">
        <f>IFERROR(__xludf.DUMMYFUNCTION("""COMPUTED_VALUE"""),"Event-Driven Architecture &amp; Pub/Sub Patterns")</f>
        <v>Event-Driven Architecture &amp; Pub/Sub Patterns</v>
      </c>
    </row>
    <row r="2419">
      <c r="A2419" s="7" t="str">
        <f>IFERROR(__xludf.DUMMYFUNCTION("""COMPUTED_VALUE"""),"R56")</f>
        <v>R56</v>
      </c>
      <c r="B2419" s="7" t="str">
        <f>IFERROR(__xludf.DUMMYFUNCTION("""COMPUTED_VALUE"""),"Big Data Architect")</f>
        <v>Big Data Architect</v>
      </c>
      <c r="C2419" s="7" t="str">
        <f>IFERROR(__xludf.DUMMYFUNCTION("""COMPUTED_VALUE"""),"S098")</f>
        <v>S098</v>
      </c>
      <c r="D2419" s="7" t="str">
        <f>IFERROR(__xludf.DUMMYFUNCTION("""COMPUTED_VALUE"""),"Distributed Event Streaming (Apache Kafka)")</f>
        <v>Distributed Event Streaming (Apache Kafka)</v>
      </c>
    </row>
    <row r="2420">
      <c r="A2420" s="7" t="str">
        <f>IFERROR(__xludf.DUMMYFUNCTION("""COMPUTED_VALUE"""),"R56")</f>
        <v>R56</v>
      </c>
      <c r="B2420" s="7" t="str">
        <f>IFERROR(__xludf.DUMMYFUNCTION("""COMPUTED_VALUE"""),"Big Data Architect")</f>
        <v>Big Data Architect</v>
      </c>
      <c r="C2420" s="7" t="str">
        <f>IFERROR(__xludf.DUMMYFUNCTION("""COMPUTED_VALUE"""),"S105")</f>
        <v>S105</v>
      </c>
      <c r="D2420" s="7" t="str">
        <f>IFERROR(__xludf.DUMMYFUNCTION("""COMPUTED_VALUE"""),"Search Engines &amp; Full-Text Search (Elasticsearch, Algolia)")</f>
        <v>Search Engines &amp; Full-Text Search (Elasticsearch, Algolia)</v>
      </c>
    </row>
    <row r="2421">
      <c r="A2421" s="7" t="str">
        <f>IFERROR(__xludf.DUMMYFUNCTION("""COMPUTED_VALUE"""),"R56")</f>
        <v>R56</v>
      </c>
      <c r="B2421" s="7" t="str">
        <f>IFERROR(__xludf.DUMMYFUNCTION("""COMPUTED_VALUE"""),"Big Data Architect")</f>
        <v>Big Data Architect</v>
      </c>
      <c r="C2421" s="7" t="str">
        <f>IFERROR(__xludf.DUMMYFUNCTION("""COMPUTED_VALUE"""),"S106")</f>
        <v>S106</v>
      </c>
      <c r="D2421" s="7" t="str">
        <f>IFERROR(__xludf.DUMMYFUNCTION("""COMPUTED_VALUE"""),"Relational Database Design &amp; Normalization (1NF-3NF)")</f>
        <v>Relational Database Design &amp; Normalization (1NF-3NF)</v>
      </c>
    </row>
    <row r="2422">
      <c r="A2422" s="7" t="str">
        <f>IFERROR(__xludf.DUMMYFUNCTION("""COMPUTED_VALUE"""),"R56")</f>
        <v>R56</v>
      </c>
      <c r="B2422" s="7" t="str">
        <f>IFERROR(__xludf.DUMMYFUNCTION("""COMPUTED_VALUE"""),"Big Data Architect")</f>
        <v>Big Data Architect</v>
      </c>
      <c r="C2422" s="7" t="str">
        <f>IFERROR(__xludf.DUMMYFUNCTION("""COMPUTED_VALUE"""),"S107")</f>
        <v>S107</v>
      </c>
      <c r="D2422" s="7" t="str">
        <f>IFERROR(__xludf.DUMMYFUNCTION("""COMPUTED_VALUE"""),"SQL Querying (Joins, Aggregations, Subqueries)")</f>
        <v>SQL Querying (Joins, Aggregations, Subqueries)</v>
      </c>
    </row>
    <row r="2423">
      <c r="A2423" s="7" t="str">
        <f>IFERROR(__xludf.DUMMYFUNCTION("""COMPUTED_VALUE"""),"R56")</f>
        <v>R56</v>
      </c>
      <c r="B2423" s="7" t="str">
        <f>IFERROR(__xludf.DUMMYFUNCTION("""COMPUTED_VALUE"""),"Big Data Architect")</f>
        <v>Big Data Architect</v>
      </c>
      <c r="C2423" s="7" t="str">
        <f>IFERROR(__xludf.DUMMYFUNCTION("""COMPUTED_VALUE"""),"S108")</f>
        <v>S108</v>
      </c>
      <c r="D2423" s="7" t="str">
        <f>IFERROR(__xludf.DUMMYFUNCTION("""COMPUTED_VALUE"""),"Advanced SQL (Window Functions, CTEs, Stored Procedures)")</f>
        <v>Advanced SQL (Window Functions, CTEs, Stored Procedures)</v>
      </c>
    </row>
    <row r="2424">
      <c r="A2424" s="7" t="str">
        <f>IFERROR(__xludf.DUMMYFUNCTION("""COMPUTED_VALUE"""),"R56")</f>
        <v>R56</v>
      </c>
      <c r="B2424" s="7" t="str">
        <f>IFERROR(__xludf.DUMMYFUNCTION("""COMPUTED_VALUE"""),"Big Data Architect")</f>
        <v>Big Data Architect</v>
      </c>
      <c r="C2424" s="7" t="str">
        <f>IFERROR(__xludf.DUMMYFUNCTION("""COMPUTED_VALUE"""),"S109")</f>
        <v>S109</v>
      </c>
      <c r="D2424" s="7" t="str">
        <f>IFERROR(__xludf.DUMMYFUNCTION("""COMPUTED_VALUE"""),"PostgreSQL Administration &amp; Development")</f>
        <v>PostgreSQL Administration &amp; Development</v>
      </c>
    </row>
    <row r="2425">
      <c r="A2425" s="7" t="str">
        <f>IFERROR(__xludf.DUMMYFUNCTION("""COMPUTED_VALUE"""),"R56")</f>
        <v>R56</v>
      </c>
      <c r="B2425" s="7" t="str">
        <f>IFERROR(__xludf.DUMMYFUNCTION("""COMPUTED_VALUE"""),"Big Data Architect")</f>
        <v>Big Data Architect</v>
      </c>
      <c r="C2425" s="7" t="str">
        <f>IFERROR(__xludf.DUMMYFUNCTION("""COMPUTED_VALUE"""),"S114")</f>
        <v>S114</v>
      </c>
      <c r="D2425" s="7" t="str">
        <f>IFERROR(__xludf.DUMMYFUNCTION("""COMPUTED_VALUE"""),"Database Indexing, Query Plans &amp; Optimization")</f>
        <v>Database Indexing, Query Plans &amp; Optimization</v>
      </c>
    </row>
    <row r="2426">
      <c r="A2426" s="7" t="str">
        <f>IFERROR(__xludf.DUMMYFUNCTION("""COMPUTED_VALUE"""),"R56")</f>
        <v>R56</v>
      </c>
      <c r="B2426" s="7" t="str">
        <f>IFERROR(__xludf.DUMMYFUNCTION("""COMPUTED_VALUE"""),"Big Data Architect")</f>
        <v>Big Data Architect</v>
      </c>
      <c r="C2426" s="7" t="str">
        <f>IFERROR(__xludf.DUMMYFUNCTION("""COMPUTED_VALUE"""),"S115")</f>
        <v>S115</v>
      </c>
      <c r="D2426" s="7" t="str">
        <f>IFERROR(__xludf.DUMMYFUNCTION("""COMPUTED_VALUE"""),"ACID Transactions, Locking &amp; Isolation Levels")</f>
        <v>ACID Transactions, Locking &amp; Isolation Levels</v>
      </c>
    </row>
    <row r="2427">
      <c r="A2427" s="7" t="str">
        <f>IFERROR(__xludf.DUMMYFUNCTION("""COMPUTED_VALUE"""),"R56")</f>
        <v>R56</v>
      </c>
      <c r="B2427" s="7" t="str">
        <f>IFERROR(__xludf.DUMMYFUNCTION("""COMPUTED_VALUE"""),"Big Data Architect")</f>
        <v>Big Data Architect</v>
      </c>
      <c r="C2427" s="7" t="str">
        <f>IFERROR(__xludf.DUMMYFUNCTION("""COMPUTED_VALUE"""),"S116")</f>
        <v>S116</v>
      </c>
      <c r="D2427" s="7" t="str">
        <f>IFERROR(__xludf.DUMMYFUNCTION("""COMPUTED_VALUE"""),"Database Replication, Sharding &amp; Partitioning")</f>
        <v>Database Replication, Sharding &amp; Partitioning</v>
      </c>
    </row>
    <row r="2428">
      <c r="A2428" s="7" t="str">
        <f>IFERROR(__xludf.DUMMYFUNCTION("""COMPUTED_VALUE"""),"R56")</f>
        <v>R56</v>
      </c>
      <c r="B2428" s="7" t="str">
        <f>IFERROR(__xludf.DUMMYFUNCTION("""COMPUTED_VALUE"""),"Big Data Architect")</f>
        <v>Big Data Architect</v>
      </c>
      <c r="C2428" s="7" t="str">
        <f>IFERROR(__xludf.DUMMYFUNCTION("""COMPUTED_VALUE"""),"S117")</f>
        <v>S117</v>
      </c>
      <c r="D2428" s="7" t="str">
        <f>IFERROR(__xludf.DUMMYFUNCTION("""COMPUTED_VALUE"""),"Database Backup, Point-in-Time Recovery &amp; Migration")</f>
        <v>Database Backup, Point-in-Time Recovery &amp; Migration</v>
      </c>
    </row>
    <row r="2429">
      <c r="A2429" s="7" t="str">
        <f>IFERROR(__xludf.DUMMYFUNCTION("""COMPUTED_VALUE"""),"R56")</f>
        <v>R56</v>
      </c>
      <c r="B2429" s="7" t="str">
        <f>IFERROR(__xludf.DUMMYFUNCTION("""COMPUTED_VALUE"""),"Big Data Architect")</f>
        <v>Big Data Architect</v>
      </c>
      <c r="C2429" s="7" t="str">
        <f>IFERROR(__xludf.DUMMYFUNCTION("""COMPUTED_VALUE"""),"S119")</f>
        <v>S119</v>
      </c>
      <c r="D2429" s="7" t="str">
        <f>IFERROR(__xludf.DUMMYFUNCTION("""COMPUTED_VALUE"""),"Document Databases (MongoDB)")</f>
        <v>Document Databases (MongoDB)</v>
      </c>
    </row>
    <row r="2430">
      <c r="A2430" s="7" t="str">
        <f>IFERROR(__xludf.DUMMYFUNCTION("""COMPUTED_VALUE"""),"R56")</f>
        <v>R56</v>
      </c>
      <c r="B2430" s="7" t="str">
        <f>IFERROR(__xludf.DUMMYFUNCTION("""COMPUTED_VALUE"""),"Big Data Architect")</f>
        <v>Big Data Architect</v>
      </c>
      <c r="C2430" s="7" t="str">
        <f>IFERROR(__xludf.DUMMYFUNCTION("""COMPUTED_VALUE"""),"S120")</f>
        <v>S120</v>
      </c>
      <c r="D2430" s="7" t="str">
        <f>IFERROR(__xludf.DUMMYFUNCTION("""COMPUTED_VALUE"""),"Key-Value Stores &amp; In-Memory DBs (Redis, Memcached)")</f>
        <v>Key-Value Stores &amp; In-Memory DBs (Redis, Memcached)</v>
      </c>
    </row>
    <row r="2431">
      <c r="A2431" s="7" t="str">
        <f>IFERROR(__xludf.DUMMYFUNCTION("""COMPUTED_VALUE"""),"R56")</f>
        <v>R56</v>
      </c>
      <c r="B2431" s="7" t="str">
        <f>IFERROR(__xludf.DUMMYFUNCTION("""COMPUTED_VALUE"""),"Big Data Architect")</f>
        <v>Big Data Architect</v>
      </c>
      <c r="C2431" s="7" t="str">
        <f>IFERROR(__xludf.DUMMYFUNCTION("""COMPUTED_VALUE"""),"S121")</f>
        <v>S121</v>
      </c>
      <c r="D2431" s="7" t="str">
        <f>IFERROR(__xludf.DUMMYFUNCTION("""COMPUTED_VALUE"""),"Wide-Column Stores (Apache Cassandra, ScyllaDB)")</f>
        <v>Wide-Column Stores (Apache Cassandra, ScyllaDB)</v>
      </c>
    </row>
    <row r="2432">
      <c r="A2432" s="7" t="str">
        <f>IFERROR(__xludf.DUMMYFUNCTION("""COMPUTED_VALUE"""),"R56")</f>
        <v>R56</v>
      </c>
      <c r="B2432" s="7" t="str">
        <f>IFERROR(__xludf.DUMMYFUNCTION("""COMPUTED_VALUE"""),"Big Data Architect")</f>
        <v>Big Data Architect</v>
      </c>
      <c r="C2432" s="7" t="str">
        <f>IFERROR(__xludf.DUMMYFUNCTION("""COMPUTED_VALUE"""),"S122")</f>
        <v>S122</v>
      </c>
      <c r="D2432" s="7" t="str">
        <f>IFERROR(__xludf.DUMMYFUNCTION("""COMPUTED_VALUE"""),"Cloud NoSQL Databases (AWS DynamoDB, Firestore)")</f>
        <v>Cloud NoSQL Databases (AWS DynamoDB, Firestore)</v>
      </c>
    </row>
    <row r="2433">
      <c r="A2433" s="7" t="str">
        <f>IFERROR(__xludf.DUMMYFUNCTION("""COMPUTED_VALUE"""),"R56")</f>
        <v>R56</v>
      </c>
      <c r="B2433" s="7" t="str">
        <f>IFERROR(__xludf.DUMMYFUNCTION("""COMPUTED_VALUE"""),"Big Data Architect")</f>
        <v>Big Data Architect</v>
      </c>
      <c r="C2433" s="7" t="str">
        <f>IFERROR(__xludf.DUMMYFUNCTION("""COMPUTED_VALUE"""),"S123")</f>
        <v>S123</v>
      </c>
      <c r="D2433" s="7" t="str">
        <f>IFERROR(__xludf.DUMMYFUNCTION("""COMPUTED_VALUE"""),"Graph Databases &amp; Cypher (Neo4j)")</f>
        <v>Graph Databases &amp; Cypher (Neo4j)</v>
      </c>
    </row>
    <row r="2434">
      <c r="A2434" s="7" t="str">
        <f>IFERROR(__xludf.DUMMYFUNCTION("""COMPUTED_VALUE"""),"R56")</f>
        <v>R56</v>
      </c>
      <c r="B2434" s="7" t="str">
        <f>IFERROR(__xludf.DUMMYFUNCTION("""COMPUTED_VALUE"""),"Big Data Architect")</f>
        <v>Big Data Architect</v>
      </c>
      <c r="C2434" s="7" t="str">
        <f>IFERROR(__xludf.DUMMYFUNCTION("""COMPUTED_VALUE"""),"S124")</f>
        <v>S124</v>
      </c>
      <c r="D2434" s="7" t="str">
        <f>IFERROR(__xludf.DUMMYFUNCTION("""COMPUTED_VALUE"""),"Time-Series Databases (InfluxDB, TimescaleDB)")</f>
        <v>Time-Series Databases (InfluxDB, TimescaleDB)</v>
      </c>
    </row>
    <row r="2435">
      <c r="A2435" s="7" t="str">
        <f>IFERROR(__xludf.DUMMYFUNCTION("""COMPUTED_VALUE"""),"R56")</f>
        <v>R56</v>
      </c>
      <c r="B2435" s="7" t="str">
        <f>IFERROR(__xludf.DUMMYFUNCTION("""COMPUTED_VALUE"""),"Big Data Architect")</f>
        <v>Big Data Architect</v>
      </c>
      <c r="C2435" s="7" t="str">
        <f>IFERROR(__xludf.DUMMYFUNCTION("""COMPUTED_VALUE"""),"S125")</f>
        <v>S125</v>
      </c>
      <c r="D2435" s="7" t="str">
        <f>IFERROR(__xludf.DUMMYFUNCTION("""COMPUTED_VALUE"""),"Vector Databases (Pinecone, Milvus, Weaviate, pgvector)")</f>
        <v>Vector Databases (Pinecone, Milvus, Weaviate, pgvector)</v>
      </c>
    </row>
    <row r="2436">
      <c r="A2436" s="7" t="str">
        <f>IFERROR(__xludf.DUMMYFUNCTION("""COMPUTED_VALUE"""),"R56")</f>
        <v>R56</v>
      </c>
      <c r="B2436" s="7" t="str">
        <f>IFERROR(__xludf.DUMMYFUNCTION("""COMPUTED_VALUE"""),"Big Data Architect")</f>
        <v>Big Data Architect</v>
      </c>
      <c r="C2436" s="7" t="str">
        <f>IFERROR(__xludf.DUMMYFUNCTION("""COMPUTED_VALUE"""),"S126")</f>
        <v>S126</v>
      </c>
      <c r="D2436" s="7" t="str">
        <f>IFERROR(__xludf.DUMMYFUNCTION("""COMPUTED_VALUE"""),"ETL / ELT Data Pipeline Design")</f>
        <v>ETL / ELT Data Pipeline Design</v>
      </c>
    </row>
    <row r="2437">
      <c r="A2437" s="7" t="str">
        <f>IFERROR(__xludf.DUMMYFUNCTION("""COMPUTED_VALUE"""),"R56")</f>
        <v>R56</v>
      </c>
      <c r="B2437" s="7" t="str">
        <f>IFERROR(__xludf.DUMMYFUNCTION("""COMPUTED_VALUE"""),"Big Data Architect")</f>
        <v>Big Data Architect</v>
      </c>
      <c r="C2437" s="7" t="str">
        <f>IFERROR(__xludf.DUMMYFUNCTION("""COMPUTED_VALUE"""),"S127")</f>
        <v>S127</v>
      </c>
      <c r="D2437" s="7" t="str">
        <f>IFERROR(__xludf.DUMMYFUNCTION("""COMPUTED_VALUE"""),"Workflow Orchestration (Apache Airflow, Prefect, Dagster)")</f>
        <v>Workflow Orchestration (Apache Airflow, Prefect, Dagster)</v>
      </c>
    </row>
    <row r="2438">
      <c r="A2438" s="7" t="str">
        <f>IFERROR(__xludf.DUMMYFUNCTION("""COMPUTED_VALUE"""),"R56")</f>
        <v>R56</v>
      </c>
      <c r="B2438" s="7" t="str">
        <f>IFERROR(__xludf.DUMMYFUNCTION("""COMPUTED_VALUE"""),"Big Data Architect")</f>
        <v>Big Data Architect</v>
      </c>
      <c r="C2438" s="7" t="str">
        <f>IFERROR(__xludf.DUMMYFUNCTION("""COMPUTED_VALUE"""),"S128")</f>
        <v>S128</v>
      </c>
      <c r="D2438" s="7" t="str">
        <f>IFERROR(__xludf.DUMMYFUNCTION("""COMPUTED_VALUE"""),"Distributed Data Processing (Apache Spark, PySpark)")</f>
        <v>Distributed Data Processing (Apache Spark, PySpark)</v>
      </c>
    </row>
    <row r="2439">
      <c r="A2439" s="7" t="str">
        <f>IFERROR(__xludf.DUMMYFUNCTION("""COMPUTED_VALUE"""),"R56")</f>
        <v>R56</v>
      </c>
      <c r="B2439" s="7" t="str">
        <f>IFERROR(__xludf.DUMMYFUNCTION("""COMPUTED_VALUE"""),"Big Data Architect")</f>
        <v>Big Data Architect</v>
      </c>
      <c r="C2439" s="7" t="str">
        <f>IFERROR(__xludf.DUMMYFUNCTION("""COMPUTED_VALUE"""),"S129")</f>
        <v>S129</v>
      </c>
      <c r="D2439" s="7" t="str">
        <f>IFERROR(__xludf.DUMMYFUNCTION("""COMPUTED_VALUE"""),"Stream Processing (Apache Flink, Kafka Streams)")</f>
        <v>Stream Processing (Apache Flink, Kafka Streams)</v>
      </c>
    </row>
    <row r="2440">
      <c r="A2440" s="7" t="str">
        <f>IFERROR(__xludf.DUMMYFUNCTION("""COMPUTED_VALUE"""),"R56")</f>
        <v>R56</v>
      </c>
      <c r="B2440" s="7" t="str">
        <f>IFERROR(__xludf.DUMMYFUNCTION("""COMPUTED_VALUE"""),"Big Data Architect")</f>
        <v>Big Data Architect</v>
      </c>
      <c r="C2440" s="7" t="str">
        <f>IFERROR(__xludf.DUMMYFUNCTION("""COMPUTED_VALUE"""),"S130")</f>
        <v>S130</v>
      </c>
      <c r="D2440" s="7" t="str">
        <f>IFERROR(__xludf.DUMMYFUNCTION("""COMPUTED_VALUE"""),"Data Transformation &amp; Analytics Engineering (dbt)")</f>
        <v>Data Transformation &amp; Analytics Engineering (dbt)</v>
      </c>
    </row>
    <row r="2441">
      <c r="A2441" s="7" t="str">
        <f>IFERROR(__xludf.DUMMYFUNCTION("""COMPUTED_VALUE"""),"R56")</f>
        <v>R56</v>
      </c>
      <c r="B2441" s="7" t="str">
        <f>IFERROR(__xludf.DUMMYFUNCTION("""COMPUTED_VALUE"""),"Big Data Architect")</f>
        <v>Big Data Architect</v>
      </c>
      <c r="C2441" s="7" t="str">
        <f>IFERROR(__xludf.DUMMYFUNCTION("""COMPUTED_VALUE"""),"S131")</f>
        <v>S131</v>
      </c>
      <c r="D2441" s="7" t="str">
        <f>IFERROR(__xludf.DUMMYFUNCTION("""COMPUTED_VALUE"""),"Cloud Data Warehousing (Snowflake, Google BigQuery, AWS Redshift)")</f>
        <v>Cloud Data Warehousing (Snowflake, Google BigQuery, AWS Redshift)</v>
      </c>
    </row>
    <row r="2442">
      <c r="A2442" s="7" t="str">
        <f>IFERROR(__xludf.DUMMYFUNCTION("""COMPUTED_VALUE"""),"R56")</f>
        <v>R56</v>
      </c>
      <c r="B2442" s="7" t="str">
        <f>IFERROR(__xludf.DUMMYFUNCTION("""COMPUTED_VALUE"""),"Big Data Architect")</f>
        <v>Big Data Architect</v>
      </c>
      <c r="C2442" s="7" t="str">
        <f>IFERROR(__xludf.DUMMYFUNCTION("""COMPUTED_VALUE"""),"S132")</f>
        <v>S132</v>
      </c>
      <c r="D2442" s="7" t="str">
        <f>IFERROR(__xludf.DUMMYFUNCTION("""COMPUTED_VALUE"""),"Data Lakehouse Architecture (Delta Lake, Apache Iceberg, Databricks)")</f>
        <v>Data Lakehouse Architecture (Delta Lake, Apache Iceberg, Databricks)</v>
      </c>
    </row>
    <row r="2443">
      <c r="A2443" s="7" t="str">
        <f>IFERROR(__xludf.DUMMYFUNCTION("""COMPUTED_VALUE"""),"R56")</f>
        <v>R56</v>
      </c>
      <c r="B2443" s="7" t="str">
        <f>IFERROR(__xludf.DUMMYFUNCTION("""COMPUTED_VALUE"""),"Big Data Architect")</f>
        <v>Big Data Architect</v>
      </c>
      <c r="C2443" s="7" t="str">
        <f>IFERROR(__xludf.DUMMYFUNCTION("""COMPUTED_VALUE"""),"S133")</f>
        <v>S133</v>
      </c>
      <c r="D2443" s="7" t="str">
        <f>IFERROR(__xludf.DUMMYFUNCTION("""COMPUTED_VALUE"""),"Big Data Storage &amp; Hadoop Ecosystem (HDFS, Parquet, Avro)")</f>
        <v>Big Data Storage &amp; Hadoop Ecosystem (HDFS, Parquet, Avro)</v>
      </c>
    </row>
    <row r="2444">
      <c r="A2444" s="7" t="str">
        <f>IFERROR(__xludf.DUMMYFUNCTION("""COMPUTED_VALUE"""),"R56")</f>
        <v>R56</v>
      </c>
      <c r="B2444" s="7" t="str">
        <f>IFERROR(__xludf.DUMMYFUNCTION("""COMPUTED_VALUE"""),"Big Data Architect")</f>
        <v>Big Data Architect</v>
      </c>
      <c r="C2444" s="7" t="str">
        <f>IFERROR(__xludf.DUMMYFUNCTION("""COMPUTED_VALUE"""),"S134")</f>
        <v>S134</v>
      </c>
      <c r="D2444" s="7" t="str">
        <f>IFERROR(__xludf.DUMMYFUNCTION("""COMPUTED_VALUE"""),"Data Modeling (Star Schema, Snowflake Schema, Data Vault)")</f>
        <v>Data Modeling (Star Schema, Snowflake Schema, Data Vault)</v>
      </c>
    </row>
    <row r="2445">
      <c r="A2445" s="7" t="str">
        <f>IFERROR(__xludf.DUMMYFUNCTION("""COMPUTED_VALUE"""),"R56")</f>
        <v>R56</v>
      </c>
      <c r="B2445" s="7" t="str">
        <f>IFERROR(__xludf.DUMMYFUNCTION("""COMPUTED_VALUE"""),"Big Data Architect")</f>
        <v>Big Data Architect</v>
      </c>
      <c r="C2445" s="7" t="str">
        <f>IFERROR(__xludf.DUMMYFUNCTION("""COMPUTED_VALUE"""),"S135")</f>
        <v>S135</v>
      </c>
      <c r="D2445" s="7" t="str">
        <f>IFERROR(__xludf.DUMMYFUNCTION("""COMPUTED_VALUE"""),"Data Quality, Lineage &amp; Governance (Great Expectations, Collibra)")</f>
        <v>Data Quality, Lineage &amp; Governance (Great Expectations, Collibra)</v>
      </c>
    </row>
    <row r="2446">
      <c r="A2446" s="7" t="str">
        <f>IFERROR(__xludf.DUMMYFUNCTION("""COMPUTED_VALUE"""),"R56")</f>
        <v>R56</v>
      </c>
      <c r="B2446" s="7" t="str">
        <f>IFERROR(__xludf.DUMMYFUNCTION("""COMPUTED_VALUE"""),"Big Data Architect")</f>
        <v>Big Data Architect</v>
      </c>
      <c r="C2446" s="7" t="str">
        <f>IFERROR(__xludf.DUMMYFUNCTION("""COMPUTED_VALUE"""),"S140")</f>
        <v>S140</v>
      </c>
      <c r="D2446" s="7" t="str">
        <f>IFERROR(__xludf.DUMMYFUNCTION("""COMPUTED_VALUE"""),"Data Manipulation &amp; Analysis with Pandas / Polars")</f>
        <v>Data Manipulation &amp; Analysis with Pandas / Polars</v>
      </c>
    </row>
    <row r="2447">
      <c r="A2447" s="7" t="str">
        <f>IFERROR(__xludf.DUMMYFUNCTION("""COMPUTED_VALUE"""),"R56")</f>
        <v>R56</v>
      </c>
      <c r="B2447" s="7" t="str">
        <f>IFERROR(__xludf.DUMMYFUNCTION("""COMPUTED_VALUE"""),"Big Data Architect")</f>
        <v>Big Data Architect</v>
      </c>
      <c r="C2447" s="7" t="str">
        <f>IFERROR(__xludf.DUMMYFUNCTION("""COMPUTED_VALUE"""),"S171")</f>
        <v>S171</v>
      </c>
      <c r="D2447" s="7" t="str">
        <f>IFERROR(__xludf.DUMMYFUNCTION("""COMPUTED_VALUE"""),"Containerization with Docker")</f>
        <v>Containerization with Docker</v>
      </c>
    </row>
    <row r="2448">
      <c r="A2448" s="7" t="str">
        <f>IFERROR(__xludf.DUMMYFUNCTION("""COMPUTED_VALUE"""),"R56")</f>
        <v>R56</v>
      </c>
      <c r="B2448" s="7" t="str">
        <f>IFERROR(__xludf.DUMMYFUNCTION("""COMPUTED_VALUE"""),"Big Data Architect")</f>
        <v>Big Data Architect</v>
      </c>
      <c r="C2448" s="7" t="str">
        <f>IFERROR(__xludf.DUMMYFUNCTION("""COMPUTED_VALUE"""),"S172")</f>
        <v>S172</v>
      </c>
      <c r="D2448" s="7" t="str">
        <f>IFERROR(__xludf.DUMMYFUNCTION("""COMPUTED_VALUE"""),"Kubernetes Cluster Orchestration (K8s)")</f>
        <v>Kubernetes Cluster Orchestration (K8s)</v>
      </c>
    </row>
    <row r="2449">
      <c r="A2449" s="7" t="str">
        <f>IFERROR(__xludf.DUMMYFUNCTION("""COMPUTED_VALUE"""),"R56")</f>
        <v>R56</v>
      </c>
      <c r="B2449" s="7" t="str">
        <f>IFERROR(__xludf.DUMMYFUNCTION("""COMPUTED_VALUE"""),"Big Data Architect")</f>
        <v>Big Data Architect</v>
      </c>
      <c r="C2449" s="7" t="str">
        <f>IFERROR(__xludf.DUMMYFUNCTION("""COMPUTED_VALUE"""),"S174")</f>
        <v>S174</v>
      </c>
      <c r="D2449" s="7" t="str">
        <f>IFERROR(__xludf.DUMMYFUNCTION("""COMPUTED_VALUE"""),"Amazon Web Services Core (EC2, S3, RDS, IAM, VPC)")</f>
        <v>Amazon Web Services Core (EC2, S3, RDS, IAM, VPC)</v>
      </c>
    </row>
    <row r="2450">
      <c r="A2450" s="7" t="str">
        <f>IFERROR(__xludf.DUMMYFUNCTION("""COMPUTED_VALUE"""),"R56")</f>
        <v>R56</v>
      </c>
      <c r="B2450" s="7" t="str">
        <f>IFERROR(__xludf.DUMMYFUNCTION("""COMPUTED_VALUE"""),"Big Data Architect")</f>
        <v>Big Data Architect</v>
      </c>
      <c r="C2450" s="7" t="str">
        <f>IFERROR(__xludf.DUMMYFUNCTION("""COMPUTED_VALUE"""),"S175")</f>
        <v>S175</v>
      </c>
      <c r="D2450" s="7" t="str">
        <f>IFERROR(__xludf.DUMMYFUNCTION("""COMPUTED_VALUE"""),"Microsoft Azure Cloud Services")</f>
        <v>Microsoft Azure Cloud Services</v>
      </c>
    </row>
    <row r="2451">
      <c r="A2451" s="7" t="str">
        <f>IFERROR(__xludf.DUMMYFUNCTION("""COMPUTED_VALUE"""),"R56")</f>
        <v>R56</v>
      </c>
      <c r="B2451" s="7" t="str">
        <f>IFERROR(__xludf.DUMMYFUNCTION("""COMPUTED_VALUE"""),"Big Data Architect")</f>
        <v>Big Data Architect</v>
      </c>
      <c r="C2451" s="7" t="str">
        <f>IFERROR(__xludf.DUMMYFUNCTION("""COMPUTED_VALUE"""),"S176")</f>
        <v>S176</v>
      </c>
      <c r="D2451" s="7" t="str">
        <f>IFERROR(__xludf.DUMMYFUNCTION("""COMPUTED_VALUE"""),"Google Cloud Platform (GCP) Services")</f>
        <v>Google Cloud Platform (GCP) Services</v>
      </c>
    </row>
    <row r="2452">
      <c r="A2452" s="7" t="str">
        <f>IFERROR(__xludf.DUMMYFUNCTION("""COMPUTED_VALUE"""),"R56")</f>
        <v>R56</v>
      </c>
      <c r="B2452" s="7" t="str">
        <f>IFERROR(__xludf.DUMMYFUNCTION("""COMPUTED_VALUE"""),"Big Data Architect")</f>
        <v>Big Data Architect</v>
      </c>
      <c r="C2452" s="7" t="str">
        <f>IFERROR(__xludf.DUMMYFUNCTION("""COMPUTED_VALUE"""),"S178")</f>
        <v>S178</v>
      </c>
      <c r="D2452" s="7" t="str">
        <f>IFERROR(__xludf.DUMMYFUNCTION("""COMPUTED_VALUE"""),"Infrastructure as Code (Terraform &amp; OpenTofu)")</f>
        <v>Infrastructure as Code (Terraform &amp; OpenTofu)</v>
      </c>
    </row>
    <row r="2453">
      <c r="A2453" s="7" t="str">
        <f>IFERROR(__xludf.DUMMYFUNCTION("""COMPUTED_VALUE"""),"R56")</f>
        <v>R56</v>
      </c>
      <c r="B2453" s="7" t="str">
        <f>IFERROR(__xludf.DUMMYFUNCTION("""COMPUTED_VALUE"""),"Big Data Architect")</f>
        <v>Big Data Architect</v>
      </c>
      <c r="C2453" s="7" t="str">
        <f>IFERROR(__xludf.DUMMYFUNCTION("""COMPUTED_VALUE"""),"S180")</f>
        <v>S180</v>
      </c>
      <c r="D2453" s="7" t="str">
        <f>IFERROR(__xludf.DUMMYFUNCTION("""COMPUTED_VALUE"""),"CI/CD Pipelines with GitHub Actions")</f>
        <v>CI/CD Pipelines with GitHub Actions</v>
      </c>
    </row>
    <row r="2454">
      <c r="A2454" s="7" t="str">
        <f>IFERROR(__xludf.DUMMYFUNCTION("""COMPUTED_VALUE"""),"R56")</f>
        <v>R56</v>
      </c>
      <c r="B2454" s="7" t="str">
        <f>IFERROR(__xludf.DUMMYFUNCTION("""COMPUTED_VALUE"""),"Big Data Architect")</f>
        <v>Big Data Architect</v>
      </c>
      <c r="C2454" s="7" t="str">
        <f>IFERROR(__xludf.DUMMYFUNCTION("""COMPUTED_VALUE"""),"S184")</f>
        <v>S184</v>
      </c>
      <c r="D2454" s="7" t="str">
        <f>IFERROR(__xludf.DUMMYFUNCTION("""COMPUTED_VALUE"""),"Infrastructure &amp; Metrics Monitoring (Prometheus &amp; Grafana)")</f>
        <v>Infrastructure &amp; Metrics Monitoring (Prometheus &amp; Grafana)</v>
      </c>
    </row>
    <row r="2455">
      <c r="A2455" s="7" t="str">
        <f>IFERROR(__xludf.DUMMYFUNCTION("""COMPUTED_VALUE"""),"R56")</f>
        <v>R56</v>
      </c>
      <c r="B2455" s="7" t="str">
        <f>IFERROR(__xludf.DUMMYFUNCTION("""COMPUTED_VALUE"""),"Big Data Architect")</f>
        <v>Big Data Architect</v>
      </c>
      <c r="C2455" s="7" t="str">
        <f>IFERROR(__xludf.DUMMYFUNCTION("""COMPUTED_VALUE"""),"S185")</f>
        <v>S185</v>
      </c>
      <c r="D245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456">
      <c r="A2456" s="7" t="str">
        <f>IFERROR(__xludf.DUMMYFUNCTION("""COMPUTED_VALUE"""),"R56")</f>
        <v>R56</v>
      </c>
      <c r="B2456" s="7" t="str">
        <f>IFERROR(__xludf.DUMMYFUNCTION("""COMPUTED_VALUE"""),"Big Data Architect")</f>
        <v>Big Data Architect</v>
      </c>
      <c r="C2456" s="7" t="str">
        <f>IFERROR(__xludf.DUMMYFUNCTION("""COMPUTED_VALUE"""),"S188")</f>
        <v>S188</v>
      </c>
      <c r="D2456" s="7" t="str">
        <f>IFERROR(__xludf.DUMMYFUNCTION("""COMPUTED_VALUE"""),"High Availability, Failover &amp; Disaster Recovery")</f>
        <v>High Availability, Failover &amp; Disaster Recovery</v>
      </c>
    </row>
    <row r="2457">
      <c r="A2457" s="7" t="str">
        <f>IFERROR(__xludf.DUMMYFUNCTION("""COMPUTED_VALUE"""),"R56")</f>
        <v>R56</v>
      </c>
      <c r="B2457" s="7" t="str">
        <f>IFERROR(__xludf.DUMMYFUNCTION("""COMPUTED_VALUE"""),"Big Data Architect")</f>
        <v>Big Data Architect</v>
      </c>
      <c r="C2457" s="7" t="str">
        <f>IFERROR(__xludf.DUMMYFUNCTION("""COMPUTED_VALUE"""),"S189")</f>
        <v>S189</v>
      </c>
      <c r="D2457" s="7" t="str">
        <f>IFERROR(__xludf.DUMMYFUNCTION("""COMPUTED_VALUE"""),"Cloud FinOps &amp; Cost Optimization")</f>
        <v>Cloud FinOps &amp; Cost Optimization</v>
      </c>
    </row>
    <row r="2458">
      <c r="A2458" s="7" t="str">
        <f>IFERROR(__xludf.DUMMYFUNCTION("""COMPUTED_VALUE"""),"R56")</f>
        <v>R56</v>
      </c>
      <c r="B2458" s="7" t="str">
        <f>IFERROR(__xludf.DUMMYFUNCTION("""COMPUTED_VALUE"""),"Big Data Architect")</f>
        <v>Big Data Architect</v>
      </c>
      <c r="C2458" s="7" t="str">
        <f>IFERROR(__xludf.DUMMYFUNCTION("""COMPUTED_VALUE"""),"S210")</f>
        <v>S210</v>
      </c>
      <c r="D2458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2459">
      <c r="A2459" s="7" t="str">
        <f>IFERROR(__xludf.DUMMYFUNCTION("""COMPUTED_VALUE"""),"R56")</f>
        <v>R56</v>
      </c>
      <c r="B2459" s="7" t="str">
        <f>IFERROR(__xludf.DUMMYFUNCTION("""COMPUTED_VALUE"""),"Big Data Architect")</f>
        <v>Big Data Architect</v>
      </c>
      <c r="C2459" s="7" t="str">
        <f>IFERROR(__xludf.DUMMYFUNCTION("""COMPUTED_VALUE"""),"S212")</f>
        <v>S212</v>
      </c>
      <c r="D2459" s="7" t="str">
        <f>IFERROR(__xludf.DUMMYFUNCTION("""COMPUTED_VALUE"""),"Cloud Security Posture Management (AWS/Azure Security, CSPM)")</f>
        <v>Cloud Security Posture Management (AWS/Azure Security, CSPM)</v>
      </c>
    </row>
    <row r="2460">
      <c r="A2460" s="7" t="str">
        <f>IFERROR(__xludf.DUMMYFUNCTION("""COMPUTED_VALUE"""),"R56")</f>
        <v>R56</v>
      </c>
      <c r="B2460" s="7" t="str">
        <f>IFERROR(__xludf.DUMMYFUNCTION("""COMPUTED_VALUE"""),"Big Data Architect")</f>
        <v>Big Data Architect</v>
      </c>
      <c r="C2460" s="7" t="str">
        <f>IFERROR(__xludf.DUMMYFUNCTION("""COMPUTED_VALUE"""),"S217")</f>
        <v>S217</v>
      </c>
      <c r="D2460" s="7" t="str">
        <f>IFERROR(__xludf.DUMMYFUNCTION("""COMPUTED_VALUE"""),"Governance, Risk &amp; Compliance (ISO 27001, SOC 2, NIST, GDPR)")</f>
        <v>Governance, Risk &amp; Compliance (ISO 27001, SOC 2, NIST, GDPR)</v>
      </c>
    </row>
    <row r="2461">
      <c r="A2461" s="7" t="str">
        <f>IFERROR(__xludf.DUMMYFUNCTION("""COMPUTED_VALUE"""),"R56")</f>
        <v>R56</v>
      </c>
      <c r="B2461" s="7" t="str">
        <f>IFERROR(__xludf.DUMMYFUNCTION("""COMPUTED_VALUE"""),"Big Data Architect")</f>
        <v>Big Data Architect</v>
      </c>
      <c r="C2461" s="7" t="str">
        <f>IFERROR(__xludf.DUMMYFUNCTION("""COMPUTED_VALUE"""),"S243")</f>
        <v>S243</v>
      </c>
      <c r="D2461" s="7" t="str">
        <f>IFERROR(__xludf.DUMMYFUNCTION("""COMPUTED_VALUE"""),"Large-Scale System Design &amp; High-Scalability Architecture")</f>
        <v>Large-Scale System Design &amp; High-Scalability Architecture</v>
      </c>
    </row>
    <row r="2462">
      <c r="A2462" s="7" t="str">
        <f>IFERROR(__xludf.DUMMYFUNCTION("""COMPUTED_VALUE"""),"R56")</f>
        <v>R56</v>
      </c>
      <c r="B2462" s="7" t="str">
        <f>IFERROR(__xludf.DUMMYFUNCTION("""COMPUTED_VALUE"""),"Big Data Architect")</f>
        <v>Big Data Architect</v>
      </c>
      <c r="C2462" s="7" t="str">
        <f>IFERROR(__xludf.DUMMYFUNCTION("""COMPUTED_VALUE"""),"S244")</f>
        <v>S244</v>
      </c>
      <c r="D2462" s="7" t="str">
        <f>IFERROR(__xludf.DUMMYFUNCTION("""COMPUTED_VALUE"""),"Distributed Systems Theory (CAP Theorem, Consensus, Raft/Paxos)")</f>
        <v>Distributed Systems Theory (CAP Theorem, Consensus, Raft/Paxos)</v>
      </c>
    </row>
    <row r="2463">
      <c r="A2463" s="7" t="str">
        <f>IFERROR(__xludf.DUMMYFUNCTION("""COMPUTED_VALUE"""),"R56")</f>
        <v>R56</v>
      </c>
      <c r="B2463" s="7" t="str">
        <f>IFERROR(__xludf.DUMMYFUNCTION("""COMPUTED_VALUE"""),"Big Data Architect")</f>
        <v>Big Data Architect</v>
      </c>
      <c r="C2463" s="7" t="str">
        <f>IFERROR(__xludf.DUMMYFUNCTION("""COMPUTED_VALUE"""),"S245")</f>
        <v>S245</v>
      </c>
      <c r="D2463" s="7" t="str">
        <f>IFERROR(__xludf.DUMMYFUNCTION("""COMPUTED_VALUE"""),"Enterprise Architecture Frameworks (TOGAF, Domain-Driven Design)")</f>
        <v>Enterprise Architecture Frameworks (TOGAF, Domain-Driven Design)</v>
      </c>
    </row>
    <row r="2464">
      <c r="A2464" s="7" t="str">
        <f>IFERROR(__xludf.DUMMYFUNCTION("""COMPUTED_VALUE"""),"R56")</f>
        <v>R56</v>
      </c>
      <c r="B2464" s="7" t="str">
        <f>IFERROR(__xludf.DUMMYFUNCTION("""COMPUTED_VALUE"""),"Big Data Architect")</f>
        <v>Big Data Architect</v>
      </c>
      <c r="C2464" s="7" t="str">
        <f>IFERROR(__xludf.DUMMYFUNCTION("""COMPUTED_VALUE"""),"S246")</f>
        <v>S246</v>
      </c>
      <c r="D2464" s="7" t="str">
        <f>IFERROR(__xludf.DUMMYFUNCTION("""COMPUTED_VALUE"""),"Agile Methodologies, Scrum Framework &amp; Kanban")</f>
        <v>Agile Methodologies, Scrum Framework &amp; Kanban</v>
      </c>
    </row>
    <row r="2465">
      <c r="A2465" s="7" t="str">
        <f>IFERROR(__xludf.DUMMYFUNCTION("""COMPUTED_VALUE"""),"R56")</f>
        <v>R56</v>
      </c>
      <c r="B2465" s="7" t="str">
        <f>IFERROR(__xludf.DUMMYFUNCTION("""COMPUTED_VALUE"""),"Big Data Architect")</f>
        <v>Big Data Architect</v>
      </c>
      <c r="C2465" s="7" t="str">
        <f>IFERROR(__xludf.DUMMYFUNCTION("""COMPUTED_VALUE"""),"S247")</f>
        <v>S247</v>
      </c>
      <c r="D2465" s="7" t="str">
        <f>IFERROR(__xludf.DUMMYFUNCTION("""COMPUTED_VALUE"""),"Project Tracking &amp; Documentation Tools (Jira, Confluence, Linear)")</f>
        <v>Project Tracking &amp; Documentation Tools (Jira, Confluence, Linear)</v>
      </c>
    </row>
    <row r="2466">
      <c r="A2466" s="7" t="str">
        <f>IFERROR(__xludf.DUMMYFUNCTION("""COMPUTED_VALUE"""),"R56")</f>
        <v>R56</v>
      </c>
      <c r="B2466" s="7" t="str">
        <f>IFERROR(__xludf.DUMMYFUNCTION("""COMPUTED_VALUE"""),"Big Data Architect")</f>
        <v>Big Data Architect</v>
      </c>
      <c r="C2466" s="7" t="str">
        <f>IFERROR(__xludf.DUMMYFUNCTION("""COMPUTED_VALUE"""),"S250")</f>
        <v>S250</v>
      </c>
      <c r="D2466" s="7" t="str">
        <f>IFERROR(__xludf.DUMMYFUNCTION("""COMPUTED_VALUE"""),"Engineering Leadership, Code Review, Mentoring &amp; Technical Strategy")</f>
        <v>Engineering Leadership, Code Review, Mentoring &amp; Technical Strategy</v>
      </c>
    </row>
    <row r="2467">
      <c r="A2467" s="7" t="str">
        <f>IFERROR(__xludf.DUMMYFUNCTION("""COMPUTED_VALUE"""),"R57")</f>
        <v>R57</v>
      </c>
      <c r="B2467" s="7" t="str">
        <f>IFERROR(__xludf.DUMMYFUNCTION("""COMPUTED_VALUE"""),"Network Security Engineer")</f>
        <v>Network Security Engineer</v>
      </c>
      <c r="C2467" s="7" t="str">
        <f>IFERROR(__xludf.DUMMYFUNCTION("""COMPUTED_VALUE"""),"S001")</f>
        <v>S001</v>
      </c>
      <c r="D2467" s="7" t="str">
        <f>IFERROR(__xludf.DUMMYFUNCTION("""COMPUTED_VALUE"""),"Computer Architecture &amp; Organization")</f>
        <v>Computer Architecture &amp; Organization</v>
      </c>
    </row>
    <row r="2468">
      <c r="A2468" s="7" t="str">
        <f>IFERROR(__xludf.DUMMYFUNCTION("""COMPUTED_VALUE"""),"R57")</f>
        <v>R57</v>
      </c>
      <c r="B2468" s="7" t="str">
        <f>IFERROR(__xludf.DUMMYFUNCTION("""COMPUTED_VALUE"""),"Network Security Engineer")</f>
        <v>Network Security Engineer</v>
      </c>
      <c r="C2468" s="7" t="str">
        <f>IFERROR(__xludf.DUMMYFUNCTION("""COMPUTED_VALUE"""),"S002")</f>
        <v>S002</v>
      </c>
      <c r="D2468" s="7" t="str">
        <f>IFERROR(__xludf.DUMMYFUNCTION("""COMPUTED_VALUE"""),"Operating Systems Concepts")</f>
        <v>Operating Systems Concepts</v>
      </c>
    </row>
    <row r="2469">
      <c r="A2469" s="7" t="str">
        <f>IFERROR(__xludf.DUMMYFUNCTION("""COMPUTED_VALUE"""),"R57")</f>
        <v>R57</v>
      </c>
      <c r="B2469" s="7" t="str">
        <f>IFERROR(__xludf.DUMMYFUNCTION("""COMPUTED_VALUE"""),"Network Security Engineer")</f>
        <v>Network Security Engineer</v>
      </c>
      <c r="C2469" s="7" t="str">
        <f>IFERROR(__xludf.DUMMYFUNCTION("""COMPUTED_VALUE"""),"S017")</f>
        <v>S017</v>
      </c>
      <c r="D2469" s="7" t="str">
        <f>IFERROR(__xludf.DUMMYFUNCTION("""COMPUTED_VALUE"""),"Git Version Control Fundamentals")</f>
        <v>Git Version Control Fundamentals</v>
      </c>
    </row>
    <row r="2470">
      <c r="A2470" s="7" t="str">
        <f>IFERROR(__xludf.DUMMYFUNCTION("""COMPUTED_VALUE"""),"R57")</f>
        <v>R57</v>
      </c>
      <c r="B2470" s="7" t="str">
        <f>IFERROR(__xludf.DUMMYFUNCTION("""COMPUTED_VALUE"""),"Network Security Engineer")</f>
        <v>Network Security Engineer</v>
      </c>
      <c r="C2470" s="7" t="str">
        <f>IFERROR(__xludf.DUMMYFUNCTION("""COMPUTED_VALUE"""),"S019")</f>
        <v>S019</v>
      </c>
      <c r="D2470" s="7" t="str">
        <f>IFERROR(__xludf.DUMMYFUNCTION("""COMPUTED_VALUE"""),"Linux Command Line &amp; File Permissions")</f>
        <v>Linux Command Line &amp; File Permissions</v>
      </c>
    </row>
    <row r="2471">
      <c r="A2471" s="7" t="str">
        <f>IFERROR(__xludf.DUMMYFUNCTION("""COMPUTED_VALUE"""),"R57")</f>
        <v>R57</v>
      </c>
      <c r="B2471" s="7" t="str">
        <f>IFERROR(__xludf.DUMMYFUNCTION("""COMPUTED_VALUE"""),"Network Security Engineer")</f>
        <v>Network Security Engineer</v>
      </c>
      <c r="C2471" s="7" t="str">
        <f>IFERROR(__xludf.DUMMYFUNCTION("""COMPUTED_VALUE"""),"S020")</f>
        <v>S020</v>
      </c>
      <c r="D2471" s="7" t="str">
        <f>IFERROR(__xludf.DUMMYFUNCTION("""COMPUTED_VALUE"""),"Bash &amp; Shell Scripting")</f>
        <v>Bash &amp; Shell Scripting</v>
      </c>
    </row>
    <row r="2472">
      <c r="A2472" s="7" t="str">
        <f>IFERROR(__xludf.DUMMYFUNCTION("""COMPUTED_VALUE"""),"R57")</f>
        <v>R57</v>
      </c>
      <c r="B2472" s="7" t="str">
        <f>IFERROR(__xludf.DUMMYFUNCTION("""COMPUTED_VALUE"""),"Network Security Engineer")</f>
        <v>Network Security Engineer</v>
      </c>
      <c r="C2472" s="7" t="str">
        <f>IFERROR(__xludf.DUMMYFUNCTION("""COMPUTED_VALUE"""),"S021")</f>
        <v>S021</v>
      </c>
      <c r="D2472" s="7" t="str">
        <f>IFERROR(__xludf.DUMMYFUNCTION("""COMPUTED_VALUE"""),"PowerShell Scripting")</f>
        <v>PowerShell Scripting</v>
      </c>
    </row>
    <row r="2473">
      <c r="A2473" s="7" t="str">
        <f>IFERROR(__xludf.DUMMYFUNCTION("""COMPUTED_VALUE"""),"R57")</f>
        <v>R57</v>
      </c>
      <c r="B2473" s="7" t="str">
        <f>IFERROR(__xludf.DUMMYFUNCTION("""COMPUTED_VALUE"""),"Network Security Engineer")</f>
        <v>Network Security Engineer</v>
      </c>
      <c r="C2473" s="7" t="str">
        <f>IFERROR(__xludf.DUMMYFUNCTION("""COMPUTED_VALUE"""),"S022")</f>
        <v>S022</v>
      </c>
      <c r="D2473" s="7" t="str">
        <f>IFERROR(__xludf.DUMMYFUNCTION("""COMPUTED_VALUE"""),"Computer Networking &amp; OSI Model")</f>
        <v>Computer Networking &amp; OSI Model</v>
      </c>
    </row>
    <row r="2474">
      <c r="A2474" s="7" t="str">
        <f>IFERROR(__xludf.DUMMYFUNCTION("""COMPUTED_VALUE"""),"R57")</f>
        <v>R57</v>
      </c>
      <c r="B2474" s="7" t="str">
        <f>IFERROR(__xludf.DUMMYFUNCTION("""COMPUTED_VALUE"""),"Network Security Engineer")</f>
        <v>Network Security Engineer</v>
      </c>
      <c r="C2474" s="7" t="str">
        <f>IFERROR(__xludf.DUMMYFUNCTION("""COMPUTED_VALUE"""),"S023")</f>
        <v>S023</v>
      </c>
      <c r="D2474" s="7" t="str">
        <f>IFERROR(__xludf.DUMMYFUNCTION("""COMPUTED_VALUE"""),"HTTP/HTTPS Protocols &amp; Status Codes")</f>
        <v>HTTP/HTTPS Protocols &amp; Status Codes</v>
      </c>
    </row>
    <row r="2475">
      <c r="A2475" s="7" t="str">
        <f>IFERROR(__xludf.DUMMYFUNCTION("""COMPUTED_VALUE"""),"R57")</f>
        <v>R57</v>
      </c>
      <c r="B2475" s="7" t="str">
        <f>IFERROR(__xludf.DUMMYFUNCTION("""COMPUTED_VALUE"""),"Network Security Engineer")</f>
        <v>Network Security Engineer</v>
      </c>
      <c r="C2475" s="7" t="str">
        <f>IFERROR(__xludf.DUMMYFUNCTION("""COMPUTED_VALUE"""),"S024")</f>
        <v>S024</v>
      </c>
      <c r="D2475" s="7" t="str">
        <f>IFERROR(__xludf.DUMMYFUNCTION("""COMPUTED_VALUE"""),"DNS, Domain Routing &amp; SSL/TLS")</f>
        <v>DNS, Domain Routing &amp; SSL/TLS</v>
      </c>
    </row>
    <row r="2476">
      <c r="A2476" s="7" t="str">
        <f>IFERROR(__xludf.DUMMYFUNCTION("""COMPUTED_VALUE"""),"R57")</f>
        <v>R57</v>
      </c>
      <c r="B2476" s="7" t="str">
        <f>IFERROR(__xludf.DUMMYFUNCTION("""COMPUTED_VALUE"""),"Network Security Engineer")</f>
        <v>Network Security Engineer</v>
      </c>
      <c r="C2476" s="7" t="str">
        <f>IFERROR(__xludf.DUMMYFUNCTION("""COMPUTED_VALUE"""),"S025")</f>
        <v>S025</v>
      </c>
      <c r="D2476" s="7" t="str">
        <f>IFERROR(__xludf.DUMMYFUNCTION("""COMPUTED_VALUE"""),"Regular Expressions (Regex)")</f>
        <v>Regular Expressions (Regex)</v>
      </c>
    </row>
    <row r="2477">
      <c r="A2477" s="7" t="str">
        <f>IFERROR(__xludf.DUMMYFUNCTION("""COMPUTED_VALUE"""),"R57")</f>
        <v>R57</v>
      </c>
      <c r="B2477" s="7" t="str">
        <f>IFERROR(__xludf.DUMMYFUNCTION("""COMPUTED_VALUE"""),"Network Security Engineer")</f>
        <v>Network Security Engineer</v>
      </c>
      <c r="C2477" s="7" t="str">
        <f>IFERROR(__xludf.DUMMYFUNCTION("""COMPUTED_VALUE"""),"S026")</f>
        <v>S026</v>
      </c>
      <c r="D2477" s="7" t="str">
        <f>IFERROR(__xludf.DUMMYFUNCTION("""COMPUTED_VALUE"""),"Data Serialization (JSON, XML, YAML, Protobuf)")</f>
        <v>Data Serialization (JSON, XML, YAML, Protobuf)</v>
      </c>
    </row>
    <row r="2478">
      <c r="A2478" s="7" t="str">
        <f>IFERROR(__xludf.DUMMYFUNCTION("""COMPUTED_VALUE"""),"R57")</f>
        <v>R57</v>
      </c>
      <c r="B2478" s="7" t="str">
        <f>IFERROR(__xludf.DUMMYFUNCTION("""COMPUTED_VALUE"""),"Network Security Engineer")</f>
        <v>Network Security Engineer</v>
      </c>
      <c r="C2478" s="7" t="str">
        <f>IFERROR(__xludf.DUMMYFUNCTION("""COMPUTED_VALUE"""),"S028")</f>
        <v>S028</v>
      </c>
      <c r="D2478" s="7" t="str">
        <f>IFERROR(__xludf.DUMMYFUNCTION("""COMPUTED_VALUE"""),"Technical Writing &amp; Markdown Documentation")</f>
        <v>Technical Writing &amp; Markdown Documentation</v>
      </c>
    </row>
    <row r="2479">
      <c r="A2479" s="7" t="str">
        <f>IFERROR(__xludf.DUMMYFUNCTION("""COMPUTED_VALUE"""),"R57")</f>
        <v>R57</v>
      </c>
      <c r="B2479" s="7" t="str">
        <f>IFERROR(__xludf.DUMMYFUNCTION("""COMPUTED_VALUE"""),"Network Security Engineer")</f>
        <v>Network Security Engineer</v>
      </c>
      <c r="C2479" s="7" t="str">
        <f>IFERROR(__xludf.DUMMYFUNCTION("""COMPUTED_VALUE"""),"S029")</f>
        <v>S029</v>
      </c>
      <c r="D2479" s="7" t="str">
        <f>IFERROR(__xludf.DUMMYFUNCTION("""COMPUTED_VALUE"""),"Debugging, Profiling &amp; Root Cause Analysis")</f>
        <v>Debugging, Profiling &amp; Root Cause Analysis</v>
      </c>
    </row>
    <row r="2480">
      <c r="A2480" s="7" t="str">
        <f>IFERROR(__xludf.DUMMYFUNCTION("""COMPUTED_VALUE"""),"R57")</f>
        <v>R57</v>
      </c>
      <c r="B2480" s="7" t="str">
        <f>IFERROR(__xludf.DUMMYFUNCTION("""COMPUTED_VALUE"""),"Network Security Engineer")</f>
        <v>Network Security Engineer</v>
      </c>
      <c r="C2480" s="7" t="str">
        <f>IFERROR(__xludf.DUMMYFUNCTION("""COMPUTED_VALUE"""),"S068")</f>
        <v>S068</v>
      </c>
      <c r="D2480" s="7" t="str">
        <f>IFERROR(__xludf.DUMMYFUNCTION("""COMPUTED_VALUE"""),"Python Programming Fundamentals")</f>
        <v>Python Programming Fundamentals</v>
      </c>
    </row>
    <row r="2481">
      <c r="A2481" s="7" t="str">
        <f>IFERROR(__xludf.DUMMYFUNCTION("""COMPUTED_VALUE"""),"R57")</f>
        <v>R57</v>
      </c>
      <c r="B2481" s="7" t="str">
        <f>IFERROR(__xludf.DUMMYFUNCTION("""COMPUTED_VALUE"""),"Network Security Engineer")</f>
        <v>Network Security Engineer</v>
      </c>
      <c r="C2481" s="7" t="str">
        <f>IFERROR(__xludf.DUMMYFUNCTION("""COMPUTED_VALUE"""),"S174")</f>
        <v>S174</v>
      </c>
      <c r="D2481" s="7" t="str">
        <f>IFERROR(__xludf.DUMMYFUNCTION("""COMPUTED_VALUE"""),"Amazon Web Services Core (EC2, S3, RDS, IAM, VPC)")</f>
        <v>Amazon Web Services Core (EC2, S3, RDS, IAM, VPC)</v>
      </c>
    </row>
    <row r="2482">
      <c r="A2482" s="7" t="str">
        <f>IFERROR(__xludf.DUMMYFUNCTION("""COMPUTED_VALUE"""),"R57")</f>
        <v>R57</v>
      </c>
      <c r="B2482" s="7" t="str">
        <f>IFERROR(__xludf.DUMMYFUNCTION("""COMPUTED_VALUE"""),"Network Security Engineer")</f>
        <v>Network Security Engineer</v>
      </c>
      <c r="C2482" s="7" t="str">
        <f>IFERROR(__xludf.DUMMYFUNCTION("""COMPUTED_VALUE"""),"S178")</f>
        <v>S178</v>
      </c>
      <c r="D2482" s="7" t="str">
        <f>IFERROR(__xludf.DUMMYFUNCTION("""COMPUTED_VALUE"""),"Infrastructure as Code (Terraform &amp; OpenTofu)")</f>
        <v>Infrastructure as Code (Terraform &amp; OpenTofu)</v>
      </c>
    </row>
    <row r="2483">
      <c r="A2483" s="7" t="str">
        <f>IFERROR(__xludf.DUMMYFUNCTION("""COMPUTED_VALUE"""),"R57")</f>
        <v>R57</v>
      </c>
      <c r="B2483" s="7" t="str">
        <f>IFERROR(__xludf.DUMMYFUNCTION("""COMPUTED_VALUE"""),"Network Security Engineer")</f>
        <v>Network Security Engineer</v>
      </c>
      <c r="C2483" s="7" t="str">
        <f>IFERROR(__xludf.DUMMYFUNCTION("""COMPUTED_VALUE"""),"S179")</f>
        <v>S179</v>
      </c>
      <c r="D2483" s="7" t="str">
        <f>IFERROR(__xludf.DUMMYFUNCTION("""COMPUTED_VALUE"""),"Configuration Management (Ansible, Chef, Puppet)")</f>
        <v>Configuration Management (Ansible, Chef, Puppet)</v>
      </c>
    </row>
    <row r="2484">
      <c r="A2484" s="7" t="str">
        <f>IFERROR(__xludf.DUMMYFUNCTION("""COMPUTED_VALUE"""),"R57")</f>
        <v>R57</v>
      </c>
      <c r="B2484" s="7" t="str">
        <f>IFERROR(__xludf.DUMMYFUNCTION("""COMPUTED_VALUE"""),"Network Security Engineer")</f>
        <v>Network Security Engineer</v>
      </c>
      <c r="C2484" s="7" t="str">
        <f>IFERROR(__xludf.DUMMYFUNCTION("""COMPUTED_VALUE"""),"S183")</f>
        <v>S183</v>
      </c>
      <c r="D2484" s="7" t="str">
        <f>IFERROR(__xludf.DUMMYFUNCTION("""COMPUTED_VALUE"""),"Web Servers, Reverse Proxy &amp; Load Balancing (Nginx, HAProxy)")</f>
        <v>Web Servers, Reverse Proxy &amp; Load Balancing (Nginx, HAProxy)</v>
      </c>
    </row>
    <row r="2485">
      <c r="A2485" s="7" t="str">
        <f>IFERROR(__xludf.DUMMYFUNCTION("""COMPUTED_VALUE"""),"R57")</f>
        <v>R57</v>
      </c>
      <c r="B2485" s="7" t="str">
        <f>IFERROR(__xludf.DUMMYFUNCTION("""COMPUTED_VALUE"""),"Network Security Engineer")</f>
        <v>Network Security Engineer</v>
      </c>
      <c r="C2485" s="7" t="str">
        <f>IFERROR(__xludf.DUMMYFUNCTION("""COMPUTED_VALUE"""),"S184")</f>
        <v>S184</v>
      </c>
      <c r="D2485" s="7" t="str">
        <f>IFERROR(__xludf.DUMMYFUNCTION("""COMPUTED_VALUE"""),"Infrastructure &amp; Metrics Monitoring (Prometheus &amp; Grafana)")</f>
        <v>Infrastructure &amp; Metrics Monitoring (Prometheus &amp; Grafana)</v>
      </c>
    </row>
    <row r="2486">
      <c r="A2486" s="7" t="str">
        <f>IFERROR(__xludf.DUMMYFUNCTION("""COMPUTED_VALUE"""),"R57")</f>
        <v>R57</v>
      </c>
      <c r="B2486" s="7" t="str">
        <f>IFERROR(__xludf.DUMMYFUNCTION("""COMPUTED_VALUE"""),"Network Security Engineer")</f>
        <v>Network Security Engineer</v>
      </c>
      <c r="C2486" s="7" t="str">
        <f>IFERROR(__xludf.DUMMYFUNCTION("""COMPUTED_VALUE"""),"S185")</f>
        <v>S185</v>
      </c>
      <c r="D2486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487">
      <c r="A2487" s="7" t="str">
        <f>IFERROR(__xludf.DUMMYFUNCTION("""COMPUTED_VALUE"""),"R57")</f>
        <v>R57</v>
      </c>
      <c r="B2487" s="7" t="str">
        <f>IFERROR(__xludf.DUMMYFUNCTION("""COMPUTED_VALUE"""),"Network Security Engineer")</f>
        <v>Network Security Engineer</v>
      </c>
      <c r="C2487" s="7" t="str">
        <f>IFERROR(__xludf.DUMMYFUNCTION("""COMPUTED_VALUE"""),"S188")</f>
        <v>S188</v>
      </c>
      <c r="D2487" s="7" t="str">
        <f>IFERROR(__xludf.DUMMYFUNCTION("""COMPUTED_VALUE"""),"High Availability, Failover &amp; Disaster Recovery")</f>
        <v>High Availability, Failover &amp; Disaster Recovery</v>
      </c>
    </row>
    <row r="2488">
      <c r="A2488" s="7" t="str">
        <f>IFERROR(__xludf.DUMMYFUNCTION("""COMPUTED_VALUE"""),"R57")</f>
        <v>R57</v>
      </c>
      <c r="B2488" s="7" t="str">
        <f>IFERROR(__xludf.DUMMYFUNCTION("""COMPUTED_VALUE"""),"Network Security Engineer")</f>
        <v>Network Security Engineer</v>
      </c>
      <c r="C2488" s="7" t="str">
        <f>IFERROR(__xludf.DUMMYFUNCTION("""COMPUTED_VALUE"""),"S191")</f>
        <v>S191</v>
      </c>
      <c r="D2488" s="7" t="str">
        <f>IFERROR(__xludf.DUMMYFUNCTION("""COMPUTED_VALUE"""),"Enterprise Linux System Administration (RHEL, Ubuntu, systemd)")</f>
        <v>Enterprise Linux System Administration (RHEL, Ubuntu, systemd)</v>
      </c>
    </row>
    <row r="2489">
      <c r="A2489" s="7" t="str">
        <f>IFERROR(__xludf.DUMMYFUNCTION("""COMPUTED_VALUE"""),"R57")</f>
        <v>R57</v>
      </c>
      <c r="B2489" s="7" t="str">
        <f>IFERROR(__xludf.DUMMYFUNCTION("""COMPUTED_VALUE"""),"Network Security Engineer")</f>
        <v>Network Security Engineer</v>
      </c>
      <c r="C2489" s="7" t="str">
        <f>IFERROR(__xludf.DUMMYFUNCTION("""COMPUTED_VALUE"""),"S192")</f>
        <v>S192</v>
      </c>
      <c r="D2489" s="7" t="str">
        <f>IFERROR(__xludf.DUMMYFUNCTION("""COMPUTED_VALUE"""),"Windows Server &amp; Active Directory Administration")</f>
        <v>Windows Server &amp; Active Directory Administration</v>
      </c>
    </row>
    <row r="2490">
      <c r="A2490" s="7" t="str">
        <f>IFERROR(__xludf.DUMMYFUNCTION("""COMPUTED_VALUE"""),"R57")</f>
        <v>R57</v>
      </c>
      <c r="B2490" s="7" t="str">
        <f>IFERROR(__xludf.DUMMYFUNCTION("""COMPUTED_VALUE"""),"Network Security Engineer")</f>
        <v>Network Security Engineer</v>
      </c>
      <c r="C2490" s="7" t="str">
        <f>IFERROR(__xludf.DUMMYFUNCTION("""COMPUTED_VALUE"""),"S193")</f>
        <v>S193</v>
      </c>
      <c r="D2490" s="7" t="str">
        <f>IFERROR(__xludf.DUMMYFUNCTION("""COMPUTED_VALUE"""),"Virtualization &amp; Hypervisors (VMware vSphere, Proxmox, KVM)")</f>
        <v>Virtualization &amp; Hypervisors (VMware vSphere, Proxmox, KVM)</v>
      </c>
    </row>
    <row r="2491">
      <c r="A2491" s="7" t="str">
        <f>IFERROR(__xludf.DUMMYFUNCTION("""COMPUTED_VALUE"""),"R57")</f>
        <v>R57</v>
      </c>
      <c r="B2491" s="7" t="str">
        <f>IFERROR(__xludf.DUMMYFUNCTION("""COMPUTED_VALUE"""),"Network Security Engineer")</f>
        <v>Network Security Engineer</v>
      </c>
      <c r="C2491" s="7" t="str">
        <f>IFERROR(__xludf.DUMMYFUNCTION("""COMPUTED_VALUE"""),"S194")</f>
        <v>S194</v>
      </c>
      <c r="D2491" s="7" t="str">
        <f>IFERROR(__xludf.DUMMYFUNCTION("""COMPUTED_VALUE"""),"TCP/IP Networking, Subnetting, VLANs &amp; VPNs")</f>
        <v>TCP/IP Networking, Subnetting, VLANs &amp; VPNs</v>
      </c>
    </row>
    <row r="2492">
      <c r="A2492" s="7" t="str">
        <f>IFERROR(__xludf.DUMMYFUNCTION("""COMPUTED_VALUE"""),"R57")</f>
        <v>R57</v>
      </c>
      <c r="B2492" s="7" t="str">
        <f>IFERROR(__xludf.DUMMYFUNCTION("""COMPUTED_VALUE"""),"Network Security Engineer")</f>
        <v>Network Security Engineer</v>
      </c>
      <c r="C2492" s="7" t="str">
        <f>IFERROR(__xludf.DUMMYFUNCTION("""COMPUTED_VALUE"""),"S195")</f>
        <v>S195</v>
      </c>
      <c r="D2492" s="7" t="str">
        <f>IFERROR(__xludf.DUMMYFUNCTION("""COMPUTED_VALUE"""),"Enterprise Routing &amp; Switching (BGP, OSPF, Cisco IOS)")</f>
        <v>Enterprise Routing &amp; Switching (BGP, OSPF, Cisco IOS)</v>
      </c>
    </row>
    <row r="2493">
      <c r="A2493" s="7" t="str">
        <f>IFERROR(__xludf.DUMMYFUNCTION("""COMPUTED_VALUE"""),"R57")</f>
        <v>R57</v>
      </c>
      <c r="B2493" s="7" t="str">
        <f>IFERROR(__xludf.DUMMYFUNCTION("""COMPUTED_VALUE"""),"Network Security Engineer")</f>
        <v>Network Security Engineer</v>
      </c>
      <c r="C2493" s="7" t="str">
        <f>IFERROR(__xludf.DUMMYFUNCTION("""COMPUTED_VALUE"""),"S196")</f>
        <v>S196</v>
      </c>
      <c r="D2493" s="7" t="str">
        <f>IFERROR(__xludf.DUMMYFUNCTION("""COMPUTED_VALUE"""),"Cybersecurity Principles &amp; CIA Triad")</f>
        <v>Cybersecurity Principles &amp; CIA Triad</v>
      </c>
    </row>
    <row r="2494">
      <c r="A2494" s="7" t="str">
        <f>IFERROR(__xludf.DUMMYFUNCTION("""COMPUTED_VALUE"""),"R57")</f>
        <v>R57</v>
      </c>
      <c r="B2494" s="7" t="str">
        <f>IFERROR(__xludf.DUMMYFUNCTION("""COMPUTED_VALUE"""),"Network Security Engineer")</f>
        <v>Network Security Engineer</v>
      </c>
      <c r="C2494" s="7" t="str">
        <f>IFERROR(__xludf.DUMMYFUNCTION("""COMPUTED_VALUE"""),"S197")</f>
        <v>S197</v>
      </c>
      <c r="D2494" s="7" t="str">
        <f>IFERROR(__xludf.DUMMYFUNCTION("""COMPUTED_VALUE"""),"Network Security, Firewalls &amp; WAF")</f>
        <v>Network Security, Firewalls &amp; WAF</v>
      </c>
    </row>
    <row r="2495">
      <c r="A2495" s="7" t="str">
        <f>IFERROR(__xludf.DUMMYFUNCTION("""COMPUTED_VALUE"""),"R57")</f>
        <v>R57</v>
      </c>
      <c r="B2495" s="7" t="str">
        <f>IFERROR(__xludf.DUMMYFUNCTION("""COMPUTED_VALUE"""),"Network Security Engineer")</f>
        <v>Network Security Engineer</v>
      </c>
      <c r="C2495" s="7" t="str">
        <f>IFERROR(__xludf.DUMMYFUNCTION("""COMPUTED_VALUE"""),"S198")</f>
        <v>S198</v>
      </c>
      <c r="D2495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2496">
      <c r="A2496" s="7" t="str">
        <f>IFERROR(__xludf.DUMMYFUNCTION("""COMPUTED_VALUE"""),"R57")</f>
        <v>R57</v>
      </c>
      <c r="B2496" s="7" t="str">
        <f>IFERROR(__xludf.DUMMYFUNCTION("""COMPUTED_VALUE"""),"Network Security Engineer")</f>
        <v>Network Security Engineer</v>
      </c>
      <c r="C2496" s="7" t="str">
        <f>IFERROR(__xludf.DUMMYFUNCTION("""COMPUTED_VALUE"""),"S199")</f>
        <v>S199</v>
      </c>
      <c r="D2496" s="7" t="str">
        <f>IFERROR(__xludf.DUMMYFUNCTION("""COMPUTED_VALUE"""),"Packet Capture &amp; Traffic Analysis (Wireshark, tcpdump, Nmap)")</f>
        <v>Packet Capture &amp; Traffic Analysis (Wireshark, tcpdump, Nmap)</v>
      </c>
    </row>
    <row r="2497">
      <c r="A2497" s="7" t="str">
        <f>IFERROR(__xludf.DUMMYFUNCTION("""COMPUTED_VALUE"""),"R57")</f>
        <v>R57</v>
      </c>
      <c r="B2497" s="7" t="str">
        <f>IFERROR(__xludf.DUMMYFUNCTION("""COMPUTED_VALUE"""),"Network Security Engineer")</f>
        <v>Network Security Engineer</v>
      </c>
      <c r="C2497" s="7" t="str">
        <f>IFERROR(__xludf.DUMMYFUNCTION("""COMPUTED_VALUE"""),"S200")</f>
        <v>S200</v>
      </c>
      <c r="D2497" s="7" t="str">
        <f>IFERROR(__xludf.DUMMYFUNCTION("""COMPUTED_VALUE"""),"Web Application Security &amp; OWASP Top 10")</f>
        <v>Web Application Security &amp; OWASP Top 10</v>
      </c>
    </row>
    <row r="2498">
      <c r="A2498" s="7" t="str">
        <f>IFERROR(__xludf.DUMMYFUNCTION("""COMPUTED_VALUE"""),"R57")</f>
        <v>R57</v>
      </c>
      <c r="B2498" s="7" t="str">
        <f>IFERROR(__xludf.DUMMYFUNCTION("""COMPUTED_VALUE"""),"Network Security Engineer")</f>
        <v>Network Security Engineer</v>
      </c>
      <c r="C2498" s="7" t="str">
        <f>IFERROR(__xludf.DUMMYFUNCTION("""COMPUTED_VALUE"""),"S202")</f>
        <v>S202</v>
      </c>
      <c r="D2498" s="7" t="str">
        <f>IFERROR(__xludf.DUMMYFUNCTION("""COMPUTED_VALUE"""),"Network &amp; System Exploitation (Metasploit, Kali Linux)")</f>
        <v>Network &amp; System Exploitation (Metasploit, Kali Linux)</v>
      </c>
    </row>
    <row r="2499">
      <c r="A2499" s="7" t="str">
        <f>IFERROR(__xludf.DUMMYFUNCTION("""COMPUTED_VALUE"""),"R57")</f>
        <v>R57</v>
      </c>
      <c r="B2499" s="7" t="str">
        <f>IFERROR(__xludf.DUMMYFUNCTION("""COMPUTED_VALUE"""),"Network Security Engineer")</f>
        <v>Network Security Engineer</v>
      </c>
      <c r="C2499" s="7" t="str">
        <f>IFERROR(__xludf.DUMMYFUNCTION("""COMPUTED_VALUE"""),"S203")</f>
        <v>S203</v>
      </c>
      <c r="D2499" s="7" t="str">
        <f>IFERROR(__xludf.DUMMYFUNCTION("""COMPUTED_VALUE"""),"Vulnerability Assessment &amp; Management (Nessus, OpenVAS, Qualys)")</f>
        <v>Vulnerability Assessment &amp; Management (Nessus, OpenVAS, Qualys)</v>
      </c>
    </row>
    <row r="2500">
      <c r="A2500" s="7" t="str">
        <f>IFERROR(__xludf.DUMMYFUNCTION("""COMPUTED_VALUE"""),"R57")</f>
        <v>R57</v>
      </c>
      <c r="B2500" s="7" t="str">
        <f>IFERROR(__xludf.DUMMYFUNCTION("""COMPUTED_VALUE"""),"Network Security Engineer")</f>
        <v>Network Security Engineer</v>
      </c>
      <c r="C2500" s="7" t="str">
        <f>IFERROR(__xludf.DUMMYFUNCTION("""COMPUTED_VALUE"""),"S204")</f>
        <v>S204</v>
      </c>
      <c r="D2500" s="7" t="str">
        <f>IFERROR(__xludf.DUMMYFUNCTION("""COMPUTED_VALUE"""),"Security Information &amp; Event Management (SIEM: Splunk, Sentinel, QRadar)")</f>
        <v>Security Information &amp; Event Management (SIEM: Splunk, Sentinel, QRadar)</v>
      </c>
    </row>
    <row r="2501">
      <c r="A2501" s="7" t="str">
        <f>IFERROR(__xludf.DUMMYFUNCTION("""COMPUTED_VALUE"""),"R57")</f>
        <v>R57</v>
      </c>
      <c r="B2501" s="7" t="str">
        <f>IFERROR(__xludf.DUMMYFUNCTION("""COMPUTED_VALUE"""),"Network Security Engineer")</f>
        <v>Network Security Engineer</v>
      </c>
      <c r="C2501" s="7" t="str">
        <f>IFERROR(__xludf.DUMMYFUNCTION("""COMPUTED_VALUE"""),"S205")</f>
        <v>S205</v>
      </c>
      <c r="D2501" s="7" t="str">
        <f>IFERROR(__xludf.DUMMYFUNCTION("""COMPUTED_VALUE"""),"Security Operations Center (SOC) &amp; Threat Hunting")</f>
        <v>Security Operations Center (SOC) &amp; Threat Hunting</v>
      </c>
    </row>
    <row r="2502">
      <c r="A2502" s="7" t="str">
        <f>IFERROR(__xludf.DUMMYFUNCTION("""COMPUTED_VALUE"""),"R57")</f>
        <v>R57</v>
      </c>
      <c r="B2502" s="7" t="str">
        <f>IFERROR(__xludf.DUMMYFUNCTION("""COMPUTED_VALUE"""),"Network Security Engineer")</f>
        <v>Network Security Engineer</v>
      </c>
      <c r="C2502" s="7" t="str">
        <f>IFERROR(__xludf.DUMMYFUNCTION("""COMPUTED_VALUE"""),"S206")</f>
        <v>S206</v>
      </c>
      <c r="D2502" s="7" t="str">
        <f>IFERROR(__xludf.DUMMYFUNCTION("""COMPUTED_VALUE"""),"Endpoint Detection &amp; Response (EDR / XDR: CrowdStrike, Defender)")</f>
        <v>Endpoint Detection &amp; Response (EDR / XDR: CrowdStrike, Defender)</v>
      </c>
    </row>
    <row r="2503">
      <c r="A2503" s="7" t="str">
        <f>IFERROR(__xludf.DUMMYFUNCTION("""COMPUTED_VALUE"""),"R57")</f>
        <v>R57</v>
      </c>
      <c r="B2503" s="7" t="str">
        <f>IFERROR(__xludf.DUMMYFUNCTION("""COMPUTED_VALUE"""),"Network Security Engineer")</f>
        <v>Network Security Engineer</v>
      </c>
      <c r="C2503" s="7" t="str">
        <f>IFERROR(__xludf.DUMMYFUNCTION("""COMPUTED_VALUE"""),"S207")</f>
        <v>S207</v>
      </c>
      <c r="D2503" s="7" t="str">
        <f>IFERROR(__xludf.DUMMYFUNCTION("""COMPUTED_VALUE"""),"Incident Response &amp; Digital Forensics (DFIR)")</f>
        <v>Incident Response &amp; Digital Forensics (DFIR)</v>
      </c>
    </row>
    <row r="2504">
      <c r="A2504" s="7" t="str">
        <f>IFERROR(__xludf.DUMMYFUNCTION("""COMPUTED_VALUE"""),"R57")</f>
        <v>R57</v>
      </c>
      <c r="B2504" s="7" t="str">
        <f>IFERROR(__xludf.DUMMYFUNCTION("""COMPUTED_VALUE"""),"Network Security Engineer")</f>
        <v>Network Security Engineer</v>
      </c>
      <c r="C2504" s="7" t="str">
        <f>IFERROR(__xludf.DUMMYFUNCTION("""COMPUTED_VALUE"""),"S209")</f>
        <v>S209</v>
      </c>
      <c r="D2504" s="7" t="str">
        <f>IFERROR(__xludf.DUMMYFUNCTION("""COMPUTED_VALUE"""),"Applied Cryptography, Hashing &amp; PKI Certificates")</f>
        <v>Applied Cryptography, Hashing &amp; PKI Certificates</v>
      </c>
    </row>
    <row r="2505">
      <c r="A2505" s="7" t="str">
        <f>IFERROR(__xludf.DUMMYFUNCTION("""COMPUTED_VALUE"""),"R57")</f>
        <v>R57</v>
      </c>
      <c r="B2505" s="7" t="str">
        <f>IFERROR(__xludf.DUMMYFUNCTION("""COMPUTED_VALUE"""),"Network Security Engineer")</f>
        <v>Network Security Engineer</v>
      </c>
      <c r="C2505" s="7" t="str">
        <f>IFERROR(__xludf.DUMMYFUNCTION("""COMPUTED_VALUE"""),"S210")</f>
        <v>S210</v>
      </c>
      <c r="D2505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2506">
      <c r="A2506" s="7" t="str">
        <f>IFERROR(__xludf.DUMMYFUNCTION("""COMPUTED_VALUE"""),"R57")</f>
        <v>R57</v>
      </c>
      <c r="B2506" s="7" t="str">
        <f>IFERROR(__xludf.DUMMYFUNCTION("""COMPUTED_VALUE"""),"Network Security Engineer")</f>
        <v>Network Security Engineer</v>
      </c>
      <c r="C2506" s="7" t="str">
        <f>IFERROR(__xludf.DUMMYFUNCTION("""COMPUTED_VALUE"""),"S211")</f>
        <v>S211</v>
      </c>
      <c r="D2506" s="7" t="str">
        <f>IFERROR(__xludf.DUMMYFUNCTION("""COMPUTED_VALUE"""),"Zero Trust Network Architecture")</f>
        <v>Zero Trust Network Architecture</v>
      </c>
    </row>
    <row r="2507">
      <c r="A2507" s="7" t="str">
        <f>IFERROR(__xludf.DUMMYFUNCTION("""COMPUTED_VALUE"""),"R57")</f>
        <v>R57</v>
      </c>
      <c r="B2507" s="7" t="str">
        <f>IFERROR(__xludf.DUMMYFUNCTION("""COMPUTED_VALUE"""),"Network Security Engineer")</f>
        <v>Network Security Engineer</v>
      </c>
      <c r="C2507" s="7" t="str">
        <f>IFERROR(__xludf.DUMMYFUNCTION("""COMPUTED_VALUE"""),"S212")</f>
        <v>S212</v>
      </c>
      <c r="D2507" s="7" t="str">
        <f>IFERROR(__xludf.DUMMYFUNCTION("""COMPUTED_VALUE"""),"Cloud Security Posture Management (AWS/Azure Security, CSPM)")</f>
        <v>Cloud Security Posture Management (AWS/Azure Security, CSPM)</v>
      </c>
    </row>
    <row r="2508">
      <c r="A2508" s="7" t="str">
        <f>IFERROR(__xludf.DUMMYFUNCTION("""COMPUTED_VALUE"""),"R57")</f>
        <v>R57</v>
      </c>
      <c r="B2508" s="7" t="str">
        <f>IFERROR(__xludf.DUMMYFUNCTION("""COMPUTED_VALUE"""),"Network Security Engineer")</f>
        <v>Network Security Engineer</v>
      </c>
      <c r="C2508" s="7" t="str">
        <f>IFERROR(__xludf.DUMMYFUNCTION("""COMPUTED_VALUE"""),"S216")</f>
        <v>S216</v>
      </c>
      <c r="D2508" s="7" t="str">
        <f>IFERROR(__xludf.DUMMYFUNCTION("""COMPUTED_VALUE"""),"Threat Modeling &amp; Security Architecture Review (STRIDE, MITRE ATT&amp;CK)")</f>
        <v>Threat Modeling &amp; Security Architecture Review (STRIDE, MITRE ATT&amp;CK)</v>
      </c>
    </row>
    <row r="2509">
      <c r="A2509" s="7" t="str">
        <f>IFERROR(__xludf.DUMMYFUNCTION("""COMPUTED_VALUE"""),"R57")</f>
        <v>R57</v>
      </c>
      <c r="B2509" s="7" t="str">
        <f>IFERROR(__xludf.DUMMYFUNCTION("""COMPUTED_VALUE"""),"Network Security Engineer")</f>
        <v>Network Security Engineer</v>
      </c>
      <c r="C2509" s="7" t="str">
        <f>IFERROR(__xludf.DUMMYFUNCTION("""COMPUTED_VALUE"""),"S217")</f>
        <v>S217</v>
      </c>
      <c r="D2509" s="7" t="str">
        <f>IFERROR(__xludf.DUMMYFUNCTION("""COMPUTED_VALUE"""),"Governance, Risk &amp; Compliance (ISO 27001, SOC 2, NIST, GDPR)")</f>
        <v>Governance, Risk &amp; Compliance (ISO 27001, SOC 2, NIST, GDPR)</v>
      </c>
    </row>
    <row r="2510">
      <c r="A2510" s="7" t="str">
        <f>IFERROR(__xludf.DUMMYFUNCTION("""COMPUTED_VALUE"""),"R57")</f>
        <v>R57</v>
      </c>
      <c r="B2510" s="7" t="str">
        <f>IFERROR(__xludf.DUMMYFUNCTION("""COMPUTED_VALUE"""),"Network Security Engineer")</f>
        <v>Network Security Engineer</v>
      </c>
      <c r="C2510" s="7" t="str">
        <f>IFERROR(__xludf.DUMMYFUNCTION("""COMPUTED_VALUE"""),"S220")</f>
        <v>S220</v>
      </c>
      <c r="D2510" s="7" t="str">
        <f>IFERROR(__xludf.DUMMYFUNCTION("""COMPUTED_VALUE"""),"Wireless, IoT &amp; Hardware Security Testing")</f>
        <v>Wireless, IoT &amp; Hardware Security Testing</v>
      </c>
    </row>
    <row r="2511">
      <c r="A2511" s="7" t="str">
        <f>IFERROR(__xludf.DUMMYFUNCTION("""COMPUTED_VALUE"""),"R57")</f>
        <v>R57</v>
      </c>
      <c r="B2511" s="7" t="str">
        <f>IFERROR(__xludf.DUMMYFUNCTION("""COMPUTED_VALUE"""),"Network Security Engineer")</f>
        <v>Network Security Engineer</v>
      </c>
      <c r="C2511" s="7" t="str">
        <f>IFERROR(__xludf.DUMMYFUNCTION("""COMPUTED_VALUE"""),"S246")</f>
        <v>S246</v>
      </c>
      <c r="D2511" s="7" t="str">
        <f>IFERROR(__xludf.DUMMYFUNCTION("""COMPUTED_VALUE"""),"Agile Methodologies, Scrum Framework &amp; Kanban")</f>
        <v>Agile Methodologies, Scrum Framework &amp; Kanban</v>
      </c>
    </row>
    <row r="2512">
      <c r="A2512" s="7" t="str">
        <f>IFERROR(__xludf.DUMMYFUNCTION("""COMPUTED_VALUE"""),"R57")</f>
        <v>R57</v>
      </c>
      <c r="B2512" s="7" t="str">
        <f>IFERROR(__xludf.DUMMYFUNCTION("""COMPUTED_VALUE"""),"Network Security Engineer")</f>
        <v>Network Security Engineer</v>
      </c>
      <c r="C2512" s="7" t="str">
        <f>IFERROR(__xludf.DUMMYFUNCTION("""COMPUTED_VALUE"""),"S247")</f>
        <v>S247</v>
      </c>
      <c r="D2512" s="7" t="str">
        <f>IFERROR(__xludf.DUMMYFUNCTION("""COMPUTED_VALUE"""),"Project Tracking &amp; Documentation Tools (Jira, Confluence, Linear)")</f>
        <v>Project Tracking &amp; Documentation Tools (Jira, Confluence, Linear)</v>
      </c>
    </row>
    <row r="2513">
      <c r="A2513" s="7" t="str">
        <f>IFERROR(__xludf.DUMMYFUNCTION("""COMPUTED_VALUE"""),"R58")</f>
        <v>R58</v>
      </c>
      <c r="B2513" s="7" t="str">
        <f>IFERROR(__xludf.DUMMYFUNCTION("""COMPUTED_VALUE"""),"Linux Systems Engineer")</f>
        <v>Linux Systems Engineer</v>
      </c>
      <c r="C2513" s="7" t="str">
        <f>IFERROR(__xludf.DUMMYFUNCTION("""COMPUTED_VALUE"""),"S001")</f>
        <v>S001</v>
      </c>
      <c r="D2513" s="7" t="str">
        <f>IFERROR(__xludf.DUMMYFUNCTION("""COMPUTED_VALUE"""),"Computer Architecture &amp; Organization")</f>
        <v>Computer Architecture &amp; Organization</v>
      </c>
    </row>
    <row r="2514">
      <c r="A2514" s="7" t="str">
        <f>IFERROR(__xludf.DUMMYFUNCTION("""COMPUTED_VALUE"""),"R58")</f>
        <v>R58</v>
      </c>
      <c r="B2514" s="7" t="str">
        <f>IFERROR(__xludf.DUMMYFUNCTION("""COMPUTED_VALUE"""),"Linux Systems Engineer")</f>
        <v>Linux Systems Engineer</v>
      </c>
      <c r="C2514" s="7" t="str">
        <f>IFERROR(__xludf.DUMMYFUNCTION("""COMPUTED_VALUE"""),"S002")</f>
        <v>S002</v>
      </c>
      <c r="D2514" s="7" t="str">
        <f>IFERROR(__xludf.DUMMYFUNCTION("""COMPUTED_VALUE"""),"Operating Systems Concepts")</f>
        <v>Operating Systems Concepts</v>
      </c>
    </row>
    <row r="2515">
      <c r="A2515" s="7" t="str">
        <f>IFERROR(__xludf.DUMMYFUNCTION("""COMPUTED_VALUE"""),"R58")</f>
        <v>R58</v>
      </c>
      <c r="B2515" s="7" t="str">
        <f>IFERROR(__xludf.DUMMYFUNCTION("""COMPUTED_VALUE"""),"Linux Systems Engineer")</f>
        <v>Linux Systems Engineer</v>
      </c>
      <c r="C2515" s="7" t="str">
        <f>IFERROR(__xludf.DUMMYFUNCTION("""COMPUTED_VALUE"""),"S003")</f>
        <v>S003</v>
      </c>
      <c r="D2515" s="7" t="str">
        <f>IFERROR(__xludf.DUMMYFUNCTION("""COMPUTED_VALUE"""),"Process &amp; Thread Management")</f>
        <v>Process &amp; Thread Management</v>
      </c>
    </row>
    <row r="2516">
      <c r="A2516" s="7" t="str">
        <f>IFERROR(__xludf.DUMMYFUNCTION("""COMPUTED_VALUE"""),"R58")</f>
        <v>R58</v>
      </c>
      <c r="B2516" s="7" t="str">
        <f>IFERROR(__xludf.DUMMYFUNCTION("""COMPUTED_VALUE"""),"Linux Systems Engineer")</f>
        <v>Linux Systems Engineer</v>
      </c>
      <c r="C2516" s="7" t="str">
        <f>IFERROR(__xludf.DUMMYFUNCTION("""COMPUTED_VALUE"""),"S004")</f>
        <v>S004</v>
      </c>
      <c r="D2516" s="7" t="str">
        <f>IFERROR(__xludf.DUMMYFUNCTION("""COMPUTED_VALUE"""),"Memory Management &amp; Paging")</f>
        <v>Memory Management &amp; Paging</v>
      </c>
    </row>
    <row r="2517">
      <c r="A2517" s="7" t="str">
        <f>IFERROR(__xludf.DUMMYFUNCTION("""COMPUTED_VALUE"""),"R58")</f>
        <v>R58</v>
      </c>
      <c r="B2517" s="7" t="str">
        <f>IFERROR(__xludf.DUMMYFUNCTION("""COMPUTED_VALUE"""),"Linux Systems Engineer")</f>
        <v>Linux Systems Engineer</v>
      </c>
      <c r="C2517" s="7" t="str">
        <f>IFERROR(__xludf.DUMMYFUNCTION("""COMPUTED_VALUE"""),"S005")</f>
        <v>S005</v>
      </c>
      <c r="D2517" s="7" t="str">
        <f>IFERROR(__xludf.DUMMYFUNCTION("""COMPUTED_VALUE"""),"File Systems &amp; Storage I/O")</f>
        <v>File Systems &amp; Storage I/O</v>
      </c>
    </row>
    <row r="2518">
      <c r="A2518" s="7" t="str">
        <f>IFERROR(__xludf.DUMMYFUNCTION("""COMPUTED_VALUE"""),"R58")</f>
        <v>R58</v>
      </c>
      <c r="B2518" s="7" t="str">
        <f>IFERROR(__xludf.DUMMYFUNCTION("""COMPUTED_VALUE"""),"Linux Systems Engineer")</f>
        <v>Linux Systems Engineer</v>
      </c>
      <c r="C2518" s="7" t="str">
        <f>IFERROR(__xludf.DUMMYFUNCTION("""COMPUTED_VALUE"""),"S017")</f>
        <v>S017</v>
      </c>
      <c r="D2518" s="7" t="str">
        <f>IFERROR(__xludf.DUMMYFUNCTION("""COMPUTED_VALUE"""),"Git Version Control Fundamentals")</f>
        <v>Git Version Control Fundamentals</v>
      </c>
    </row>
    <row r="2519">
      <c r="A2519" s="7" t="str">
        <f>IFERROR(__xludf.DUMMYFUNCTION("""COMPUTED_VALUE"""),"R58")</f>
        <v>R58</v>
      </c>
      <c r="B2519" s="7" t="str">
        <f>IFERROR(__xludf.DUMMYFUNCTION("""COMPUTED_VALUE"""),"Linux Systems Engineer")</f>
        <v>Linux Systems Engineer</v>
      </c>
      <c r="C2519" s="7" t="str">
        <f>IFERROR(__xludf.DUMMYFUNCTION("""COMPUTED_VALUE"""),"S018")</f>
        <v>S018</v>
      </c>
      <c r="D2519" s="7" t="str">
        <f>IFERROR(__xludf.DUMMYFUNCTION("""COMPUTED_VALUE"""),"GitHub / GitLab Workflows &amp; Pull Requests")</f>
        <v>GitHub / GitLab Workflows &amp; Pull Requests</v>
      </c>
    </row>
    <row r="2520">
      <c r="A2520" s="7" t="str">
        <f>IFERROR(__xludf.DUMMYFUNCTION("""COMPUTED_VALUE"""),"R58")</f>
        <v>R58</v>
      </c>
      <c r="B2520" s="7" t="str">
        <f>IFERROR(__xludf.DUMMYFUNCTION("""COMPUTED_VALUE"""),"Linux Systems Engineer")</f>
        <v>Linux Systems Engineer</v>
      </c>
      <c r="C2520" s="7" t="str">
        <f>IFERROR(__xludf.DUMMYFUNCTION("""COMPUTED_VALUE"""),"S019")</f>
        <v>S019</v>
      </c>
      <c r="D2520" s="7" t="str">
        <f>IFERROR(__xludf.DUMMYFUNCTION("""COMPUTED_VALUE"""),"Linux Command Line &amp; File Permissions")</f>
        <v>Linux Command Line &amp; File Permissions</v>
      </c>
    </row>
    <row r="2521">
      <c r="A2521" s="7" t="str">
        <f>IFERROR(__xludf.DUMMYFUNCTION("""COMPUTED_VALUE"""),"R58")</f>
        <v>R58</v>
      </c>
      <c r="B2521" s="7" t="str">
        <f>IFERROR(__xludf.DUMMYFUNCTION("""COMPUTED_VALUE"""),"Linux Systems Engineer")</f>
        <v>Linux Systems Engineer</v>
      </c>
      <c r="C2521" s="7" t="str">
        <f>IFERROR(__xludf.DUMMYFUNCTION("""COMPUTED_VALUE"""),"S020")</f>
        <v>S020</v>
      </c>
      <c r="D2521" s="7" t="str">
        <f>IFERROR(__xludf.DUMMYFUNCTION("""COMPUTED_VALUE"""),"Bash &amp; Shell Scripting")</f>
        <v>Bash &amp; Shell Scripting</v>
      </c>
    </row>
    <row r="2522">
      <c r="A2522" s="7" t="str">
        <f>IFERROR(__xludf.DUMMYFUNCTION("""COMPUTED_VALUE"""),"R58")</f>
        <v>R58</v>
      </c>
      <c r="B2522" s="7" t="str">
        <f>IFERROR(__xludf.DUMMYFUNCTION("""COMPUTED_VALUE"""),"Linux Systems Engineer")</f>
        <v>Linux Systems Engineer</v>
      </c>
      <c r="C2522" s="7" t="str">
        <f>IFERROR(__xludf.DUMMYFUNCTION("""COMPUTED_VALUE"""),"S022")</f>
        <v>S022</v>
      </c>
      <c r="D2522" s="7" t="str">
        <f>IFERROR(__xludf.DUMMYFUNCTION("""COMPUTED_VALUE"""),"Computer Networking &amp; OSI Model")</f>
        <v>Computer Networking &amp; OSI Model</v>
      </c>
    </row>
    <row r="2523">
      <c r="A2523" s="7" t="str">
        <f>IFERROR(__xludf.DUMMYFUNCTION("""COMPUTED_VALUE"""),"R58")</f>
        <v>R58</v>
      </c>
      <c r="B2523" s="7" t="str">
        <f>IFERROR(__xludf.DUMMYFUNCTION("""COMPUTED_VALUE"""),"Linux Systems Engineer")</f>
        <v>Linux Systems Engineer</v>
      </c>
      <c r="C2523" s="7" t="str">
        <f>IFERROR(__xludf.DUMMYFUNCTION("""COMPUTED_VALUE"""),"S023")</f>
        <v>S023</v>
      </c>
      <c r="D2523" s="7" t="str">
        <f>IFERROR(__xludf.DUMMYFUNCTION("""COMPUTED_VALUE"""),"HTTP/HTTPS Protocols &amp; Status Codes")</f>
        <v>HTTP/HTTPS Protocols &amp; Status Codes</v>
      </c>
    </row>
    <row r="2524">
      <c r="A2524" s="7" t="str">
        <f>IFERROR(__xludf.DUMMYFUNCTION("""COMPUTED_VALUE"""),"R58")</f>
        <v>R58</v>
      </c>
      <c r="B2524" s="7" t="str">
        <f>IFERROR(__xludf.DUMMYFUNCTION("""COMPUTED_VALUE"""),"Linux Systems Engineer")</f>
        <v>Linux Systems Engineer</v>
      </c>
      <c r="C2524" s="7" t="str">
        <f>IFERROR(__xludf.DUMMYFUNCTION("""COMPUTED_VALUE"""),"S024")</f>
        <v>S024</v>
      </c>
      <c r="D2524" s="7" t="str">
        <f>IFERROR(__xludf.DUMMYFUNCTION("""COMPUTED_VALUE"""),"DNS, Domain Routing &amp; SSL/TLS")</f>
        <v>DNS, Domain Routing &amp; SSL/TLS</v>
      </c>
    </row>
    <row r="2525">
      <c r="A2525" s="7" t="str">
        <f>IFERROR(__xludf.DUMMYFUNCTION("""COMPUTED_VALUE"""),"R58")</f>
        <v>R58</v>
      </c>
      <c r="B2525" s="7" t="str">
        <f>IFERROR(__xludf.DUMMYFUNCTION("""COMPUTED_VALUE"""),"Linux Systems Engineer")</f>
        <v>Linux Systems Engineer</v>
      </c>
      <c r="C2525" s="7" t="str">
        <f>IFERROR(__xludf.DUMMYFUNCTION("""COMPUTED_VALUE"""),"S025")</f>
        <v>S025</v>
      </c>
      <c r="D2525" s="7" t="str">
        <f>IFERROR(__xludf.DUMMYFUNCTION("""COMPUTED_VALUE"""),"Regular Expressions (Regex)")</f>
        <v>Regular Expressions (Regex)</v>
      </c>
    </row>
    <row r="2526">
      <c r="A2526" s="7" t="str">
        <f>IFERROR(__xludf.DUMMYFUNCTION("""COMPUTED_VALUE"""),"R58")</f>
        <v>R58</v>
      </c>
      <c r="B2526" s="7" t="str">
        <f>IFERROR(__xludf.DUMMYFUNCTION("""COMPUTED_VALUE"""),"Linux Systems Engineer")</f>
        <v>Linux Systems Engineer</v>
      </c>
      <c r="C2526" s="7" t="str">
        <f>IFERROR(__xludf.DUMMYFUNCTION("""COMPUTED_VALUE"""),"S026")</f>
        <v>S026</v>
      </c>
      <c r="D2526" s="7" t="str">
        <f>IFERROR(__xludf.DUMMYFUNCTION("""COMPUTED_VALUE"""),"Data Serialization (JSON, XML, YAML, Protobuf)")</f>
        <v>Data Serialization (JSON, XML, YAML, Protobuf)</v>
      </c>
    </row>
    <row r="2527">
      <c r="A2527" s="7" t="str">
        <f>IFERROR(__xludf.DUMMYFUNCTION("""COMPUTED_VALUE"""),"R58")</f>
        <v>R58</v>
      </c>
      <c r="B2527" s="7" t="str">
        <f>IFERROR(__xludf.DUMMYFUNCTION("""COMPUTED_VALUE"""),"Linux Systems Engineer")</f>
        <v>Linux Systems Engineer</v>
      </c>
      <c r="C2527" s="7" t="str">
        <f>IFERROR(__xludf.DUMMYFUNCTION("""COMPUTED_VALUE"""),"S028")</f>
        <v>S028</v>
      </c>
      <c r="D2527" s="7" t="str">
        <f>IFERROR(__xludf.DUMMYFUNCTION("""COMPUTED_VALUE"""),"Technical Writing &amp; Markdown Documentation")</f>
        <v>Technical Writing &amp; Markdown Documentation</v>
      </c>
    </row>
    <row r="2528">
      <c r="A2528" s="7" t="str">
        <f>IFERROR(__xludf.DUMMYFUNCTION("""COMPUTED_VALUE"""),"R58")</f>
        <v>R58</v>
      </c>
      <c r="B2528" s="7" t="str">
        <f>IFERROR(__xludf.DUMMYFUNCTION("""COMPUTED_VALUE"""),"Linux Systems Engineer")</f>
        <v>Linux Systems Engineer</v>
      </c>
      <c r="C2528" s="7" t="str">
        <f>IFERROR(__xludf.DUMMYFUNCTION("""COMPUTED_VALUE"""),"S029")</f>
        <v>S029</v>
      </c>
      <c r="D2528" s="7" t="str">
        <f>IFERROR(__xludf.DUMMYFUNCTION("""COMPUTED_VALUE"""),"Debugging, Profiling &amp; Root Cause Analysis")</f>
        <v>Debugging, Profiling &amp; Root Cause Analysis</v>
      </c>
    </row>
    <row r="2529">
      <c r="A2529" s="7" t="str">
        <f>IFERROR(__xludf.DUMMYFUNCTION("""COMPUTED_VALUE"""),"R58")</f>
        <v>R58</v>
      </c>
      <c r="B2529" s="7" t="str">
        <f>IFERROR(__xludf.DUMMYFUNCTION("""COMPUTED_VALUE"""),"Linux Systems Engineer")</f>
        <v>Linux Systems Engineer</v>
      </c>
      <c r="C2529" s="7" t="str">
        <f>IFERROR(__xludf.DUMMYFUNCTION("""COMPUTED_VALUE"""),"S068")</f>
        <v>S068</v>
      </c>
      <c r="D2529" s="7" t="str">
        <f>IFERROR(__xludf.DUMMYFUNCTION("""COMPUTED_VALUE"""),"Python Programming Fundamentals")</f>
        <v>Python Programming Fundamentals</v>
      </c>
    </row>
    <row r="2530">
      <c r="A2530" s="7" t="str">
        <f>IFERROR(__xludf.DUMMYFUNCTION("""COMPUTED_VALUE"""),"R58")</f>
        <v>R58</v>
      </c>
      <c r="B2530" s="7" t="str">
        <f>IFERROR(__xludf.DUMMYFUNCTION("""COMPUTED_VALUE"""),"Linux Systems Engineer")</f>
        <v>Linux Systems Engineer</v>
      </c>
      <c r="C2530" s="7" t="str">
        <f>IFERROR(__xludf.DUMMYFUNCTION("""COMPUTED_VALUE"""),"S077")</f>
        <v>S077</v>
      </c>
      <c r="D2530" s="7" t="str">
        <f>IFERROR(__xludf.DUMMYFUNCTION("""COMPUTED_VALUE"""),"Go (Golang) Programming")</f>
        <v>Go (Golang) Programming</v>
      </c>
    </row>
    <row r="2531">
      <c r="A2531" s="7" t="str">
        <f>IFERROR(__xludf.DUMMYFUNCTION("""COMPUTED_VALUE"""),"R58")</f>
        <v>R58</v>
      </c>
      <c r="B2531" s="7" t="str">
        <f>IFERROR(__xludf.DUMMYFUNCTION("""COMPUTED_VALUE"""),"Linux Systems Engineer")</f>
        <v>Linux Systems Engineer</v>
      </c>
      <c r="C2531" s="7" t="str">
        <f>IFERROR(__xludf.DUMMYFUNCTION("""COMPUTED_VALUE"""),"S082")</f>
        <v>S082</v>
      </c>
      <c r="D2531" s="7" t="str">
        <f>IFERROR(__xludf.DUMMYFUNCTION("""COMPUTED_VALUE"""),"C Programming &amp; Pointers")</f>
        <v>C Programming &amp; Pointers</v>
      </c>
    </row>
    <row r="2532">
      <c r="A2532" s="7" t="str">
        <f>IFERROR(__xludf.DUMMYFUNCTION("""COMPUTED_VALUE"""),"R58")</f>
        <v>R58</v>
      </c>
      <c r="B2532" s="7" t="str">
        <f>IFERROR(__xludf.DUMMYFUNCTION("""COMPUTED_VALUE"""),"Linux Systems Engineer")</f>
        <v>Linux Systems Engineer</v>
      </c>
      <c r="C2532" s="7" t="str">
        <f>IFERROR(__xludf.DUMMYFUNCTION("""COMPUTED_VALUE"""),"S107")</f>
        <v>S107</v>
      </c>
      <c r="D2532" s="7" t="str">
        <f>IFERROR(__xludf.DUMMYFUNCTION("""COMPUTED_VALUE"""),"SQL Querying (Joins, Aggregations, Subqueries)")</f>
        <v>SQL Querying (Joins, Aggregations, Subqueries)</v>
      </c>
    </row>
    <row r="2533">
      <c r="A2533" s="7" t="str">
        <f>IFERROR(__xludf.DUMMYFUNCTION("""COMPUTED_VALUE"""),"R58")</f>
        <v>R58</v>
      </c>
      <c r="B2533" s="7" t="str">
        <f>IFERROR(__xludf.DUMMYFUNCTION("""COMPUTED_VALUE"""),"Linux Systems Engineer")</f>
        <v>Linux Systems Engineer</v>
      </c>
      <c r="C2533" s="7" t="str">
        <f>IFERROR(__xludf.DUMMYFUNCTION("""COMPUTED_VALUE"""),"S109")</f>
        <v>S109</v>
      </c>
      <c r="D2533" s="7" t="str">
        <f>IFERROR(__xludf.DUMMYFUNCTION("""COMPUTED_VALUE"""),"PostgreSQL Administration &amp; Development")</f>
        <v>PostgreSQL Administration &amp; Development</v>
      </c>
    </row>
    <row r="2534">
      <c r="A2534" s="7" t="str">
        <f>IFERROR(__xludf.DUMMYFUNCTION("""COMPUTED_VALUE"""),"R58")</f>
        <v>R58</v>
      </c>
      <c r="B2534" s="7" t="str">
        <f>IFERROR(__xludf.DUMMYFUNCTION("""COMPUTED_VALUE"""),"Linux Systems Engineer")</f>
        <v>Linux Systems Engineer</v>
      </c>
      <c r="C2534" s="7" t="str">
        <f>IFERROR(__xludf.DUMMYFUNCTION("""COMPUTED_VALUE"""),"S110")</f>
        <v>S110</v>
      </c>
      <c r="D2534" s="7" t="str">
        <f>IFERROR(__xludf.DUMMYFUNCTION("""COMPUTED_VALUE"""),"MySQL &amp; MariaDB Management")</f>
        <v>MySQL &amp; MariaDB Management</v>
      </c>
    </row>
    <row r="2535">
      <c r="A2535" s="7" t="str">
        <f>IFERROR(__xludf.DUMMYFUNCTION("""COMPUTED_VALUE"""),"R58")</f>
        <v>R58</v>
      </c>
      <c r="B2535" s="7" t="str">
        <f>IFERROR(__xludf.DUMMYFUNCTION("""COMPUTED_VALUE"""),"Linux Systems Engineer")</f>
        <v>Linux Systems Engineer</v>
      </c>
      <c r="C2535" s="7" t="str">
        <f>IFERROR(__xludf.DUMMYFUNCTION("""COMPUTED_VALUE"""),"S117")</f>
        <v>S117</v>
      </c>
      <c r="D2535" s="7" t="str">
        <f>IFERROR(__xludf.DUMMYFUNCTION("""COMPUTED_VALUE"""),"Database Backup, Point-in-Time Recovery &amp; Migration")</f>
        <v>Database Backup, Point-in-Time Recovery &amp; Migration</v>
      </c>
    </row>
    <row r="2536">
      <c r="A2536" s="7" t="str">
        <f>IFERROR(__xludf.DUMMYFUNCTION("""COMPUTED_VALUE"""),"R58")</f>
        <v>R58</v>
      </c>
      <c r="B2536" s="7" t="str">
        <f>IFERROR(__xludf.DUMMYFUNCTION("""COMPUTED_VALUE"""),"Linux Systems Engineer")</f>
        <v>Linux Systems Engineer</v>
      </c>
      <c r="C2536" s="7" t="str">
        <f>IFERROR(__xludf.DUMMYFUNCTION("""COMPUTED_VALUE"""),"S171")</f>
        <v>S171</v>
      </c>
      <c r="D2536" s="7" t="str">
        <f>IFERROR(__xludf.DUMMYFUNCTION("""COMPUTED_VALUE"""),"Containerization with Docker")</f>
        <v>Containerization with Docker</v>
      </c>
    </row>
    <row r="2537">
      <c r="A2537" s="7" t="str">
        <f>IFERROR(__xludf.DUMMYFUNCTION("""COMPUTED_VALUE"""),"R58")</f>
        <v>R58</v>
      </c>
      <c r="B2537" s="7" t="str">
        <f>IFERROR(__xludf.DUMMYFUNCTION("""COMPUTED_VALUE"""),"Linux Systems Engineer")</f>
        <v>Linux Systems Engineer</v>
      </c>
      <c r="C2537" s="7" t="str">
        <f>IFERROR(__xludf.DUMMYFUNCTION("""COMPUTED_VALUE"""),"S172")</f>
        <v>S172</v>
      </c>
      <c r="D2537" s="7" t="str">
        <f>IFERROR(__xludf.DUMMYFUNCTION("""COMPUTED_VALUE"""),"Kubernetes Cluster Orchestration (K8s)")</f>
        <v>Kubernetes Cluster Orchestration (K8s)</v>
      </c>
    </row>
    <row r="2538">
      <c r="A2538" s="7" t="str">
        <f>IFERROR(__xludf.DUMMYFUNCTION("""COMPUTED_VALUE"""),"R58")</f>
        <v>R58</v>
      </c>
      <c r="B2538" s="7" t="str">
        <f>IFERROR(__xludf.DUMMYFUNCTION("""COMPUTED_VALUE"""),"Linux Systems Engineer")</f>
        <v>Linux Systems Engineer</v>
      </c>
      <c r="C2538" s="7" t="str">
        <f>IFERROR(__xludf.DUMMYFUNCTION("""COMPUTED_VALUE"""),"S174")</f>
        <v>S174</v>
      </c>
      <c r="D2538" s="7" t="str">
        <f>IFERROR(__xludf.DUMMYFUNCTION("""COMPUTED_VALUE"""),"Amazon Web Services Core (EC2, S3, RDS, IAM, VPC)")</f>
        <v>Amazon Web Services Core (EC2, S3, RDS, IAM, VPC)</v>
      </c>
    </row>
    <row r="2539">
      <c r="A2539" s="7" t="str">
        <f>IFERROR(__xludf.DUMMYFUNCTION("""COMPUTED_VALUE"""),"R58")</f>
        <v>R58</v>
      </c>
      <c r="B2539" s="7" t="str">
        <f>IFERROR(__xludf.DUMMYFUNCTION("""COMPUTED_VALUE"""),"Linux Systems Engineer")</f>
        <v>Linux Systems Engineer</v>
      </c>
      <c r="C2539" s="7" t="str">
        <f>IFERROR(__xludf.DUMMYFUNCTION("""COMPUTED_VALUE"""),"S178")</f>
        <v>S178</v>
      </c>
      <c r="D2539" s="7" t="str">
        <f>IFERROR(__xludf.DUMMYFUNCTION("""COMPUTED_VALUE"""),"Infrastructure as Code (Terraform &amp; OpenTofu)")</f>
        <v>Infrastructure as Code (Terraform &amp; OpenTofu)</v>
      </c>
    </row>
    <row r="2540">
      <c r="A2540" s="7" t="str">
        <f>IFERROR(__xludf.DUMMYFUNCTION("""COMPUTED_VALUE"""),"R58")</f>
        <v>R58</v>
      </c>
      <c r="B2540" s="7" t="str">
        <f>IFERROR(__xludf.DUMMYFUNCTION("""COMPUTED_VALUE"""),"Linux Systems Engineer")</f>
        <v>Linux Systems Engineer</v>
      </c>
      <c r="C2540" s="7" t="str">
        <f>IFERROR(__xludf.DUMMYFUNCTION("""COMPUTED_VALUE"""),"S179")</f>
        <v>S179</v>
      </c>
      <c r="D2540" s="7" t="str">
        <f>IFERROR(__xludf.DUMMYFUNCTION("""COMPUTED_VALUE"""),"Configuration Management (Ansible, Chef, Puppet)")</f>
        <v>Configuration Management (Ansible, Chef, Puppet)</v>
      </c>
    </row>
    <row r="2541">
      <c r="A2541" s="7" t="str">
        <f>IFERROR(__xludf.DUMMYFUNCTION("""COMPUTED_VALUE"""),"R58")</f>
        <v>R58</v>
      </c>
      <c r="B2541" s="7" t="str">
        <f>IFERROR(__xludf.DUMMYFUNCTION("""COMPUTED_VALUE"""),"Linux Systems Engineer")</f>
        <v>Linux Systems Engineer</v>
      </c>
      <c r="C2541" s="7" t="str">
        <f>IFERROR(__xludf.DUMMYFUNCTION("""COMPUTED_VALUE"""),"S180")</f>
        <v>S180</v>
      </c>
      <c r="D2541" s="7" t="str">
        <f>IFERROR(__xludf.DUMMYFUNCTION("""COMPUTED_VALUE"""),"CI/CD Pipelines with GitHub Actions")</f>
        <v>CI/CD Pipelines with GitHub Actions</v>
      </c>
    </row>
    <row r="2542">
      <c r="A2542" s="7" t="str">
        <f>IFERROR(__xludf.DUMMYFUNCTION("""COMPUTED_VALUE"""),"R58")</f>
        <v>R58</v>
      </c>
      <c r="B2542" s="7" t="str">
        <f>IFERROR(__xludf.DUMMYFUNCTION("""COMPUTED_VALUE"""),"Linux Systems Engineer")</f>
        <v>Linux Systems Engineer</v>
      </c>
      <c r="C2542" s="7" t="str">
        <f>IFERROR(__xludf.DUMMYFUNCTION("""COMPUTED_VALUE"""),"S181")</f>
        <v>S181</v>
      </c>
      <c r="D2542" s="7" t="str">
        <f>IFERROR(__xludf.DUMMYFUNCTION("""COMPUTED_VALUE"""),"CI/CD Automation with GitLab CI &amp; Jenkins")</f>
        <v>CI/CD Automation with GitLab CI &amp; Jenkins</v>
      </c>
    </row>
    <row r="2543">
      <c r="A2543" s="7" t="str">
        <f>IFERROR(__xludf.DUMMYFUNCTION("""COMPUTED_VALUE"""),"R58")</f>
        <v>R58</v>
      </c>
      <c r="B2543" s="7" t="str">
        <f>IFERROR(__xludf.DUMMYFUNCTION("""COMPUTED_VALUE"""),"Linux Systems Engineer")</f>
        <v>Linux Systems Engineer</v>
      </c>
      <c r="C2543" s="7" t="str">
        <f>IFERROR(__xludf.DUMMYFUNCTION("""COMPUTED_VALUE"""),"S183")</f>
        <v>S183</v>
      </c>
      <c r="D2543" s="7" t="str">
        <f>IFERROR(__xludf.DUMMYFUNCTION("""COMPUTED_VALUE"""),"Web Servers, Reverse Proxy &amp; Load Balancing (Nginx, HAProxy)")</f>
        <v>Web Servers, Reverse Proxy &amp; Load Balancing (Nginx, HAProxy)</v>
      </c>
    </row>
    <row r="2544">
      <c r="A2544" s="7" t="str">
        <f>IFERROR(__xludf.DUMMYFUNCTION("""COMPUTED_VALUE"""),"R58")</f>
        <v>R58</v>
      </c>
      <c r="B2544" s="7" t="str">
        <f>IFERROR(__xludf.DUMMYFUNCTION("""COMPUTED_VALUE"""),"Linux Systems Engineer")</f>
        <v>Linux Systems Engineer</v>
      </c>
      <c r="C2544" s="7" t="str">
        <f>IFERROR(__xludf.DUMMYFUNCTION("""COMPUTED_VALUE"""),"S184")</f>
        <v>S184</v>
      </c>
      <c r="D2544" s="7" t="str">
        <f>IFERROR(__xludf.DUMMYFUNCTION("""COMPUTED_VALUE"""),"Infrastructure &amp; Metrics Monitoring (Prometheus &amp; Grafana)")</f>
        <v>Infrastructure &amp; Metrics Monitoring (Prometheus &amp; Grafana)</v>
      </c>
    </row>
    <row r="2545">
      <c r="A2545" s="7" t="str">
        <f>IFERROR(__xludf.DUMMYFUNCTION("""COMPUTED_VALUE"""),"R58")</f>
        <v>R58</v>
      </c>
      <c r="B2545" s="7" t="str">
        <f>IFERROR(__xludf.DUMMYFUNCTION("""COMPUTED_VALUE"""),"Linux Systems Engineer")</f>
        <v>Linux Systems Engineer</v>
      </c>
      <c r="C2545" s="7" t="str">
        <f>IFERROR(__xludf.DUMMYFUNCTION("""COMPUTED_VALUE"""),"S185")</f>
        <v>S185</v>
      </c>
      <c r="D254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546">
      <c r="A2546" s="7" t="str">
        <f>IFERROR(__xludf.DUMMYFUNCTION("""COMPUTED_VALUE"""),"R58")</f>
        <v>R58</v>
      </c>
      <c r="B2546" s="7" t="str">
        <f>IFERROR(__xludf.DUMMYFUNCTION("""COMPUTED_VALUE"""),"Linux Systems Engineer")</f>
        <v>Linux Systems Engineer</v>
      </c>
      <c r="C2546" s="7" t="str">
        <f>IFERROR(__xludf.DUMMYFUNCTION("""COMPUTED_VALUE"""),"S186")</f>
        <v>S186</v>
      </c>
      <c r="D2546" s="7" t="str">
        <f>IFERROR(__xludf.DUMMYFUNCTION("""COMPUTED_VALUE"""),"Site Reliability Engineering (SLIs, SLOs, SLAs &amp; Error Budgets)")</f>
        <v>Site Reliability Engineering (SLIs, SLOs, SLAs &amp; Error Budgets)</v>
      </c>
    </row>
    <row r="2547">
      <c r="A2547" s="7" t="str">
        <f>IFERROR(__xludf.DUMMYFUNCTION("""COMPUTED_VALUE"""),"R58")</f>
        <v>R58</v>
      </c>
      <c r="B2547" s="7" t="str">
        <f>IFERROR(__xludf.DUMMYFUNCTION("""COMPUTED_VALUE"""),"Linux Systems Engineer")</f>
        <v>Linux Systems Engineer</v>
      </c>
      <c r="C2547" s="7" t="str">
        <f>IFERROR(__xludf.DUMMYFUNCTION("""COMPUTED_VALUE"""),"S188")</f>
        <v>S188</v>
      </c>
      <c r="D2547" s="7" t="str">
        <f>IFERROR(__xludf.DUMMYFUNCTION("""COMPUTED_VALUE"""),"High Availability, Failover &amp; Disaster Recovery")</f>
        <v>High Availability, Failover &amp; Disaster Recovery</v>
      </c>
    </row>
    <row r="2548">
      <c r="A2548" s="7" t="str">
        <f>IFERROR(__xludf.DUMMYFUNCTION("""COMPUTED_VALUE"""),"R58")</f>
        <v>R58</v>
      </c>
      <c r="B2548" s="7" t="str">
        <f>IFERROR(__xludf.DUMMYFUNCTION("""COMPUTED_VALUE"""),"Linux Systems Engineer")</f>
        <v>Linux Systems Engineer</v>
      </c>
      <c r="C2548" s="7" t="str">
        <f>IFERROR(__xludf.DUMMYFUNCTION("""COMPUTED_VALUE"""),"S191")</f>
        <v>S191</v>
      </c>
      <c r="D2548" s="7" t="str">
        <f>IFERROR(__xludf.DUMMYFUNCTION("""COMPUTED_VALUE"""),"Enterprise Linux System Administration (RHEL, Ubuntu, systemd)")</f>
        <v>Enterprise Linux System Administration (RHEL, Ubuntu, systemd)</v>
      </c>
    </row>
    <row r="2549">
      <c r="A2549" s="7" t="str">
        <f>IFERROR(__xludf.DUMMYFUNCTION("""COMPUTED_VALUE"""),"R58")</f>
        <v>R58</v>
      </c>
      <c r="B2549" s="7" t="str">
        <f>IFERROR(__xludf.DUMMYFUNCTION("""COMPUTED_VALUE"""),"Linux Systems Engineer")</f>
        <v>Linux Systems Engineer</v>
      </c>
      <c r="C2549" s="7" t="str">
        <f>IFERROR(__xludf.DUMMYFUNCTION("""COMPUTED_VALUE"""),"S193")</f>
        <v>S193</v>
      </c>
      <c r="D2549" s="7" t="str">
        <f>IFERROR(__xludf.DUMMYFUNCTION("""COMPUTED_VALUE"""),"Virtualization &amp; Hypervisors (VMware vSphere, Proxmox, KVM)")</f>
        <v>Virtualization &amp; Hypervisors (VMware vSphere, Proxmox, KVM)</v>
      </c>
    </row>
    <row r="2550">
      <c r="A2550" s="7" t="str">
        <f>IFERROR(__xludf.DUMMYFUNCTION("""COMPUTED_VALUE"""),"R58")</f>
        <v>R58</v>
      </c>
      <c r="B2550" s="7" t="str">
        <f>IFERROR(__xludf.DUMMYFUNCTION("""COMPUTED_VALUE"""),"Linux Systems Engineer")</f>
        <v>Linux Systems Engineer</v>
      </c>
      <c r="C2550" s="7" t="str">
        <f>IFERROR(__xludf.DUMMYFUNCTION("""COMPUTED_VALUE"""),"S194")</f>
        <v>S194</v>
      </c>
      <c r="D2550" s="7" t="str">
        <f>IFERROR(__xludf.DUMMYFUNCTION("""COMPUTED_VALUE"""),"TCP/IP Networking, Subnetting, VLANs &amp; VPNs")</f>
        <v>TCP/IP Networking, Subnetting, VLANs &amp; VPNs</v>
      </c>
    </row>
    <row r="2551">
      <c r="A2551" s="7" t="str">
        <f>IFERROR(__xludf.DUMMYFUNCTION("""COMPUTED_VALUE"""),"R58")</f>
        <v>R58</v>
      </c>
      <c r="B2551" s="7" t="str">
        <f>IFERROR(__xludf.DUMMYFUNCTION("""COMPUTED_VALUE"""),"Linux Systems Engineer")</f>
        <v>Linux Systems Engineer</v>
      </c>
      <c r="C2551" s="7" t="str">
        <f>IFERROR(__xludf.DUMMYFUNCTION("""COMPUTED_VALUE"""),"S196")</f>
        <v>S196</v>
      </c>
      <c r="D2551" s="7" t="str">
        <f>IFERROR(__xludf.DUMMYFUNCTION("""COMPUTED_VALUE"""),"Cybersecurity Principles &amp; CIA Triad")</f>
        <v>Cybersecurity Principles &amp; CIA Triad</v>
      </c>
    </row>
    <row r="2552">
      <c r="A2552" s="7" t="str">
        <f>IFERROR(__xludf.DUMMYFUNCTION("""COMPUTED_VALUE"""),"R58")</f>
        <v>R58</v>
      </c>
      <c r="B2552" s="7" t="str">
        <f>IFERROR(__xludf.DUMMYFUNCTION("""COMPUTED_VALUE"""),"Linux Systems Engineer")</f>
        <v>Linux Systems Engineer</v>
      </c>
      <c r="C2552" s="7" t="str">
        <f>IFERROR(__xludf.DUMMYFUNCTION("""COMPUTED_VALUE"""),"S197")</f>
        <v>S197</v>
      </c>
      <c r="D2552" s="7" t="str">
        <f>IFERROR(__xludf.DUMMYFUNCTION("""COMPUTED_VALUE"""),"Network Security, Firewalls &amp; WAF")</f>
        <v>Network Security, Firewalls &amp; WAF</v>
      </c>
    </row>
    <row r="2553">
      <c r="A2553" s="7" t="str">
        <f>IFERROR(__xludf.DUMMYFUNCTION("""COMPUTED_VALUE"""),"R58")</f>
        <v>R58</v>
      </c>
      <c r="B2553" s="7" t="str">
        <f>IFERROR(__xludf.DUMMYFUNCTION("""COMPUTED_VALUE"""),"Linux Systems Engineer")</f>
        <v>Linux Systems Engineer</v>
      </c>
      <c r="C2553" s="7" t="str">
        <f>IFERROR(__xludf.DUMMYFUNCTION("""COMPUTED_VALUE"""),"S198")</f>
        <v>S198</v>
      </c>
      <c r="D2553" s="7" t="str">
        <f>IFERROR(__xludf.DUMMYFUNCTION("""COMPUTED_VALUE"""),"Intrusion Detection &amp; Prevention Systems (IDS/IPS, Snort, Suricata)")</f>
        <v>Intrusion Detection &amp; Prevention Systems (IDS/IPS, Snort, Suricata)</v>
      </c>
    </row>
    <row r="2554">
      <c r="A2554" s="7" t="str">
        <f>IFERROR(__xludf.DUMMYFUNCTION("""COMPUTED_VALUE"""),"R58")</f>
        <v>R58</v>
      </c>
      <c r="B2554" s="7" t="str">
        <f>IFERROR(__xludf.DUMMYFUNCTION("""COMPUTED_VALUE"""),"Linux Systems Engineer")</f>
        <v>Linux Systems Engineer</v>
      </c>
      <c r="C2554" s="7" t="str">
        <f>IFERROR(__xludf.DUMMYFUNCTION("""COMPUTED_VALUE"""),"S199")</f>
        <v>S199</v>
      </c>
      <c r="D2554" s="7" t="str">
        <f>IFERROR(__xludf.DUMMYFUNCTION("""COMPUTED_VALUE"""),"Packet Capture &amp; Traffic Analysis (Wireshark, tcpdump, Nmap)")</f>
        <v>Packet Capture &amp; Traffic Analysis (Wireshark, tcpdump, Nmap)</v>
      </c>
    </row>
    <row r="2555">
      <c r="A2555" s="7" t="str">
        <f>IFERROR(__xludf.DUMMYFUNCTION("""COMPUTED_VALUE"""),"R58")</f>
        <v>R58</v>
      </c>
      <c r="B2555" s="7" t="str">
        <f>IFERROR(__xludf.DUMMYFUNCTION("""COMPUTED_VALUE"""),"Linux Systems Engineer")</f>
        <v>Linux Systems Engineer</v>
      </c>
      <c r="C2555" s="7" t="str">
        <f>IFERROR(__xludf.DUMMYFUNCTION("""COMPUTED_VALUE"""),"S203")</f>
        <v>S203</v>
      </c>
      <c r="D2555" s="7" t="str">
        <f>IFERROR(__xludf.DUMMYFUNCTION("""COMPUTED_VALUE"""),"Vulnerability Assessment &amp; Management (Nessus, OpenVAS, Qualys)")</f>
        <v>Vulnerability Assessment &amp; Management (Nessus, OpenVAS, Qualys)</v>
      </c>
    </row>
    <row r="2556">
      <c r="A2556" s="7" t="str">
        <f>IFERROR(__xludf.DUMMYFUNCTION("""COMPUTED_VALUE"""),"R58")</f>
        <v>R58</v>
      </c>
      <c r="B2556" s="7" t="str">
        <f>IFERROR(__xludf.DUMMYFUNCTION("""COMPUTED_VALUE"""),"Linux Systems Engineer")</f>
        <v>Linux Systems Engineer</v>
      </c>
      <c r="C2556" s="7" t="str">
        <f>IFERROR(__xludf.DUMMYFUNCTION("""COMPUTED_VALUE"""),"S209")</f>
        <v>S209</v>
      </c>
      <c r="D2556" s="7" t="str">
        <f>IFERROR(__xludf.DUMMYFUNCTION("""COMPUTED_VALUE"""),"Applied Cryptography, Hashing &amp; PKI Certificates")</f>
        <v>Applied Cryptography, Hashing &amp; PKI Certificates</v>
      </c>
    </row>
    <row r="2557">
      <c r="A2557" s="7" t="str">
        <f>IFERROR(__xludf.DUMMYFUNCTION("""COMPUTED_VALUE"""),"R58")</f>
        <v>R58</v>
      </c>
      <c r="B2557" s="7" t="str">
        <f>IFERROR(__xludf.DUMMYFUNCTION("""COMPUTED_VALUE"""),"Linux Systems Engineer")</f>
        <v>Linux Systems Engineer</v>
      </c>
      <c r="C2557" s="7" t="str">
        <f>IFERROR(__xludf.DUMMYFUNCTION("""COMPUTED_VALUE"""),"S210")</f>
        <v>S210</v>
      </c>
      <c r="D2557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2558">
      <c r="A2558" s="7" t="str">
        <f>IFERROR(__xludf.DUMMYFUNCTION("""COMPUTED_VALUE"""),"R58")</f>
        <v>R58</v>
      </c>
      <c r="B2558" s="7" t="str">
        <f>IFERROR(__xludf.DUMMYFUNCTION("""COMPUTED_VALUE"""),"Linux Systems Engineer")</f>
        <v>Linux Systems Engineer</v>
      </c>
      <c r="C2558" s="7" t="str">
        <f>IFERROR(__xludf.DUMMYFUNCTION("""COMPUTED_VALUE"""),"S213")</f>
        <v>S213</v>
      </c>
      <c r="D2558" s="7" t="str">
        <f>IFERROR(__xludf.DUMMYFUNCTION("""COMPUTED_VALUE"""),"Container &amp; Kubernetes Security (Trivy, Falco, RBAC)")</f>
        <v>Container &amp; Kubernetes Security (Trivy, Falco, RBAC)</v>
      </c>
    </row>
    <row r="2559">
      <c r="A2559" s="7" t="str">
        <f>IFERROR(__xludf.DUMMYFUNCTION("""COMPUTED_VALUE"""),"R58")</f>
        <v>R58</v>
      </c>
      <c r="B2559" s="7" t="str">
        <f>IFERROR(__xludf.DUMMYFUNCTION("""COMPUTED_VALUE"""),"Linux Systems Engineer")</f>
        <v>Linux Systems Engineer</v>
      </c>
      <c r="C2559" s="7" t="str">
        <f>IFERROR(__xludf.DUMMYFUNCTION("""COMPUTED_VALUE"""),"S215")</f>
        <v>S215</v>
      </c>
      <c r="D2559" s="7" t="str">
        <f>IFERROR(__xludf.DUMMYFUNCTION("""COMPUTED_VALUE"""),"Secrets Management (HashiCorp Vault, AWS Secrets Manager)")</f>
        <v>Secrets Management (HashiCorp Vault, AWS Secrets Manager)</v>
      </c>
    </row>
    <row r="2560">
      <c r="A2560" s="7" t="str">
        <f>IFERROR(__xludf.DUMMYFUNCTION("""COMPUTED_VALUE"""),"R58")</f>
        <v>R58</v>
      </c>
      <c r="B2560" s="7" t="str">
        <f>IFERROR(__xludf.DUMMYFUNCTION("""COMPUTED_VALUE"""),"Linux Systems Engineer")</f>
        <v>Linux Systems Engineer</v>
      </c>
      <c r="C2560" s="7" t="str">
        <f>IFERROR(__xludf.DUMMYFUNCTION("""COMPUTED_VALUE"""),"S242")</f>
        <v>S242</v>
      </c>
      <c r="D2560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</row>
    <row r="2561">
      <c r="A2561" s="7" t="str">
        <f>IFERROR(__xludf.DUMMYFUNCTION("""COMPUTED_VALUE"""),"R58")</f>
        <v>R58</v>
      </c>
      <c r="B2561" s="7" t="str">
        <f>IFERROR(__xludf.DUMMYFUNCTION("""COMPUTED_VALUE"""),"Linux Systems Engineer")</f>
        <v>Linux Systems Engineer</v>
      </c>
      <c r="C2561" s="7" t="str">
        <f>IFERROR(__xludf.DUMMYFUNCTION("""COMPUTED_VALUE"""),"S246")</f>
        <v>S246</v>
      </c>
      <c r="D2561" s="7" t="str">
        <f>IFERROR(__xludf.DUMMYFUNCTION("""COMPUTED_VALUE"""),"Agile Methodologies, Scrum Framework &amp; Kanban")</f>
        <v>Agile Methodologies, Scrum Framework &amp; Kanban</v>
      </c>
    </row>
    <row r="2562">
      <c r="A2562" s="7" t="str">
        <f>IFERROR(__xludf.DUMMYFUNCTION("""COMPUTED_VALUE"""),"R58")</f>
        <v>R58</v>
      </c>
      <c r="B2562" s="7" t="str">
        <f>IFERROR(__xludf.DUMMYFUNCTION("""COMPUTED_VALUE"""),"Linux Systems Engineer")</f>
        <v>Linux Systems Engineer</v>
      </c>
      <c r="C2562" s="7" t="str">
        <f>IFERROR(__xludf.DUMMYFUNCTION("""COMPUTED_VALUE"""),"S247")</f>
        <v>S247</v>
      </c>
      <c r="D2562" s="7" t="str">
        <f>IFERROR(__xludf.DUMMYFUNCTION("""COMPUTED_VALUE"""),"Project Tracking &amp; Documentation Tools (Jira, Confluence, Linear)")</f>
        <v>Project Tracking &amp; Documentation Tools (Jira, Confluence, Linear)</v>
      </c>
    </row>
    <row r="2563">
      <c r="A2563" s="7" t="str">
        <f>IFERROR(__xludf.DUMMYFUNCTION("""COMPUTED_VALUE"""),"R59")</f>
        <v>R59</v>
      </c>
      <c r="B2563" s="7" t="str">
        <f>IFERROR(__xludf.DUMMYFUNCTION("""COMPUTED_VALUE"""),"API Integration Specialist")</f>
        <v>API Integration Specialist</v>
      </c>
      <c r="C2563" s="7" t="str">
        <f>IFERROR(__xludf.DUMMYFUNCTION("""COMPUTED_VALUE"""),"S006")</f>
        <v>S006</v>
      </c>
      <c r="D2563" s="7" t="str">
        <f>IFERROR(__xludf.DUMMYFUNCTION("""COMPUTED_VALUE"""),"Basic Data Structures (Arrays, Lists, Stacks, Queues)")</f>
        <v>Basic Data Structures (Arrays, Lists, Stacks, Queues)</v>
      </c>
    </row>
    <row r="2564">
      <c r="A2564" s="7" t="str">
        <f>IFERROR(__xludf.DUMMYFUNCTION("""COMPUTED_VALUE"""),"R59")</f>
        <v>R59</v>
      </c>
      <c r="B2564" s="7" t="str">
        <f>IFERROR(__xludf.DUMMYFUNCTION("""COMPUTED_VALUE"""),"API Integration Specialist")</f>
        <v>API Integration Specialist</v>
      </c>
      <c r="C2564" s="7" t="str">
        <f>IFERROR(__xludf.DUMMYFUNCTION("""COMPUTED_VALUE"""),"S010")</f>
        <v>S010</v>
      </c>
      <c r="D2564" s="7" t="str">
        <f>IFERROR(__xludf.DUMMYFUNCTION("""COMPUTED_VALUE"""),"Sorting &amp; Searching Algorithms")</f>
        <v>Sorting &amp; Searching Algorithms</v>
      </c>
    </row>
    <row r="2565">
      <c r="A2565" s="7" t="str">
        <f>IFERROR(__xludf.DUMMYFUNCTION("""COMPUTED_VALUE"""),"R59")</f>
        <v>R59</v>
      </c>
      <c r="B2565" s="7" t="str">
        <f>IFERROR(__xludf.DUMMYFUNCTION("""COMPUTED_VALUE"""),"API Integration Specialist")</f>
        <v>API Integration Specialist</v>
      </c>
      <c r="C2565" s="7" t="str">
        <f>IFERROR(__xludf.DUMMYFUNCTION("""COMPUTED_VALUE"""),"S012")</f>
        <v>S012</v>
      </c>
      <c r="D2565" s="7" t="str">
        <f>IFERROR(__xludf.DUMMYFUNCTION("""COMPUTED_VALUE"""),"Time &amp; Space Complexity (Big-O Analysis)")</f>
        <v>Time &amp; Space Complexity (Big-O Analysis)</v>
      </c>
    </row>
    <row r="2566">
      <c r="A2566" s="7" t="str">
        <f>IFERROR(__xludf.DUMMYFUNCTION("""COMPUTED_VALUE"""),"R59")</f>
        <v>R59</v>
      </c>
      <c r="B2566" s="7" t="str">
        <f>IFERROR(__xludf.DUMMYFUNCTION("""COMPUTED_VALUE"""),"API Integration Specialist")</f>
        <v>API Integration Specialist</v>
      </c>
      <c r="C2566" s="7" t="str">
        <f>IFERROR(__xludf.DUMMYFUNCTION("""COMPUTED_VALUE"""),"S013")</f>
        <v>S013</v>
      </c>
      <c r="D2566" s="7" t="str">
        <f>IFERROR(__xludf.DUMMYFUNCTION("""COMPUTED_VALUE"""),"Object-Oriented Programming (OOP)")</f>
        <v>Object-Oriented Programming (OOP)</v>
      </c>
    </row>
    <row r="2567">
      <c r="A2567" s="7" t="str">
        <f>IFERROR(__xludf.DUMMYFUNCTION("""COMPUTED_VALUE"""),"R59")</f>
        <v>R59</v>
      </c>
      <c r="B2567" s="7" t="str">
        <f>IFERROR(__xludf.DUMMYFUNCTION("""COMPUTED_VALUE"""),"API Integration Specialist")</f>
        <v>API Integration Specialist</v>
      </c>
      <c r="C2567" s="7" t="str">
        <f>IFERROR(__xludf.DUMMYFUNCTION("""COMPUTED_VALUE"""),"S016")</f>
        <v>S016</v>
      </c>
      <c r="D2567" s="7" t="str">
        <f>IFERROR(__xludf.DUMMYFUNCTION("""COMPUTED_VALUE"""),"SOLID Principles &amp; Clean Code")</f>
        <v>SOLID Principles &amp; Clean Code</v>
      </c>
    </row>
    <row r="2568">
      <c r="A2568" s="7" t="str">
        <f>IFERROR(__xludf.DUMMYFUNCTION("""COMPUTED_VALUE"""),"R59")</f>
        <v>R59</v>
      </c>
      <c r="B2568" s="7" t="str">
        <f>IFERROR(__xludf.DUMMYFUNCTION("""COMPUTED_VALUE"""),"API Integration Specialist")</f>
        <v>API Integration Specialist</v>
      </c>
      <c r="C2568" s="7" t="str">
        <f>IFERROR(__xludf.DUMMYFUNCTION("""COMPUTED_VALUE"""),"S017")</f>
        <v>S017</v>
      </c>
      <c r="D2568" s="7" t="str">
        <f>IFERROR(__xludf.DUMMYFUNCTION("""COMPUTED_VALUE"""),"Git Version Control Fundamentals")</f>
        <v>Git Version Control Fundamentals</v>
      </c>
    </row>
    <row r="2569">
      <c r="A2569" s="7" t="str">
        <f>IFERROR(__xludf.DUMMYFUNCTION("""COMPUTED_VALUE"""),"R59")</f>
        <v>R59</v>
      </c>
      <c r="B2569" s="7" t="str">
        <f>IFERROR(__xludf.DUMMYFUNCTION("""COMPUTED_VALUE"""),"API Integration Specialist")</f>
        <v>API Integration Specialist</v>
      </c>
      <c r="C2569" s="7" t="str">
        <f>IFERROR(__xludf.DUMMYFUNCTION("""COMPUTED_VALUE"""),"S018")</f>
        <v>S018</v>
      </c>
      <c r="D2569" s="7" t="str">
        <f>IFERROR(__xludf.DUMMYFUNCTION("""COMPUTED_VALUE"""),"GitHub / GitLab Workflows &amp; Pull Requests")</f>
        <v>GitHub / GitLab Workflows &amp; Pull Requests</v>
      </c>
    </row>
    <row r="2570">
      <c r="A2570" s="7" t="str">
        <f>IFERROR(__xludf.DUMMYFUNCTION("""COMPUTED_VALUE"""),"R59")</f>
        <v>R59</v>
      </c>
      <c r="B2570" s="7" t="str">
        <f>IFERROR(__xludf.DUMMYFUNCTION("""COMPUTED_VALUE"""),"API Integration Specialist")</f>
        <v>API Integration Specialist</v>
      </c>
      <c r="C2570" s="7" t="str">
        <f>IFERROR(__xludf.DUMMYFUNCTION("""COMPUTED_VALUE"""),"S019")</f>
        <v>S019</v>
      </c>
      <c r="D2570" s="7" t="str">
        <f>IFERROR(__xludf.DUMMYFUNCTION("""COMPUTED_VALUE"""),"Linux Command Line &amp; File Permissions")</f>
        <v>Linux Command Line &amp; File Permissions</v>
      </c>
    </row>
    <row r="2571">
      <c r="A2571" s="7" t="str">
        <f>IFERROR(__xludf.DUMMYFUNCTION("""COMPUTED_VALUE"""),"R59")</f>
        <v>R59</v>
      </c>
      <c r="B2571" s="7" t="str">
        <f>IFERROR(__xludf.DUMMYFUNCTION("""COMPUTED_VALUE"""),"API Integration Specialist")</f>
        <v>API Integration Specialist</v>
      </c>
      <c r="C2571" s="7" t="str">
        <f>IFERROR(__xludf.DUMMYFUNCTION("""COMPUTED_VALUE"""),"S022")</f>
        <v>S022</v>
      </c>
      <c r="D2571" s="7" t="str">
        <f>IFERROR(__xludf.DUMMYFUNCTION("""COMPUTED_VALUE"""),"Computer Networking &amp; OSI Model")</f>
        <v>Computer Networking &amp; OSI Model</v>
      </c>
    </row>
    <row r="2572">
      <c r="A2572" s="7" t="str">
        <f>IFERROR(__xludf.DUMMYFUNCTION("""COMPUTED_VALUE"""),"R59")</f>
        <v>R59</v>
      </c>
      <c r="B2572" s="7" t="str">
        <f>IFERROR(__xludf.DUMMYFUNCTION("""COMPUTED_VALUE"""),"API Integration Specialist")</f>
        <v>API Integration Specialist</v>
      </c>
      <c r="C2572" s="7" t="str">
        <f>IFERROR(__xludf.DUMMYFUNCTION("""COMPUTED_VALUE"""),"S023")</f>
        <v>S023</v>
      </c>
      <c r="D2572" s="7" t="str">
        <f>IFERROR(__xludf.DUMMYFUNCTION("""COMPUTED_VALUE"""),"HTTP/HTTPS Protocols &amp; Status Codes")</f>
        <v>HTTP/HTTPS Protocols &amp; Status Codes</v>
      </c>
    </row>
    <row r="2573">
      <c r="A2573" s="7" t="str">
        <f>IFERROR(__xludf.DUMMYFUNCTION("""COMPUTED_VALUE"""),"R59")</f>
        <v>R59</v>
      </c>
      <c r="B2573" s="7" t="str">
        <f>IFERROR(__xludf.DUMMYFUNCTION("""COMPUTED_VALUE"""),"API Integration Specialist")</f>
        <v>API Integration Specialist</v>
      </c>
      <c r="C2573" s="7" t="str">
        <f>IFERROR(__xludf.DUMMYFUNCTION("""COMPUTED_VALUE"""),"S024")</f>
        <v>S024</v>
      </c>
      <c r="D2573" s="7" t="str">
        <f>IFERROR(__xludf.DUMMYFUNCTION("""COMPUTED_VALUE"""),"DNS, Domain Routing &amp; SSL/TLS")</f>
        <v>DNS, Domain Routing &amp; SSL/TLS</v>
      </c>
    </row>
    <row r="2574">
      <c r="A2574" s="7" t="str">
        <f>IFERROR(__xludf.DUMMYFUNCTION("""COMPUTED_VALUE"""),"R59")</f>
        <v>R59</v>
      </c>
      <c r="B2574" s="7" t="str">
        <f>IFERROR(__xludf.DUMMYFUNCTION("""COMPUTED_VALUE"""),"API Integration Specialist")</f>
        <v>API Integration Specialist</v>
      </c>
      <c r="C2574" s="7" t="str">
        <f>IFERROR(__xludf.DUMMYFUNCTION("""COMPUTED_VALUE"""),"S025")</f>
        <v>S025</v>
      </c>
      <c r="D2574" s="7" t="str">
        <f>IFERROR(__xludf.DUMMYFUNCTION("""COMPUTED_VALUE"""),"Regular Expressions (Regex)")</f>
        <v>Regular Expressions (Regex)</v>
      </c>
    </row>
    <row r="2575">
      <c r="A2575" s="7" t="str">
        <f>IFERROR(__xludf.DUMMYFUNCTION("""COMPUTED_VALUE"""),"R59")</f>
        <v>R59</v>
      </c>
      <c r="B2575" s="7" t="str">
        <f>IFERROR(__xludf.DUMMYFUNCTION("""COMPUTED_VALUE"""),"API Integration Specialist")</f>
        <v>API Integration Specialist</v>
      </c>
      <c r="C2575" s="7" t="str">
        <f>IFERROR(__xludf.DUMMYFUNCTION("""COMPUTED_VALUE"""),"S026")</f>
        <v>S026</v>
      </c>
      <c r="D2575" s="7" t="str">
        <f>IFERROR(__xludf.DUMMYFUNCTION("""COMPUTED_VALUE"""),"Data Serialization (JSON, XML, YAML, Protobuf)")</f>
        <v>Data Serialization (JSON, XML, YAML, Protobuf)</v>
      </c>
    </row>
    <row r="2576">
      <c r="A2576" s="7" t="str">
        <f>IFERROR(__xludf.DUMMYFUNCTION("""COMPUTED_VALUE"""),"R59")</f>
        <v>R59</v>
      </c>
      <c r="B2576" s="7" t="str">
        <f>IFERROR(__xludf.DUMMYFUNCTION("""COMPUTED_VALUE"""),"API Integration Specialist")</f>
        <v>API Integration Specialist</v>
      </c>
      <c r="C2576" s="7" t="str">
        <f>IFERROR(__xludf.DUMMYFUNCTION("""COMPUTED_VALUE"""),"S027")</f>
        <v>S027</v>
      </c>
      <c r="D2576" s="7" t="str">
        <f>IFERROR(__xludf.DUMMYFUNCTION("""COMPUTED_VALUE"""),"Character Encoding &amp; Unicode (UTF-8)")</f>
        <v>Character Encoding &amp; Unicode (UTF-8)</v>
      </c>
    </row>
    <row r="2577">
      <c r="A2577" s="7" t="str">
        <f>IFERROR(__xludf.DUMMYFUNCTION("""COMPUTED_VALUE"""),"R59")</f>
        <v>R59</v>
      </c>
      <c r="B2577" s="7" t="str">
        <f>IFERROR(__xludf.DUMMYFUNCTION("""COMPUTED_VALUE"""),"API Integration Specialist")</f>
        <v>API Integration Specialist</v>
      </c>
      <c r="C2577" s="7" t="str">
        <f>IFERROR(__xludf.DUMMYFUNCTION("""COMPUTED_VALUE"""),"S028")</f>
        <v>S028</v>
      </c>
      <c r="D2577" s="7" t="str">
        <f>IFERROR(__xludf.DUMMYFUNCTION("""COMPUTED_VALUE"""),"Technical Writing &amp; Markdown Documentation")</f>
        <v>Technical Writing &amp; Markdown Documentation</v>
      </c>
    </row>
    <row r="2578">
      <c r="A2578" s="7" t="str">
        <f>IFERROR(__xludf.DUMMYFUNCTION("""COMPUTED_VALUE"""),"R59")</f>
        <v>R59</v>
      </c>
      <c r="B2578" s="7" t="str">
        <f>IFERROR(__xludf.DUMMYFUNCTION("""COMPUTED_VALUE"""),"API Integration Specialist")</f>
        <v>API Integration Specialist</v>
      </c>
      <c r="C2578" s="7" t="str">
        <f>IFERROR(__xludf.DUMMYFUNCTION("""COMPUTED_VALUE"""),"S029")</f>
        <v>S029</v>
      </c>
      <c r="D2578" s="7" t="str">
        <f>IFERROR(__xludf.DUMMYFUNCTION("""COMPUTED_VALUE"""),"Debugging, Profiling &amp; Root Cause Analysis")</f>
        <v>Debugging, Profiling &amp; Root Cause Analysis</v>
      </c>
    </row>
    <row r="2579">
      <c r="A2579" s="7" t="str">
        <f>IFERROR(__xludf.DUMMYFUNCTION("""COMPUTED_VALUE"""),"R59")</f>
        <v>R59</v>
      </c>
      <c r="B2579" s="7" t="str">
        <f>IFERROR(__xludf.DUMMYFUNCTION("""COMPUTED_VALUE"""),"API Integration Specialist")</f>
        <v>API Integration Specialist</v>
      </c>
      <c r="C2579" s="7" t="str">
        <f>IFERROR(__xludf.DUMMYFUNCTION("""COMPUTED_VALUE"""),"S034")</f>
        <v>S034</v>
      </c>
      <c r="D2579" s="7" t="str">
        <f>IFERROR(__xludf.DUMMYFUNCTION("""COMPUTED_VALUE"""),"JavaScript Fundamentals (ES6+)")</f>
        <v>JavaScript Fundamentals (ES6+)</v>
      </c>
    </row>
    <row r="2580">
      <c r="A2580" s="7" t="str">
        <f>IFERROR(__xludf.DUMMYFUNCTION("""COMPUTED_VALUE"""),"R59")</f>
        <v>R59</v>
      </c>
      <c r="B2580" s="7" t="str">
        <f>IFERROR(__xludf.DUMMYFUNCTION("""COMPUTED_VALUE"""),"API Integration Specialist")</f>
        <v>API Integration Specialist</v>
      </c>
      <c r="C2580" s="7" t="str">
        <f>IFERROR(__xludf.DUMMYFUNCTION("""COMPUTED_VALUE"""),"S035")</f>
        <v>S035</v>
      </c>
      <c r="D2580" s="7" t="str">
        <f>IFERROR(__xludf.DUMMYFUNCTION("""COMPUTED_VALUE"""),"Asynchronous JavaScript (Promises, Async/Await)")</f>
        <v>Asynchronous JavaScript (Promises, Async/Await)</v>
      </c>
    </row>
    <row r="2581">
      <c r="A2581" s="7" t="str">
        <f>IFERROR(__xludf.DUMMYFUNCTION("""COMPUTED_VALUE"""),"R59")</f>
        <v>R59</v>
      </c>
      <c r="B2581" s="7" t="str">
        <f>IFERROR(__xludf.DUMMYFUNCTION("""COMPUTED_VALUE"""),"API Integration Specialist")</f>
        <v>API Integration Specialist</v>
      </c>
      <c r="C2581" s="7" t="str">
        <f>IFERROR(__xludf.DUMMYFUNCTION("""COMPUTED_VALUE"""),"S038")</f>
        <v>S038</v>
      </c>
      <c r="D2581" s="7" t="str">
        <f>IFERROR(__xludf.DUMMYFUNCTION("""COMPUTED_VALUE"""),"TypeScript &amp; Static Typing")</f>
        <v>TypeScript &amp; Static Typing</v>
      </c>
    </row>
    <row r="2582">
      <c r="A2582" s="7" t="str">
        <f>IFERROR(__xludf.DUMMYFUNCTION("""COMPUTED_VALUE"""),"R59")</f>
        <v>R59</v>
      </c>
      <c r="B2582" s="7" t="str">
        <f>IFERROR(__xludf.DUMMYFUNCTION("""COMPUTED_VALUE"""),"API Integration Specialist")</f>
        <v>API Integration Specialist</v>
      </c>
      <c r="C2582" s="7" t="str">
        <f>IFERROR(__xludf.DUMMYFUNCTION("""COMPUTED_VALUE"""),"S066")</f>
        <v>S066</v>
      </c>
      <c r="D2582" s="7" t="str">
        <f>IFERROR(__xludf.DUMMYFUNCTION("""COMPUTED_VALUE"""),"Java Programming &amp; JVM Internals")</f>
        <v>Java Programming &amp; JVM Internals</v>
      </c>
    </row>
    <row r="2583">
      <c r="A2583" s="7" t="str">
        <f>IFERROR(__xludf.DUMMYFUNCTION("""COMPUTED_VALUE"""),"R59")</f>
        <v>R59</v>
      </c>
      <c r="B2583" s="7" t="str">
        <f>IFERROR(__xludf.DUMMYFUNCTION("""COMPUTED_VALUE"""),"API Integration Specialist")</f>
        <v>API Integration Specialist</v>
      </c>
      <c r="C2583" s="7" t="str">
        <f>IFERROR(__xludf.DUMMYFUNCTION("""COMPUTED_VALUE"""),"S067")</f>
        <v>S067</v>
      </c>
      <c r="D2583" s="7" t="str">
        <f>IFERROR(__xludf.DUMMYFUNCTION("""COMPUTED_VALUE"""),"Spring Framework &amp; Spring Boot")</f>
        <v>Spring Framework &amp; Spring Boot</v>
      </c>
    </row>
    <row r="2584">
      <c r="A2584" s="7" t="str">
        <f>IFERROR(__xludf.DUMMYFUNCTION("""COMPUTED_VALUE"""),"R59")</f>
        <v>R59</v>
      </c>
      <c r="B2584" s="7" t="str">
        <f>IFERROR(__xludf.DUMMYFUNCTION("""COMPUTED_VALUE"""),"API Integration Specialist")</f>
        <v>API Integration Specialist</v>
      </c>
      <c r="C2584" s="7" t="str">
        <f>IFERROR(__xludf.DUMMYFUNCTION("""COMPUTED_VALUE"""),"S068")</f>
        <v>S068</v>
      </c>
      <c r="D2584" s="7" t="str">
        <f>IFERROR(__xludf.DUMMYFUNCTION("""COMPUTED_VALUE"""),"Python Programming Fundamentals")</f>
        <v>Python Programming Fundamentals</v>
      </c>
    </row>
    <row r="2585">
      <c r="A2585" s="7" t="str">
        <f>IFERROR(__xludf.DUMMYFUNCTION("""COMPUTED_VALUE"""),"R59")</f>
        <v>R59</v>
      </c>
      <c r="B2585" s="7" t="str">
        <f>IFERROR(__xludf.DUMMYFUNCTION("""COMPUTED_VALUE"""),"API Integration Specialist")</f>
        <v>API Integration Specialist</v>
      </c>
      <c r="C2585" s="7" t="str">
        <f>IFERROR(__xludf.DUMMYFUNCTION("""COMPUTED_VALUE"""),"S070")</f>
        <v>S070</v>
      </c>
      <c r="D2585" s="7" t="str">
        <f>IFERROR(__xludf.DUMMYFUNCTION("""COMPUTED_VALUE"""),"FastAPI High-Performance APIs")</f>
        <v>FastAPI High-Performance APIs</v>
      </c>
    </row>
    <row r="2586">
      <c r="A2586" s="7" t="str">
        <f>IFERROR(__xludf.DUMMYFUNCTION("""COMPUTED_VALUE"""),"R59")</f>
        <v>R59</v>
      </c>
      <c r="B2586" s="7" t="str">
        <f>IFERROR(__xludf.DUMMYFUNCTION("""COMPUTED_VALUE"""),"API Integration Specialist")</f>
        <v>API Integration Specialist</v>
      </c>
      <c r="C2586" s="7" t="str">
        <f>IFERROR(__xludf.DUMMYFUNCTION("""COMPUTED_VALUE"""),"S072")</f>
        <v>S072</v>
      </c>
      <c r="D2586" s="7" t="str">
        <f>IFERROR(__xludf.DUMMYFUNCTION("""COMPUTED_VALUE"""),"Node.js Runtime &amp; Event Loop")</f>
        <v>Node.js Runtime &amp; Event Loop</v>
      </c>
    </row>
    <row r="2587">
      <c r="A2587" s="7" t="str">
        <f>IFERROR(__xludf.DUMMYFUNCTION("""COMPUTED_VALUE"""),"R59")</f>
        <v>R59</v>
      </c>
      <c r="B2587" s="7" t="str">
        <f>IFERROR(__xludf.DUMMYFUNCTION("""COMPUTED_VALUE"""),"API Integration Specialist")</f>
        <v>API Integration Specialist</v>
      </c>
      <c r="C2587" s="7" t="str">
        <f>IFERROR(__xludf.DUMMYFUNCTION("""COMPUTED_VALUE"""),"S073")</f>
        <v>S073</v>
      </c>
      <c r="D2587" s="7" t="str">
        <f>IFERROR(__xludf.DUMMYFUNCTION("""COMPUTED_VALUE"""),"Express.js Web Framework")</f>
        <v>Express.js Web Framework</v>
      </c>
    </row>
    <row r="2588">
      <c r="A2588" s="7" t="str">
        <f>IFERROR(__xludf.DUMMYFUNCTION("""COMPUTED_VALUE"""),"R59")</f>
        <v>R59</v>
      </c>
      <c r="B2588" s="7" t="str">
        <f>IFERROR(__xludf.DUMMYFUNCTION("""COMPUTED_VALUE"""),"API Integration Specialist")</f>
        <v>API Integration Specialist</v>
      </c>
      <c r="C2588" s="7" t="str">
        <f>IFERROR(__xludf.DUMMYFUNCTION("""COMPUTED_VALUE"""),"S086")</f>
        <v>S086</v>
      </c>
      <c r="D2588" s="7" t="str">
        <f>IFERROR(__xludf.DUMMYFUNCTION("""COMPUTED_VALUE"""),"RESTful API Design &amp; OpenAPI/Swagger")</f>
        <v>RESTful API Design &amp; OpenAPI/Swagger</v>
      </c>
    </row>
    <row r="2589">
      <c r="A2589" s="7" t="str">
        <f>IFERROR(__xludf.DUMMYFUNCTION("""COMPUTED_VALUE"""),"R59")</f>
        <v>R59</v>
      </c>
      <c r="B2589" s="7" t="str">
        <f>IFERROR(__xludf.DUMMYFUNCTION("""COMPUTED_VALUE"""),"API Integration Specialist")</f>
        <v>API Integration Specialist</v>
      </c>
      <c r="C2589" s="7" t="str">
        <f>IFERROR(__xludf.DUMMYFUNCTION("""COMPUTED_VALUE"""),"S087")</f>
        <v>S087</v>
      </c>
      <c r="D2589" s="7" t="str">
        <f>IFERROR(__xludf.DUMMYFUNCTION("""COMPUTED_VALUE"""),"GraphQL Schema &amp; Resolvers (Apollo)")</f>
        <v>GraphQL Schema &amp; Resolvers (Apollo)</v>
      </c>
    </row>
    <row r="2590">
      <c r="A2590" s="7" t="str">
        <f>IFERROR(__xludf.DUMMYFUNCTION("""COMPUTED_VALUE"""),"R59")</f>
        <v>R59</v>
      </c>
      <c r="B2590" s="7" t="str">
        <f>IFERROR(__xludf.DUMMYFUNCTION("""COMPUTED_VALUE"""),"API Integration Specialist")</f>
        <v>API Integration Specialist</v>
      </c>
      <c r="C2590" s="7" t="str">
        <f>IFERROR(__xludf.DUMMYFUNCTION("""COMPUTED_VALUE"""),"S088")</f>
        <v>S088</v>
      </c>
      <c r="D2590" s="7" t="str">
        <f>IFERROR(__xludf.DUMMYFUNCTION("""COMPUTED_VALUE"""),"gRPC &amp; Protocol Buffers")</f>
        <v>gRPC &amp; Protocol Buffers</v>
      </c>
    </row>
    <row r="2591">
      <c r="A2591" s="7" t="str">
        <f>IFERROR(__xludf.DUMMYFUNCTION("""COMPUTED_VALUE"""),"R59")</f>
        <v>R59</v>
      </c>
      <c r="B2591" s="7" t="str">
        <f>IFERROR(__xludf.DUMMYFUNCTION("""COMPUTED_VALUE"""),"API Integration Specialist")</f>
        <v>API Integration Specialist</v>
      </c>
      <c r="C2591" s="7" t="str">
        <f>IFERROR(__xludf.DUMMYFUNCTION("""COMPUTED_VALUE"""),"S089")</f>
        <v>S089</v>
      </c>
      <c r="D2591" s="7" t="str">
        <f>IFERROR(__xludf.DUMMYFUNCTION("""COMPUTED_VALUE"""),"WebSockets &amp; Real-Time Communication (Socket.io)")</f>
        <v>WebSockets &amp; Real-Time Communication (Socket.io)</v>
      </c>
    </row>
    <row r="2592">
      <c r="A2592" s="7" t="str">
        <f>IFERROR(__xludf.DUMMYFUNCTION("""COMPUTED_VALUE"""),"R59")</f>
        <v>R59</v>
      </c>
      <c r="B2592" s="7" t="str">
        <f>IFERROR(__xludf.DUMMYFUNCTION("""COMPUTED_VALUE"""),"API Integration Specialist")</f>
        <v>API Integration Specialist</v>
      </c>
      <c r="C2592" s="7" t="str">
        <f>IFERROR(__xludf.DUMMYFUNCTION("""COMPUTED_VALUE"""),"S090")</f>
        <v>S090</v>
      </c>
      <c r="D2592" s="7" t="str">
        <f>IFERROR(__xludf.DUMMYFUNCTION("""COMPUTED_VALUE"""),"Webhook Architecture &amp; Event Callbacks")</f>
        <v>Webhook Architecture &amp; Event Callbacks</v>
      </c>
    </row>
    <row r="2593">
      <c r="A2593" s="7" t="str">
        <f>IFERROR(__xludf.DUMMYFUNCTION("""COMPUTED_VALUE"""),"R59")</f>
        <v>R59</v>
      </c>
      <c r="B2593" s="7" t="str">
        <f>IFERROR(__xludf.DUMMYFUNCTION("""COMPUTED_VALUE"""),"API Integration Specialist")</f>
        <v>API Integration Specialist</v>
      </c>
      <c r="C2593" s="7" t="str">
        <f>IFERROR(__xludf.DUMMYFUNCTION("""COMPUTED_VALUE"""),"S091")</f>
        <v>S091</v>
      </c>
      <c r="D2593" s="7" t="str">
        <f>IFERROR(__xludf.DUMMYFUNCTION("""COMPUTED_VALUE"""),"Authentication &amp; Session Management (JWT, Cookies)")</f>
        <v>Authentication &amp; Session Management (JWT, Cookies)</v>
      </c>
    </row>
    <row r="2594">
      <c r="A2594" s="7" t="str">
        <f>IFERROR(__xludf.DUMMYFUNCTION("""COMPUTED_VALUE"""),"R59")</f>
        <v>R59</v>
      </c>
      <c r="B2594" s="7" t="str">
        <f>IFERROR(__xludf.DUMMYFUNCTION("""COMPUTED_VALUE"""),"API Integration Specialist")</f>
        <v>API Integration Specialist</v>
      </c>
      <c r="C2594" s="7" t="str">
        <f>IFERROR(__xludf.DUMMYFUNCTION("""COMPUTED_VALUE"""),"S092")</f>
        <v>S092</v>
      </c>
      <c r="D2594" s="7" t="str">
        <f>IFERROR(__xludf.DUMMYFUNCTION("""COMPUTED_VALUE"""),"OAuth 2.0, OpenID Connect (OIDC) &amp; SSO")</f>
        <v>OAuth 2.0, OpenID Connect (OIDC) &amp; SSO</v>
      </c>
    </row>
    <row r="2595">
      <c r="A2595" s="7" t="str">
        <f>IFERROR(__xludf.DUMMYFUNCTION("""COMPUTED_VALUE"""),"R59")</f>
        <v>R59</v>
      </c>
      <c r="B2595" s="7" t="str">
        <f>IFERROR(__xludf.DUMMYFUNCTION("""COMPUTED_VALUE"""),"API Integration Specialist")</f>
        <v>API Integration Specialist</v>
      </c>
      <c r="C2595" s="7" t="str">
        <f>IFERROR(__xludf.DUMMYFUNCTION("""COMPUTED_VALUE"""),"S093")</f>
        <v>S093</v>
      </c>
      <c r="D2595" s="7" t="str">
        <f>IFERROR(__xludf.DUMMYFUNCTION("""COMPUTED_VALUE"""),"Role-Based &amp; Attribute-Based Access Control (RBAC/ABAC)")</f>
        <v>Role-Based &amp; Attribute-Based Access Control (RBAC/ABAC)</v>
      </c>
    </row>
    <row r="2596">
      <c r="A2596" s="7" t="str">
        <f>IFERROR(__xludf.DUMMYFUNCTION("""COMPUTED_VALUE"""),"R59")</f>
        <v>R59</v>
      </c>
      <c r="B2596" s="7" t="str">
        <f>IFERROR(__xludf.DUMMYFUNCTION("""COMPUTED_VALUE"""),"API Integration Specialist")</f>
        <v>API Integration Specialist</v>
      </c>
      <c r="C2596" s="7" t="str">
        <f>IFERROR(__xludf.DUMMYFUNCTION("""COMPUTED_VALUE"""),"S094")</f>
        <v>S094</v>
      </c>
      <c r="D2596" s="7" t="str">
        <f>IFERROR(__xludf.DUMMYFUNCTION("""COMPUTED_VALUE"""),"API Gateways, Rate Limiting &amp; Throttling (Kong, Envoy)")</f>
        <v>API Gateways, Rate Limiting &amp; Throttling (Kong, Envoy)</v>
      </c>
    </row>
    <row r="2597">
      <c r="A2597" s="7" t="str">
        <f>IFERROR(__xludf.DUMMYFUNCTION("""COMPUTED_VALUE"""),"R59")</f>
        <v>R59</v>
      </c>
      <c r="B2597" s="7" t="str">
        <f>IFERROR(__xludf.DUMMYFUNCTION("""COMPUTED_VALUE"""),"API Integration Specialist")</f>
        <v>API Integration Specialist</v>
      </c>
      <c r="C2597" s="7" t="str">
        <f>IFERROR(__xludf.DUMMYFUNCTION("""COMPUTED_VALUE"""),"S095")</f>
        <v>S095</v>
      </c>
      <c r="D2597" s="7" t="str">
        <f>IFERROR(__xludf.DUMMYFUNCTION("""COMPUTED_VALUE"""),"Microservices Architecture &amp; Service Mesh")</f>
        <v>Microservices Architecture &amp; Service Mesh</v>
      </c>
    </row>
    <row r="2598">
      <c r="A2598" s="7" t="str">
        <f>IFERROR(__xludf.DUMMYFUNCTION("""COMPUTED_VALUE"""),"R59")</f>
        <v>R59</v>
      </c>
      <c r="B2598" s="7" t="str">
        <f>IFERROR(__xludf.DUMMYFUNCTION("""COMPUTED_VALUE"""),"API Integration Specialist")</f>
        <v>API Integration Specialist</v>
      </c>
      <c r="C2598" s="7" t="str">
        <f>IFERROR(__xludf.DUMMYFUNCTION("""COMPUTED_VALUE"""),"S096")</f>
        <v>S096</v>
      </c>
      <c r="D2598" s="7" t="str">
        <f>IFERROR(__xludf.DUMMYFUNCTION("""COMPUTED_VALUE"""),"Event-Driven Architecture &amp; Pub/Sub Patterns")</f>
        <v>Event-Driven Architecture &amp; Pub/Sub Patterns</v>
      </c>
    </row>
    <row r="2599">
      <c r="A2599" s="7" t="str">
        <f>IFERROR(__xludf.DUMMYFUNCTION("""COMPUTED_VALUE"""),"R59")</f>
        <v>R59</v>
      </c>
      <c r="B2599" s="7" t="str">
        <f>IFERROR(__xludf.DUMMYFUNCTION("""COMPUTED_VALUE"""),"API Integration Specialist")</f>
        <v>API Integration Specialist</v>
      </c>
      <c r="C2599" s="7" t="str">
        <f>IFERROR(__xludf.DUMMYFUNCTION("""COMPUTED_VALUE"""),"S097")</f>
        <v>S097</v>
      </c>
      <c r="D2599" s="7" t="str">
        <f>IFERROR(__xludf.DUMMYFUNCTION("""COMPUTED_VALUE"""),"Message Brokers &amp; Queues (RabbitMQ, ActiveMQ)")</f>
        <v>Message Brokers &amp; Queues (RabbitMQ, ActiveMQ)</v>
      </c>
    </row>
    <row r="2600">
      <c r="A2600" s="7" t="str">
        <f>IFERROR(__xludf.DUMMYFUNCTION("""COMPUTED_VALUE"""),"R59")</f>
        <v>R59</v>
      </c>
      <c r="B2600" s="7" t="str">
        <f>IFERROR(__xludf.DUMMYFUNCTION("""COMPUTED_VALUE"""),"API Integration Specialist")</f>
        <v>API Integration Specialist</v>
      </c>
      <c r="C2600" s="7" t="str">
        <f>IFERROR(__xludf.DUMMYFUNCTION("""COMPUTED_VALUE"""),"S098")</f>
        <v>S098</v>
      </c>
      <c r="D2600" s="7" t="str">
        <f>IFERROR(__xludf.DUMMYFUNCTION("""COMPUTED_VALUE"""),"Distributed Event Streaming (Apache Kafka)")</f>
        <v>Distributed Event Streaming (Apache Kafka)</v>
      </c>
    </row>
    <row r="2601">
      <c r="A2601" s="7" t="str">
        <f>IFERROR(__xludf.DUMMYFUNCTION("""COMPUTED_VALUE"""),"R59")</f>
        <v>R59</v>
      </c>
      <c r="B2601" s="7" t="str">
        <f>IFERROR(__xludf.DUMMYFUNCTION("""COMPUTED_VALUE"""),"API Integration Specialist")</f>
        <v>API Integration Specialist</v>
      </c>
      <c r="C2601" s="7" t="str">
        <f>IFERROR(__xludf.DUMMYFUNCTION("""COMPUTED_VALUE"""),"S099")</f>
        <v>S099</v>
      </c>
      <c r="D2601" s="7" t="str">
        <f>IFERROR(__xludf.DUMMYFUNCTION("""COMPUTED_VALUE"""),"Backend Caching Strategies (In-Memory, CDN, Write-Through)")</f>
        <v>Backend Caching Strategies (In-Memory, CDN, Write-Through)</v>
      </c>
    </row>
    <row r="2602">
      <c r="A2602" s="7" t="str">
        <f>IFERROR(__xludf.DUMMYFUNCTION("""COMPUTED_VALUE"""),"R59")</f>
        <v>R59</v>
      </c>
      <c r="B2602" s="7" t="str">
        <f>IFERROR(__xludf.DUMMYFUNCTION("""COMPUTED_VALUE"""),"API Integration Specialist")</f>
        <v>API Integration Specialist</v>
      </c>
      <c r="C2602" s="7" t="str">
        <f>IFERROR(__xludf.DUMMYFUNCTION("""COMPUTED_VALUE"""),"S101")</f>
        <v>S101</v>
      </c>
      <c r="D2602" s="7" t="str">
        <f>IFERROR(__xludf.DUMMYFUNCTION("""COMPUTED_VALUE"""),"Background Jobs &amp; Task Queues (Celery, BullMQ)")</f>
        <v>Background Jobs &amp; Task Queues (Celery, BullMQ)</v>
      </c>
    </row>
    <row r="2603">
      <c r="A2603" s="7" t="str">
        <f>IFERROR(__xludf.DUMMYFUNCTION("""COMPUTED_VALUE"""),"R59")</f>
        <v>R59</v>
      </c>
      <c r="B2603" s="7" t="str">
        <f>IFERROR(__xludf.DUMMYFUNCTION("""COMPUTED_VALUE"""),"API Integration Specialist")</f>
        <v>API Integration Specialist</v>
      </c>
      <c r="C2603" s="7" t="str">
        <f>IFERROR(__xludf.DUMMYFUNCTION("""COMPUTED_VALUE"""),"S102")</f>
        <v>S102</v>
      </c>
      <c r="D2603" s="7" t="str">
        <f>IFERROR(__xludf.DUMMYFUNCTION("""COMPUTED_VALUE"""),"Backend Unit &amp; Integration Testing (JUnit, PyTest, Mocha)")</f>
        <v>Backend Unit &amp; Integration Testing (JUnit, PyTest, Mocha)</v>
      </c>
    </row>
    <row r="2604">
      <c r="A2604" s="7" t="str">
        <f>IFERROR(__xludf.DUMMYFUNCTION("""COMPUTED_VALUE"""),"R59")</f>
        <v>R59</v>
      </c>
      <c r="B2604" s="7" t="str">
        <f>IFERROR(__xludf.DUMMYFUNCTION("""COMPUTED_VALUE"""),"API Integration Specialist")</f>
        <v>API Integration Specialist</v>
      </c>
      <c r="C2604" s="7" t="str">
        <f>IFERROR(__xludf.DUMMYFUNCTION("""COMPUTED_VALUE"""),"S103")</f>
        <v>S103</v>
      </c>
      <c r="D2604" s="7" t="str">
        <f>IFERROR(__xludf.DUMMYFUNCTION("""COMPUTED_VALUE"""),"API Testing &amp; Contract Testing (Postman, Pact, Insomnia)")</f>
        <v>API Testing &amp; Contract Testing (Postman, Pact, Insomnia)</v>
      </c>
    </row>
    <row r="2605">
      <c r="A2605" s="7" t="str">
        <f>IFERROR(__xludf.DUMMYFUNCTION("""COMPUTED_VALUE"""),"R59")</f>
        <v>R59</v>
      </c>
      <c r="B2605" s="7" t="str">
        <f>IFERROR(__xludf.DUMMYFUNCTION("""COMPUTED_VALUE"""),"API Integration Specialist")</f>
        <v>API Integration Specialist</v>
      </c>
      <c r="C2605" s="7" t="str">
        <f>IFERROR(__xludf.DUMMYFUNCTION("""COMPUTED_VALUE"""),"S107")</f>
        <v>S107</v>
      </c>
      <c r="D2605" s="7" t="str">
        <f>IFERROR(__xludf.DUMMYFUNCTION("""COMPUTED_VALUE"""),"SQL Querying (Joins, Aggregations, Subqueries)")</f>
        <v>SQL Querying (Joins, Aggregations, Subqueries)</v>
      </c>
    </row>
    <row r="2606">
      <c r="A2606" s="7" t="str">
        <f>IFERROR(__xludf.DUMMYFUNCTION("""COMPUTED_VALUE"""),"R59")</f>
        <v>R59</v>
      </c>
      <c r="B2606" s="7" t="str">
        <f>IFERROR(__xludf.DUMMYFUNCTION("""COMPUTED_VALUE"""),"API Integration Specialist")</f>
        <v>API Integration Specialist</v>
      </c>
      <c r="C2606" s="7" t="str">
        <f>IFERROR(__xludf.DUMMYFUNCTION("""COMPUTED_VALUE"""),"S109")</f>
        <v>S109</v>
      </c>
      <c r="D2606" s="7" t="str">
        <f>IFERROR(__xludf.DUMMYFUNCTION("""COMPUTED_VALUE"""),"PostgreSQL Administration &amp; Development")</f>
        <v>PostgreSQL Administration &amp; Development</v>
      </c>
    </row>
    <row r="2607">
      <c r="A2607" s="7" t="str">
        <f>IFERROR(__xludf.DUMMYFUNCTION("""COMPUTED_VALUE"""),"R59")</f>
        <v>R59</v>
      </c>
      <c r="B2607" s="7" t="str">
        <f>IFERROR(__xludf.DUMMYFUNCTION("""COMPUTED_VALUE"""),"API Integration Specialist")</f>
        <v>API Integration Specialist</v>
      </c>
      <c r="C2607" s="7" t="str">
        <f>IFERROR(__xludf.DUMMYFUNCTION("""COMPUTED_VALUE"""),"S119")</f>
        <v>S119</v>
      </c>
      <c r="D2607" s="7" t="str">
        <f>IFERROR(__xludf.DUMMYFUNCTION("""COMPUTED_VALUE"""),"Document Databases (MongoDB)")</f>
        <v>Document Databases (MongoDB)</v>
      </c>
    </row>
    <row r="2608">
      <c r="A2608" s="7" t="str">
        <f>IFERROR(__xludf.DUMMYFUNCTION("""COMPUTED_VALUE"""),"R59")</f>
        <v>R59</v>
      </c>
      <c r="B2608" s="7" t="str">
        <f>IFERROR(__xludf.DUMMYFUNCTION("""COMPUTED_VALUE"""),"API Integration Specialist")</f>
        <v>API Integration Specialist</v>
      </c>
      <c r="C2608" s="7" t="str">
        <f>IFERROR(__xludf.DUMMYFUNCTION("""COMPUTED_VALUE"""),"S120")</f>
        <v>S120</v>
      </c>
      <c r="D2608" s="7" t="str">
        <f>IFERROR(__xludf.DUMMYFUNCTION("""COMPUTED_VALUE"""),"Key-Value Stores &amp; In-Memory DBs (Redis, Memcached)")</f>
        <v>Key-Value Stores &amp; In-Memory DBs (Redis, Memcached)</v>
      </c>
    </row>
    <row r="2609">
      <c r="A2609" s="7" t="str">
        <f>IFERROR(__xludf.DUMMYFUNCTION("""COMPUTED_VALUE"""),"R59")</f>
        <v>R59</v>
      </c>
      <c r="B2609" s="7" t="str">
        <f>IFERROR(__xludf.DUMMYFUNCTION("""COMPUTED_VALUE"""),"API Integration Specialist")</f>
        <v>API Integration Specialist</v>
      </c>
      <c r="C2609" s="7" t="str">
        <f>IFERROR(__xludf.DUMMYFUNCTION("""COMPUTED_VALUE"""),"S126")</f>
        <v>S126</v>
      </c>
      <c r="D2609" s="7" t="str">
        <f>IFERROR(__xludf.DUMMYFUNCTION("""COMPUTED_VALUE"""),"ETL / ELT Data Pipeline Design")</f>
        <v>ETL / ELT Data Pipeline Design</v>
      </c>
    </row>
    <row r="2610">
      <c r="A2610" s="7" t="str">
        <f>IFERROR(__xludf.DUMMYFUNCTION("""COMPUTED_VALUE"""),"R59")</f>
        <v>R59</v>
      </c>
      <c r="B2610" s="7" t="str">
        <f>IFERROR(__xludf.DUMMYFUNCTION("""COMPUTED_VALUE"""),"API Integration Specialist")</f>
        <v>API Integration Specialist</v>
      </c>
      <c r="C2610" s="7" t="str">
        <f>IFERROR(__xludf.DUMMYFUNCTION("""COMPUTED_VALUE"""),"S171")</f>
        <v>S171</v>
      </c>
      <c r="D2610" s="7" t="str">
        <f>IFERROR(__xludf.DUMMYFUNCTION("""COMPUTED_VALUE"""),"Containerization with Docker")</f>
        <v>Containerization with Docker</v>
      </c>
    </row>
    <row r="2611">
      <c r="A2611" s="7" t="str">
        <f>IFERROR(__xludf.DUMMYFUNCTION("""COMPUTED_VALUE"""),"R59")</f>
        <v>R59</v>
      </c>
      <c r="B2611" s="7" t="str">
        <f>IFERROR(__xludf.DUMMYFUNCTION("""COMPUTED_VALUE"""),"API Integration Specialist")</f>
        <v>API Integration Specialist</v>
      </c>
      <c r="C2611" s="7" t="str">
        <f>IFERROR(__xludf.DUMMYFUNCTION("""COMPUTED_VALUE"""),"S177")</f>
        <v>S177</v>
      </c>
      <c r="D2611" s="7" t="str">
        <f>IFERROR(__xludf.DUMMYFUNCTION("""COMPUTED_VALUE"""),"Serverless Computing (AWS Lambda, Cloud Functions)")</f>
        <v>Serverless Computing (AWS Lambda, Cloud Functions)</v>
      </c>
    </row>
    <row r="2612">
      <c r="A2612" s="7" t="str">
        <f>IFERROR(__xludf.DUMMYFUNCTION("""COMPUTED_VALUE"""),"R59")</f>
        <v>R59</v>
      </c>
      <c r="B2612" s="7" t="str">
        <f>IFERROR(__xludf.DUMMYFUNCTION("""COMPUTED_VALUE"""),"API Integration Specialist")</f>
        <v>API Integration Specialist</v>
      </c>
      <c r="C2612" s="7" t="str">
        <f>IFERROR(__xludf.DUMMYFUNCTION("""COMPUTED_VALUE"""),"S180")</f>
        <v>S180</v>
      </c>
      <c r="D2612" s="7" t="str">
        <f>IFERROR(__xludf.DUMMYFUNCTION("""COMPUTED_VALUE"""),"CI/CD Pipelines with GitHub Actions")</f>
        <v>CI/CD Pipelines with GitHub Actions</v>
      </c>
    </row>
    <row r="2613">
      <c r="A2613" s="7" t="str">
        <f>IFERROR(__xludf.DUMMYFUNCTION("""COMPUTED_VALUE"""),"R59")</f>
        <v>R59</v>
      </c>
      <c r="B2613" s="7" t="str">
        <f>IFERROR(__xludf.DUMMYFUNCTION("""COMPUTED_VALUE"""),"API Integration Specialist")</f>
        <v>API Integration Specialist</v>
      </c>
      <c r="C2613" s="7" t="str">
        <f>IFERROR(__xludf.DUMMYFUNCTION("""COMPUTED_VALUE"""),"S200")</f>
        <v>S200</v>
      </c>
      <c r="D2613" s="7" t="str">
        <f>IFERROR(__xludf.DUMMYFUNCTION("""COMPUTED_VALUE"""),"Web Application Security &amp; OWASP Top 10")</f>
        <v>Web Application Security &amp; OWASP Top 10</v>
      </c>
    </row>
    <row r="2614">
      <c r="A2614" s="7" t="str">
        <f>IFERROR(__xludf.DUMMYFUNCTION("""COMPUTED_VALUE"""),"R59")</f>
        <v>R59</v>
      </c>
      <c r="B2614" s="7" t="str">
        <f>IFERROR(__xludf.DUMMYFUNCTION("""COMPUTED_VALUE"""),"API Integration Specialist")</f>
        <v>API Integration Specialist</v>
      </c>
      <c r="C2614" s="7" t="str">
        <f>IFERROR(__xludf.DUMMYFUNCTION("""COMPUTED_VALUE"""),"S219")</f>
        <v>S219</v>
      </c>
      <c r="D2614" s="7" t="str">
        <f>IFERROR(__xludf.DUMMYFUNCTION("""COMPUTED_VALUE"""),"Secure Coding Practices &amp; Threat Mitigation")</f>
        <v>Secure Coding Practices &amp; Threat Mitigation</v>
      </c>
    </row>
    <row r="2615">
      <c r="A2615" s="7" t="str">
        <f>IFERROR(__xludf.DUMMYFUNCTION("""COMPUTED_VALUE"""),"R59")</f>
        <v>R59</v>
      </c>
      <c r="B2615" s="7" t="str">
        <f>IFERROR(__xludf.DUMMYFUNCTION("""COMPUTED_VALUE"""),"API Integration Specialist")</f>
        <v>API Integration Specialist</v>
      </c>
      <c r="C2615" s="7" t="str">
        <f>IFERROR(__xludf.DUMMYFUNCTION("""COMPUTED_VALUE"""),"S240")</f>
        <v>S240</v>
      </c>
      <c r="D2615" s="7" t="str">
        <f>IFERROR(__xludf.DUMMYFUNCTION("""COMPUTED_VALUE"""),"Enterprise Resource Planning Systems (SAP ERP, S/4HANA, ABAP)")</f>
        <v>Enterprise Resource Planning Systems (SAP ERP, S/4HANA, ABAP)</v>
      </c>
    </row>
    <row r="2616">
      <c r="A2616" s="7" t="str">
        <f>IFERROR(__xludf.DUMMYFUNCTION("""COMPUTED_VALUE"""),"R59")</f>
        <v>R59</v>
      </c>
      <c r="B2616" s="7" t="str">
        <f>IFERROR(__xludf.DUMMYFUNCTION("""COMPUTED_VALUE"""),"API Integration Specialist")</f>
        <v>API Integration Specialist</v>
      </c>
      <c r="C2616" s="7" t="str">
        <f>IFERROR(__xludf.DUMMYFUNCTION("""COMPUTED_VALUE"""),"S241")</f>
        <v>S241</v>
      </c>
      <c r="D2616" s="7" t="str">
        <f>IFERROR(__xludf.DUMMYFUNCTION("""COMPUTED_VALUE"""),"Customer Relationship Management Platforms (Salesforce CRM, Apex, LWC)")</f>
        <v>Customer Relationship Management Platforms (Salesforce CRM, Apex, LWC)</v>
      </c>
    </row>
    <row r="2617">
      <c r="A2617" s="7" t="str">
        <f>IFERROR(__xludf.DUMMYFUNCTION("""COMPUTED_VALUE"""),"R59")</f>
        <v>R59</v>
      </c>
      <c r="B2617" s="7" t="str">
        <f>IFERROR(__xludf.DUMMYFUNCTION("""COMPUTED_VALUE"""),"API Integration Specialist")</f>
        <v>API Integration Specialist</v>
      </c>
      <c r="C2617" s="7" t="str">
        <f>IFERROR(__xludf.DUMMYFUNCTION("""COMPUTED_VALUE"""),"S246")</f>
        <v>S246</v>
      </c>
      <c r="D2617" s="7" t="str">
        <f>IFERROR(__xludf.DUMMYFUNCTION("""COMPUTED_VALUE"""),"Agile Methodologies, Scrum Framework &amp; Kanban")</f>
        <v>Agile Methodologies, Scrum Framework &amp; Kanban</v>
      </c>
    </row>
    <row r="2618">
      <c r="A2618" s="7" t="str">
        <f>IFERROR(__xludf.DUMMYFUNCTION("""COMPUTED_VALUE"""),"R59")</f>
        <v>R59</v>
      </c>
      <c r="B2618" s="7" t="str">
        <f>IFERROR(__xludf.DUMMYFUNCTION("""COMPUTED_VALUE"""),"API Integration Specialist")</f>
        <v>API Integration Specialist</v>
      </c>
      <c r="C2618" s="7" t="str">
        <f>IFERROR(__xludf.DUMMYFUNCTION("""COMPUTED_VALUE"""),"S247")</f>
        <v>S247</v>
      </c>
      <c r="D2618" s="7" t="str">
        <f>IFERROR(__xludf.DUMMYFUNCTION("""COMPUTED_VALUE"""),"Project Tracking &amp; Documentation Tools (Jira, Confluence, Linear)")</f>
        <v>Project Tracking &amp; Documentation Tools (Jira, Confluence, Linear)</v>
      </c>
    </row>
    <row r="2619">
      <c r="A2619" s="7" t="str">
        <f>IFERROR(__xludf.DUMMYFUNCTION("""COMPUTED_VALUE"""),"R60")</f>
        <v>R60</v>
      </c>
      <c r="B2619" s="7" t="str">
        <f>IFERROR(__xludf.DUMMYFUNCTION("""COMPUTED_VALUE"""),"Platform Engineer")</f>
        <v>Platform Engineer</v>
      </c>
      <c r="C2619" s="7" t="str">
        <f>IFERROR(__xludf.DUMMYFUNCTION("""COMPUTED_VALUE"""),"S002")</f>
        <v>S002</v>
      </c>
      <c r="D2619" s="7" t="str">
        <f>IFERROR(__xludf.DUMMYFUNCTION("""COMPUTED_VALUE"""),"Operating Systems Concepts")</f>
        <v>Operating Systems Concepts</v>
      </c>
    </row>
    <row r="2620">
      <c r="A2620" s="7" t="str">
        <f>IFERROR(__xludf.DUMMYFUNCTION("""COMPUTED_VALUE"""),"R60")</f>
        <v>R60</v>
      </c>
      <c r="B2620" s="7" t="str">
        <f>IFERROR(__xludf.DUMMYFUNCTION("""COMPUTED_VALUE"""),"Platform Engineer")</f>
        <v>Platform Engineer</v>
      </c>
      <c r="C2620" s="7" t="str">
        <f>IFERROR(__xludf.DUMMYFUNCTION("""COMPUTED_VALUE"""),"S003")</f>
        <v>S003</v>
      </c>
      <c r="D2620" s="7" t="str">
        <f>IFERROR(__xludf.DUMMYFUNCTION("""COMPUTED_VALUE"""),"Process &amp; Thread Management")</f>
        <v>Process &amp; Thread Management</v>
      </c>
    </row>
    <row r="2621">
      <c r="A2621" s="7" t="str">
        <f>IFERROR(__xludf.DUMMYFUNCTION("""COMPUTED_VALUE"""),"R60")</f>
        <v>R60</v>
      </c>
      <c r="B2621" s="7" t="str">
        <f>IFERROR(__xludf.DUMMYFUNCTION("""COMPUTED_VALUE"""),"Platform Engineer")</f>
        <v>Platform Engineer</v>
      </c>
      <c r="C2621" s="7" t="str">
        <f>IFERROR(__xludf.DUMMYFUNCTION("""COMPUTED_VALUE"""),"S004")</f>
        <v>S004</v>
      </c>
      <c r="D2621" s="7" t="str">
        <f>IFERROR(__xludf.DUMMYFUNCTION("""COMPUTED_VALUE"""),"Memory Management &amp; Paging")</f>
        <v>Memory Management &amp; Paging</v>
      </c>
    </row>
    <row r="2622">
      <c r="A2622" s="7" t="str">
        <f>IFERROR(__xludf.DUMMYFUNCTION("""COMPUTED_VALUE"""),"R60")</f>
        <v>R60</v>
      </c>
      <c r="B2622" s="7" t="str">
        <f>IFERROR(__xludf.DUMMYFUNCTION("""COMPUTED_VALUE"""),"Platform Engineer")</f>
        <v>Platform Engineer</v>
      </c>
      <c r="C2622" s="7" t="str">
        <f>IFERROR(__xludf.DUMMYFUNCTION("""COMPUTED_VALUE"""),"S005")</f>
        <v>S005</v>
      </c>
      <c r="D2622" s="7" t="str">
        <f>IFERROR(__xludf.DUMMYFUNCTION("""COMPUTED_VALUE"""),"File Systems &amp; Storage I/O")</f>
        <v>File Systems &amp; Storage I/O</v>
      </c>
    </row>
    <row r="2623">
      <c r="A2623" s="7" t="str">
        <f>IFERROR(__xludf.DUMMYFUNCTION("""COMPUTED_VALUE"""),"R60")</f>
        <v>R60</v>
      </c>
      <c r="B2623" s="7" t="str">
        <f>IFERROR(__xludf.DUMMYFUNCTION("""COMPUTED_VALUE"""),"Platform Engineer")</f>
        <v>Platform Engineer</v>
      </c>
      <c r="C2623" s="7" t="str">
        <f>IFERROR(__xludf.DUMMYFUNCTION("""COMPUTED_VALUE"""),"S006")</f>
        <v>S006</v>
      </c>
      <c r="D2623" s="7" t="str">
        <f>IFERROR(__xludf.DUMMYFUNCTION("""COMPUTED_VALUE"""),"Basic Data Structures (Arrays, Lists, Stacks, Queues)")</f>
        <v>Basic Data Structures (Arrays, Lists, Stacks, Queues)</v>
      </c>
    </row>
    <row r="2624">
      <c r="A2624" s="7" t="str">
        <f>IFERROR(__xludf.DUMMYFUNCTION("""COMPUTED_VALUE"""),"R60")</f>
        <v>R60</v>
      </c>
      <c r="B2624" s="7" t="str">
        <f>IFERROR(__xludf.DUMMYFUNCTION("""COMPUTED_VALUE"""),"Platform Engineer")</f>
        <v>Platform Engineer</v>
      </c>
      <c r="C2624" s="7" t="str">
        <f>IFERROR(__xludf.DUMMYFUNCTION("""COMPUTED_VALUE"""),"S012")</f>
        <v>S012</v>
      </c>
      <c r="D2624" s="7" t="str">
        <f>IFERROR(__xludf.DUMMYFUNCTION("""COMPUTED_VALUE"""),"Time &amp; Space Complexity (Big-O Analysis)")</f>
        <v>Time &amp; Space Complexity (Big-O Analysis)</v>
      </c>
    </row>
    <row r="2625">
      <c r="A2625" s="7" t="str">
        <f>IFERROR(__xludf.DUMMYFUNCTION("""COMPUTED_VALUE"""),"R60")</f>
        <v>R60</v>
      </c>
      <c r="B2625" s="7" t="str">
        <f>IFERROR(__xludf.DUMMYFUNCTION("""COMPUTED_VALUE"""),"Platform Engineer")</f>
        <v>Platform Engineer</v>
      </c>
      <c r="C2625" s="7" t="str">
        <f>IFERROR(__xludf.DUMMYFUNCTION("""COMPUTED_VALUE"""),"S013")</f>
        <v>S013</v>
      </c>
      <c r="D2625" s="7" t="str">
        <f>IFERROR(__xludf.DUMMYFUNCTION("""COMPUTED_VALUE"""),"Object-Oriented Programming (OOP)")</f>
        <v>Object-Oriented Programming (OOP)</v>
      </c>
    </row>
    <row r="2626">
      <c r="A2626" s="7" t="str">
        <f>IFERROR(__xludf.DUMMYFUNCTION("""COMPUTED_VALUE"""),"R60")</f>
        <v>R60</v>
      </c>
      <c r="B2626" s="7" t="str">
        <f>IFERROR(__xludf.DUMMYFUNCTION("""COMPUTED_VALUE"""),"Platform Engineer")</f>
        <v>Platform Engineer</v>
      </c>
      <c r="C2626" s="7" t="str">
        <f>IFERROR(__xludf.DUMMYFUNCTION("""COMPUTED_VALUE"""),"S016")</f>
        <v>S016</v>
      </c>
      <c r="D2626" s="7" t="str">
        <f>IFERROR(__xludf.DUMMYFUNCTION("""COMPUTED_VALUE"""),"SOLID Principles &amp; Clean Code")</f>
        <v>SOLID Principles &amp; Clean Code</v>
      </c>
    </row>
    <row r="2627">
      <c r="A2627" s="7" t="str">
        <f>IFERROR(__xludf.DUMMYFUNCTION("""COMPUTED_VALUE"""),"R60")</f>
        <v>R60</v>
      </c>
      <c r="B2627" s="7" t="str">
        <f>IFERROR(__xludf.DUMMYFUNCTION("""COMPUTED_VALUE"""),"Platform Engineer")</f>
        <v>Platform Engineer</v>
      </c>
      <c r="C2627" s="7" t="str">
        <f>IFERROR(__xludf.DUMMYFUNCTION("""COMPUTED_VALUE"""),"S017")</f>
        <v>S017</v>
      </c>
      <c r="D2627" s="7" t="str">
        <f>IFERROR(__xludf.DUMMYFUNCTION("""COMPUTED_VALUE"""),"Git Version Control Fundamentals")</f>
        <v>Git Version Control Fundamentals</v>
      </c>
    </row>
    <row r="2628">
      <c r="A2628" s="7" t="str">
        <f>IFERROR(__xludf.DUMMYFUNCTION("""COMPUTED_VALUE"""),"R60")</f>
        <v>R60</v>
      </c>
      <c r="B2628" s="7" t="str">
        <f>IFERROR(__xludf.DUMMYFUNCTION("""COMPUTED_VALUE"""),"Platform Engineer")</f>
        <v>Platform Engineer</v>
      </c>
      <c r="C2628" s="7" t="str">
        <f>IFERROR(__xludf.DUMMYFUNCTION("""COMPUTED_VALUE"""),"S018")</f>
        <v>S018</v>
      </c>
      <c r="D2628" s="7" t="str">
        <f>IFERROR(__xludf.DUMMYFUNCTION("""COMPUTED_VALUE"""),"GitHub / GitLab Workflows &amp; Pull Requests")</f>
        <v>GitHub / GitLab Workflows &amp; Pull Requests</v>
      </c>
    </row>
    <row r="2629">
      <c r="A2629" s="7" t="str">
        <f>IFERROR(__xludf.DUMMYFUNCTION("""COMPUTED_VALUE"""),"R60")</f>
        <v>R60</v>
      </c>
      <c r="B2629" s="7" t="str">
        <f>IFERROR(__xludf.DUMMYFUNCTION("""COMPUTED_VALUE"""),"Platform Engineer")</f>
        <v>Platform Engineer</v>
      </c>
      <c r="C2629" s="7" t="str">
        <f>IFERROR(__xludf.DUMMYFUNCTION("""COMPUTED_VALUE"""),"S019")</f>
        <v>S019</v>
      </c>
      <c r="D2629" s="7" t="str">
        <f>IFERROR(__xludf.DUMMYFUNCTION("""COMPUTED_VALUE"""),"Linux Command Line &amp; File Permissions")</f>
        <v>Linux Command Line &amp; File Permissions</v>
      </c>
    </row>
    <row r="2630">
      <c r="A2630" s="7" t="str">
        <f>IFERROR(__xludf.DUMMYFUNCTION("""COMPUTED_VALUE"""),"R60")</f>
        <v>R60</v>
      </c>
      <c r="B2630" s="7" t="str">
        <f>IFERROR(__xludf.DUMMYFUNCTION("""COMPUTED_VALUE"""),"Platform Engineer")</f>
        <v>Platform Engineer</v>
      </c>
      <c r="C2630" s="7" t="str">
        <f>IFERROR(__xludf.DUMMYFUNCTION("""COMPUTED_VALUE"""),"S020")</f>
        <v>S020</v>
      </c>
      <c r="D2630" s="7" t="str">
        <f>IFERROR(__xludf.DUMMYFUNCTION("""COMPUTED_VALUE"""),"Bash &amp; Shell Scripting")</f>
        <v>Bash &amp; Shell Scripting</v>
      </c>
    </row>
    <row r="2631">
      <c r="A2631" s="7" t="str">
        <f>IFERROR(__xludf.DUMMYFUNCTION("""COMPUTED_VALUE"""),"R60")</f>
        <v>R60</v>
      </c>
      <c r="B2631" s="7" t="str">
        <f>IFERROR(__xludf.DUMMYFUNCTION("""COMPUTED_VALUE"""),"Platform Engineer")</f>
        <v>Platform Engineer</v>
      </c>
      <c r="C2631" s="7" t="str">
        <f>IFERROR(__xludf.DUMMYFUNCTION("""COMPUTED_VALUE"""),"S022")</f>
        <v>S022</v>
      </c>
      <c r="D2631" s="7" t="str">
        <f>IFERROR(__xludf.DUMMYFUNCTION("""COMPUTED_VALUE"""),"Computer Networking &amp; OSI Model")</f>
        <v>Computer Networking &amp; OSI Model</v>
      </c>
    </row>
    <row r="2632">
      <c r="A2632" s="7" t="str">
        <f>IFERROR(__xludf.DUMMYFUNCTION("""COMPUTED_VALUE"""),"R60")</f>
        <v>R60</v>
      </c>
      <c r="B2632" s="7" t="str">
        <f>IFERROR(__xludf.DUMMYFUNCTION("""COMPUTED_VALUE"""),"Platform Engineer")</f>
        <v>Platform Engineer</v>
      </c>
      <c r="C2632" s="7" t="str">
        <f>IFERROR(__xludf.DUMMYFUNCTION("""COMPUTED_VALUE"""),"S023")</f>
        <v>S023</v>
      </c>
      <c r="D2632" s="7" t="str">
        <f>IFERROR(__xludf.DUMMYFUNCTION("""COMPUTED_VALUE"""),"HTTP/HTTPS Protocols &amp; Status Codes")</f>
        <v>HTTP/HTTPS Protocols &amp; Status Codes</v>
      </c>
    </row>
    <row r="2633">
      <c r="A2633" s="7" t="str">
        <f>IFERROR(__xludf.DUMMYFUNCTION("""COMPUTED_VALUE"""),"R60")</f>
        <v>R60</v>
      </c>
      <c r="B2633" s="7" t="str">
        <f>IFERROR(__xludf.DUMMYFUNCTION("""COMPUTED_VALUE"""),"Platform Engineer")</f>
        <v>Platform Engineer</v>
      </c>
      <c r="C2633" s="7" t="str">
        <f>IFERROR(__xludf.DUMMYFUNCTION("""COMPUTED_VALUE"""),"S024")</f>
        <v>S024</v>
      </c>
      <c r="D2633" s="7" t="str">
        <f>IFERROR(__xludf.DUMMYFUNCTION("""COMPUTED_VALUE"""),"DNS, Domain Routing &amp; SSL/TLS")</f>
        <v>DNS, Domain Routing &amp; SSL/TLS</v>
      </c>
    </row>
    <row r="2634">
      <c r="A2634" s="7" t="str">
        <f>IFERROR(__xludf.DUMMYFUNCTION("""COMPUTED_VALUE"""),"R60")</f>
        <v>R60</v>
      </c>
      <c r="B2634" s="7" t="str">
        <f>IFERROR(__xludf.DUMMYFUNCTION("""COMPUTED_VALUE"""),"Platform Engineer")</f>
        <v>Platform Engineer</v>
      </c>
      <c r="C2634" s="7" t="str">
        <f>IFERROR(__xludf.DUMMYFUNCTION("""COMPUTED_VALUE"""),"S026")</f>
        <v>S026</v>
      </c>
      <c r="D2634" s="7" t="str">
        <f>IFERROR(__xludf.DUMMYFUNCTION("""COMPUTED_VALUE"""),"Data Serialization (JSON, XML, YAML, Protobuf)")</f>
        <v>Data Serialization (JSON, XML, YAML, Protobuf)</v>
      </c>
    </row>
    <row r="2635">
      <c r="A2635" s="7" t="str">
        <f>IFERROR(__xludf.DUMMYFUNCTION("""COMPUTED_VALUE"""),"R60")</f>
        <v>R60</v>
      </c>
      <c r="B2635" s="7" t="str">
        <f>IFERROR(__xludf.DUMMYFUNCTION("""COMPUTED_VALUE"""),"Platform Engineer")</f>
        <v>Platform Engineer</v>
      </c>
      <c r="C2635" s="7" t="str">
        <f>IFERROR(__xludf.DUMMYFUNCTION("""COMPUTED_VALUE"""),"S028")</f>
        <v>S028</v>
      </c>
      <c r="D2635" s="7" t="str">
        <f>IFERROR(__xludf.DUMMYFUNCTION("""COMPUTED_VALUE"""),"Technical Writing &amp; Markdown Documentation")</f>
        <v>Technical Writing &amp; Markdown Documentation</v>
      </c>
    </row>
    <row r="2636">
      <c r="A2636" s="7" t="str">
        <f>IFERROR(__xludf.DUMMYFUNCTION("""COMPUTED_VALUE"""),"R60")</f>
        <v>R60</v>
      </c>
      <c r="B2636" s="7" t="str">
        <f>IFERROR(__xludf.DUMMYFUNCTION("""COMPUTED_VALUE"""),"Platform Engineer")</f>
        <v>Platform Engineer</v>
      </c>
      <c r="C2636" s="7" t="str">
        <f>IFERROR(__xludf.DUMMYFUNCTION("""COMPUTED_VALUE"""),"S029")</f>
        <v>S029</v>
      </c>
      <c r="D2636" s="7" t="str">
        <f>IFERROR(__xludf.DUMMYFUNCTION("""COMPUTED_VALUE"""),"Debugging, Profiling &amp; Root Cause Analysis")</f>
        <v>Debugging, Profiling &amp; Root Cause Analysis</v>
      </c>
    </row>
    <row r="2637">
      <c r="A2637" s="7" t="str">
        <f>IFERROR(__xludf.DUMMYFUNCTION("""COMPUTED_VALUE"""),"R60")</f>
        <v>R60</v>
      </c>
      <c r="B2637" s="7" t="str">
        <f>IFERROR(__xludf.DUMMYFUNCTION("""COMPUTED_VALUE"""),"Platform Engineer")</f>
        <v>Platform Engineer</v>
      </c>
      <c r="C2637" s="7" t="str">
        <f>IFERROR(__xludf.DUMMYFUNCTION("""COMPUTED_VALUE"""),"S034")</f>
        <v>S034</v>
      </c>
      <c r="D2637" s="7" t="str">
        <f>IFERROR(__xludf.DUMMYFUNCTION("""COMPUTED_VALUE"""),"JavaScript Fundamentals (ES6+)")</f>
        <v>JavaScript Fundamentals (ES6+)</v>
      </c>
    </row>
    <row r="2638">
      <c r="A2638" s="7" t="str">
        <f>IFERROR(__xludf.DUMMYFUNCTION("""COMPUTED_VALUE"""),"R60")</f>
        <v>R60</v>
      </c>
      <c r="B2638" s="7" t="str">
        <f>IFERROR(__xludf.DUMMYFUNCTION("""COMPUTED_VALUE"""),"Platform Engineer")</f>
        <v>Platform Engineer</v>
      </c>
      <c r="C2638" s="7" t="str">
        <f>IFERROR(__xludf.DUMMYFUNCTION("""COMPUTED_VALUE"""),"S038")</f>
        <v>S038</v>
      </c>
      <c r="D2638" s="7" t="str">
        <f>IFERROR(__xludf.DUMMYFUNCTION("""COMPUTED_VALUE"""),"TypeScript &amp; Static Typing")</f>
        <v>TypeScript &amp; Static Typing</v>
      </c>
    </row>
    <row r="2639">
      <c r="A2639" s="7" t="str">
        <f>IFERROR(__xludf.DUMMYFUNCTION("""COMPUTED_VALUE"""),"R60")</f>
        <v>R60</v>
      </c>
      <c r="B2639" s="7" t="str">
        <f>IFERROR(__xludf.DUMMYFUNCTION("""COMPUTED_VALUE"""),"Platform Engineer")</f>
        <v>Platform Engineer</v>
      </c>
      <c r="C2639" s="7" t="str">
        <f>IFERROR(__xludf.DUMMYFUNCTION("""COMPUTED_VALUE"""),"S039")</f>
        <v>S039</v>
      </c>
      <c r="D2639" s="7" t="str">
        <f>IFERROR(__xludf.DUMMYFUNCTION("""COMPUTED_VALUE"""),"React.js &amp; Hooks Architecture")</f>
        <v>React.js &amp; Hooks Architecture</v>
      </c>
    </row>
    <row r="2640">
      <c r="A2640" s="7" t="str">
        <f>IFERROR(__xludf.DUMMYFUNCTION("""COMPUTED_VALUE"""),"R60")</f>
        <v>R60</v>
      </c>
      <c r="B2640" s="7" t="str">
        <f>IFERROR(__xludf.DUMMYFUNCTION("""COMPUTED_VALUE"""),"Platform Engineer")</f>
        <v>Platform Engineer</v>
      </c>
      <c r="C2640" s="7" t="str">
        <f>IFERROR(__xludf.DUMMYFUNCTION("""COMPUTED_VALUE"""),"S068")</f>
        <v>S068</v>
      </c>
      <c r="D2640" s="7" t="str">
        <f>IFERROR(__xludf.DUMMYFUNCTION("""COMPUTED_VALUE"""),"Python Programming Fundamentals")</f>
        <v>Python Programming Fundamentals</v>
      </c>
    </row>
    <row r="2641">
      <c r="A2641" s="7" t="str">
        <f>IFERROR(__xludf.DUMMYFUNCTION("""COMPUTED_VALUE"""),"R60")</f>
        <v>R60</v>
      </c>
      <c r="B2641" s="7" t="str">
        <f>IFERROR(__xludf.DUMMYFUNCTION("""COMPUTED_VALUE"""),"Platform Engineer")</f>
        <v>Platform Engineer</v>
      </c>
      <c r="C2641" s="7" t="str">
        <f>IFERROR(__xludf.DUMMYFUNCTION("""COMPUTED_VALUE"""),"S077")</f>
        <v>S077</v>
      </c>
      <c r="D2641" s="7" t="str">
        <f>IFERROR(__xludf.DUMMYFUNCTION("""COMPUTED_VALUE"""),"Go (Golang) Programming")</f>
        <v>Go (Golang) Programming</v>
      </c>
    </row>
    <row r="2642">
      <c r="A2642" s="7" t="str">
        <f>IFERROR(__xludf.DUMMYFUNCTION("""COMPUTED_VALUE"""),"R60")</f>
        <v>R60</v>
      </c>
      <c r="B2642" s="7" t="str">
        <f>IFERROR(__xludf.DUMMYFUNCTION("""COMPUTED_VALUE"""),"Platform Engineer")</f>
        <v>Platform Engineer</v>
      </c>
      <c r="C2642" s="7" t="str">
        <f>IFERROR(__xludf.DUMMYFUNCTION("""COMPUTED_VALUE"""),"S086")</f>
        <v>S086</v>
      </c>
      <c r="D2642" s="7" t="str">
        <f>IFERROR(__xludf.DUMMYFUNCTION("""COMPUTED_VALUE"""),"RESTful API Design &amp; OpenAPI/Swagger")</f>
        <v>RESTful API Design &amp; OpenAPI/Swagger</v>
      </c>
    </row>
    <row r="2643">
      <c r="A2643" s="7" t="str">
        <f>IFERROR(__xludf.DUMMYFUNCTION("""COMPUTED_VALUE"""),"R60")</f>
        <v>R60</v>
      </c>
      <c r="B2643" s="7" t="str">
        <f>IFERROR(__xludf.DUMMYFUNCTION("""COMPUTED_VALUE"""),"Platform Engineer")</f>
        <v>Platform Engineer</v>
      </c>
      <c r="C2643" s="7" t="str">
        <f>IFERROR(__xludf.DUMMYFUNCTION("""COMPUTED_VALUE"""),"S088")</f>
        <v>S088</v>
      </c>
      <c r="D2643" s="7" t="str">
        <f>IFERROR(__xludf.DUMMYFUNCTION("""COMPUTED_VALUE"""),"gRPC &amp; Protocol Buffers")</f>
        <v>gRPC &amp; Protocol Buffers</v>
      </c>
    </row>
    <row r="2644">
      <c r="A2644" s="7" t="str">
        <f>IFERROR(__xludf.DUMMYFUNCTION("""COMPUTED_VALUE"""),"R60")</f>
        <v>R60</v>
      </c>
      <c r="B2644" s="7" t="str">
        <f>IFERROR(__xludf.DUMMYFUNCTION("""COMPUTED_VALUE"""),"Platform Engineer")</f>
        <v>Platform Engineer</v>
      </c>
      <c r="C2644" s="7" t="str">
        <f>IFERROR(__xludf.DUMMYFUNCTION("""COMPUTED_VALUE"""),"S091")</f>
        <v>S091</v>
      </c>
      <c r="D2644" s="7" t="str">
        <f>IFERROR(__xludf.DUMMYFUNCTION("""COMPUTED_VALUE"""),"Authentication &amp; Session Management (JWT, Cookies)")</f>
        <v>Authentication &amp; Session Management (JWT, Cookies)</v>
      </c>
    </row>
    <row r="2645">
      <c r="A2645" s="7" t="str">
        <f>IFERROR(__xludf.DUMMYFUNCTION("""COMPUTED_VALUE"""),"R60")</f>
        <v>R60</v>
      </c>
      <c r="B2645" s="7" t="str">
        <f>IFERROR(__xludf.DUMMYFUNCTION("""COMPUTED_VALUE"""),"Platform Engineer")</f>
        <v>Platform Engineer</v>
      </c>
      <c r="C2645" s="7" t="str">
        <f>IFERROR(__xludf.DUMMYFUNCTION("""COMPUTED_VALUE"""),"S092")</f>
        <v>S092</v>
      </c>
      <c r="D2645" s="7" t="str">
        <f>IFERROR(__xludf.DUMMYFUNCTION("""COMPUTED_VALUE"""),"OAuth 2.0, OpenID Connect (OIDC) &amp; SSO")</f>
        <v>OAuth 2.0, OpenID Connect (OIDC) &amp; SSO</v>
      </c>
    </row>
    <row r="2646">
      <c r="A2646" s="7" t="str">
        <f>IFERROR(__xludf.DUMMYFUNCTION("""COMPUTED_VALUE"""),"R60")</f>
        <v>R60</v>
      </c>
      <c r="B2646" s="7" t="str">
        <f>IFERROR(__xludf.DUMMYFUNCTION("""COMPUTED_VALUE"""),"Platform Engineer")</f>
        <v>Platform Engineer</v>
      </c>
      <c r="C2646" s="7" t="str">
        <f>IFERROR(__xludf.DUMMYFUNCTION("""COMPUTED_VALUE"""),"S093")</f>
        <v>S093</v>
      </c>
      <c r="D2646" s="7" t="str">
        <f>IFERROR(__xludf.DUMMYFUNCTION("""COMPUTED_VALUE"""),"Role-Based &amp; Attribute-Based Access Control (RBAC/ABAC)")</f>
        <v>Role-Based &amp; Attribute-Based Access Control (RBAC/ABAC)</v>
      </c>
    </row>
    <row r="2647">
      <c r="A2647" s="7" t="str">
        <f>IFERROR(__xludf.DUMMYFUNCTION("""COMPUTED_VALUE"""),"R60")</f>
        <v>R60</v>
      </c>
      <c r="B2647" s="7" t="str">
        <f>IFERROR(__xludf.DUMMYFUNCTION("""COMPUTED_VALUE"""),"Platform Engineer")</f>
        <v>Platform Engineer</v>
      </c>
      <c r="C2647" s="7" t="str">
        <f>IFERROR(__xludf.DUMMYFUNCTION("""COMPUTED_VALUE"""),"S094")</f>
        <v>S094</v>
      </c>
      <c r="D2647" s="7" t="str">
        <f>IFERROR(__xludf.DUMMYFUNCTION("""COMPUTED_VALUE"""),"API Gateways, Rate Limiting &amp; Throttling (Kong, Envoy)")</f>
        <v>API Gateways, Rate Limiting &amp; Throttling (Kong, Envoy)</v>
      </c>
    </row>
    <row r="2648">
      <c r="A2648" s="7" t="str">
        <f>IFERROR(__xludf.DUMMYFUNCTION("""COMPUTED_VALUE"""),"R60")</f>
        <v>R60</v>
      </c>
      <c r="B2648" s="7" t="str">
        <f>IFERROR(__xludf.DUMMYFUNCTION("""COMPUTED_VALUE"""),"Platform Engineer")</f>
        <v>Platform Engineer</v>
      </c>
      <c r="C2648" s="7" t="str">
        <f>IFERROR(__xludf.DUMMYFUNCTION("""COMPUTED_VALUE"""),"S095")</f>
        <v>S095</v>
      </c>
      <c r="D2648" s="7" t="str">
        <f>IFERROR(__xludf.DUMMYFUNCTION("""COMPUTED_VALUE"""),"Microservices Architecture &amp; Service Mesh")</f>
        <v>Microservices Architecture &amp; Service Mesh</v>
      </c>
    </row>
    <row r="2649">
      <c r="A2649" s="7" t="str">
        <f>IFERROR(__xludf.DUMMYFUNCTION("""COMPUTED_VALUE"""),"R60")</f>
        <v>R60</v>
      </c>
      <c r="B2649" s="7" t="str">
        <f>IFERROR(__xludf.DUMMYFUNCTION("""COMPUTED_VALUE"""),"Platform Engineer")</f>
        <v>Platform Engineer</v>
      </c>
      <c r="C2649" s="7" t="str">
        <f>IFERROR(__xludf.DUMMYFUNCTION("""COMPUTED_VALUE"""),"S109")</f>
        <v>S109</v>
      </c>
      <c r="D2649" s="7" t="str">
        <f>IFERROR(__xludf.DUMMYFUNCTION("""COMPUTED_VALUE"""),"PostgreSQL Administration &amp; Development")</f>
        <v>PostgreSQL Administration &amp; Development</v>
      </c>
    </row>
    <row r="2650">
      <c r="A2650" s="7" t="str">
        <f>IFERROR(__xludf.DUMMYFUNCTION("""COMPUTED_VALUE"""),"R60")</f>
        <v>R60</v>
      </c>
      <c r="B2650" s="7" t="str">
        <f>IFERROR(__xludf.DUMMYFUNCTION("""COMPUTED_VALUE"""),"Platform Engineer")</f>
        <v>Platform Engineer</v>
      </c>
      <c r="C2650" s="7" t="str">
        <f>IFERROR(__xludf.DUMMYFUNCTION("""COMPUTED_VALUE"""),"S120")</f>
        <v>S120</v>
      </c>
      <c r="D2650" s="7" t="str">
        <f>IFERROR(__xludf.DUMMYFUNCTION("""COMPUTED_VALUE"""),"Key-Value Stores &amp; In-Memory DBs (Redis, Memcached)")</f>
        <v>Key-Value Stores &amp; In-Memory DBs (Redis, Memcached)</v>
      </c>
    </row>
    <row r="2651">
      <c r="A2651" s="7" t="str">
        <f>IFERROR(__xludf.DUMMYFUNCTION("""COMPUTED_VALUE"""),"R60")</f>
        <v>R60</v>
      </c>
      <c r="B2651" s="7" t="str">
        <f>IFERROR(__xludf.DUMMYFUNCTION("""COMPUTED_VALUE"""),"Platform Engineer")</f>
        <v>Platform Engineer</v>
      </c>
      <c r="C2651" s="7" t="str">
        <f>IFERROR(__xludf.DUMMYFUNCTION("""COMPUTED_VALUE"""),"S171")</f>
        <v>S171</v>
      </c>
      <c r="D2651" s="7" t="str">
        <f>IFERROR(__xludf.DUMMYFUNCTION("""COMPUTED_VALUE"""),"Containerization with Docker")</f>
        <v>Containerization with Docker</v>
      </c>
    </row>
    <row r="2652">
      <c r="A2652" s="7" t="str">
        <f>IFERROR(__xludf.DUMMYFUNCTION("""COMPUTED_VALUE"""),"R60")</f>
        <v>R60</v>
      </c>
      <c r="B2652" s="7" t="str">
        <f>IFERROR(__xludf.DUMMYFUNCTION("""COMPUTED_VALUE"""),"Platform Engineer")</f>
        <v>Platform Engineer</v>
      </c>
      <c r="C2652" s="7" t="str">
        <f>IFERROR(__xludf.DUMMYFUNCTION("""COMPUTED_VALUE"""),"S172")</f>
        <v>S172</v>
      </c>
      <c r="D2652" s="7" t="str">
        <f>IFERROR(__xludf.DUMMYFUNCTION("""COMPUTED_VALUE"""),"Kubernetes Cluster Orchestration (K8s)")</f>
        <v>Kubernetes Cluster Orchestration (K8s)</v>
      </c>
    </row>
    <row r="2653">
      <c r="A2653" s="7" t="str">
        <f>IFERROR(__xludf.DUMMYFUNCTION("""COMPUTED_VALUE"""),"R60")</f>
        <v>R60</v>
      </c>
      <c r="B2653" s="7" t="str">
        <f>IFERROR(__xludf.DUMMYFUNCTION("""COMPUTED_VALUE"""),"Platform Engineer")</f>
        <v>Platform Engineer</v>
      </c>
      <c r="C2653" s="7" t="str">
        <f>IFERROR(__xludf.DUMMYFUNCTION("""COMPUTED_VALUE"""),"S173")</f>
        <v>S173</v>
      </c>
      <c r="D2653" s="7" t="str">
        <f>IFERROR(__xludf.DUMMYFUNCTION("""COMPUTED_VALUE"""),"Kubernetes Package Management (Helm &amp; Kustomize)")</f>
        <v>Kubernetes Package Management (Helm &amp; Kustomize)</v>
      </c>
    </row>
    <row r="2654">
      <c r="A2654" s="7" t="str">
        <f>IFERROR(__xludf.DUMMYFUNCTION("""COMPUTED_VALUE"""),"R60")</f>
        <v>R60</v>
      </c>
      <c r="B2654" s="7" t="str">
        <f>IFERROR(__xludf.DUMMYFUNCTION("""COMPUTED_VALUE"""),"Platform Engineer")</f>
        <v>Platform Engineer</v>
      </c>
      <c r="C2654" s="7" t="str">
        <f>IFERROR(__xludf.DUMMYFUNCTION("""COMPUTED_VALUE"""),"S174")</f>
        <v>S174</v>
      </c>
      <c r="D2654" s="7" t="str">
        <f>IFERROR(__xludf.DUMMYFUNCTION("""COMPUTED_VALUE"""),"Amazon Web Services Core (EC2, S3, RDS, IAM, VPC)")</f>
        <v>Amazon Web Services Core (EC2, S3, RDS, IAM, VPC)</v>
      </c>
    </row>
    <row r="2655">
      <c r="A2655" s="7" t="str">
        <f>IFERROR(__xludf.DUMMYFUNCTION("""COMPUTED_VALUE"""),"R60")</f>
        <v>R60</v>
      </c>
      <c r="B2655" s="7" t="str">
        <f>IFERROR(__xludf.DUMMYFUNCTION("""COMPUTED_VALUE"""),"Platform Engineer")</f>
        <v>Platform Engineer</v>
      </c>
      <c r="C2655" s="7" t="str">
        <f>IFERROR(__xludf.DUMMYFUNCTION("""COMPUTED_VALUE"""),"S175")</f>
        <v>S175</v>
      </c>
      <c r="D2655" s="7" t="str">
        <f>IFERROR(__xludf.DUMMYFUNCTION("""COMPUTED_VALUE"""),"Microsoft Azure Cloud Services")</f>
        <v>Microsoft Azure Cloud Services</v>
      </c>
    </row>
    <row r="2656">
      <c r="A2656" s="7" t="str">
        <f>IFERROR(__xludf.DUMMYFUNCTION("""COMPUTED_VALUE"""),"R60")</f>
        <v>R60</v>
      </c>
      <c r="B2656" s="7" t="str">
        <f>IFERROR(__xludf.DUMMYFUNCTION("""COMPUTED_VALUE"""),"Platform Engineer")</f>
        <v>Platform Engineer</v>
      </c>
      <c r="C2656" s="7" t="str">
        <f>IFERROR(__xludf.DUMMYFUNCTION("""COMPUTED_VALUE"""),"S176")</f>
        <v>S176</v>
      </c>
      <c r="D2656" s="7" t="str">
        <f>IFERROR(__xludf.DUMMYFUNCTION("""COMPUTED_VALUE"""),"Google Cloud Platform (GCP) Services")</f>
        <v>Google Cloud Platform (GCP) Services</v>
      </c>
    </row>
    <row r="2657">
      <c r="A2657" s="7" t="str">
        <f>IFERROR(__xludf.DUMMYFUNCTION("""COMPUTED_VALUE"""),"R60")</f>
        <v>R60</v>
      </c>
      <c r="B2657" s="7" t="str">
        <f>IFERROR(__xludf.DUMMYFUNCTION("""COMPUTED_VALUE"""),"Platform Engineer")</f>
        <v>Platform Engineer</v>
      </c>
      <c r="C2657" s="7" t="str">
        <f>IFERROR(__xludf.DUMMYFUNCTION("""COMPUTED_VALUE"""),"S177")</f>
        <v>S177</v>
      </c>
      <c r="D2657" s="7" t="str">
        <f>IFERROR(__xludf.DUMMYFUNCTION("""COMPUTED_VALUE"""),"Serverless Computing (AWS Lambda, Cloud Functions)")</f>
        <v>Serverless Computing (AWS Lambda, Cloud Functions)</v>
      </c>
    </row>
    <row r="2658">
      <c r="A2658" s="7" t="str">
        <f>IFERROR(__xludf.DUMMYFUNCTION("""COMPUTED_VALUE"""),"R60")</f>
        <v>R60</v>
      </c>
      <c r="B2658" s="7" t="str">
        <f>IFERROR(__xludf.DUMMYFUNCTION("""COMPUTED_VALUE"""),"Platform Engineer")</f>
        <v>Platform Engineer</v>
      </c>
      <c r="C2658" s="7" t="str">
        <f>IFERROR(__xludf.DUMMYFUNCTION("""COMPUTED_VALUE"""),"S178")</f>
        <v>S178</v>
      </c>
      <c r="D2658" s="7" t="str">
        <f>IFERROR(__xludf.DUMMYFUNCTION("""COMPUTED_VALUE"""),"Infrastructure as Code (Terraform &amp; OpenTofu)")</f>
        <v>Infrastructure as Code (Terraform &amp; OpenTofu)</v>
      </c>
    </row>
    <row r="2659">
      <c r="A2659" s="7" t="str">
        <f>IFERROR(__xludf.DUMMYFUNCTION("""COMPUTED_VALUE"""),"R60")</f>
        <v>R60</v>
      </c>
      <c r="B2659" s="7" t="str">
        <f>IFERROR(__xludf.DUMMYFUNCTION("""COMPUTED_VALUE"""),"Platform Engineer")</f>
        <v>Platform Engineer</v>
      </c>
      <c r="C2659" s="7" t="str">
        <f>IFERROR(__xludf.DUMMYFUNCTION("""COMPUTED_VALUE"""),"S179")</f>
        <v>S179</v>
      </c>
      <c r="D2659" s="7" t="str">
        <f>IFERROR(__xludf.DUMMYFUNCTION("""COMPUTED_VALUE"""),"Configuration Management (Ansible, Chef, Puppet)")</f>
        <v>Configuration Management (Ansible, Chef, Puppet)</v>
      </c>
    </row>
    <row r="2660">
      <c r="A2660" s="7" t="str">
        <f>IFERROR(__xludf.DUMMYFUNCTION("""COMPUTED_VALUE"""),"R60")</f>
        <v>R60</v>
      </c>
      <c r="B2660" s="7" t="str">
        <f>IFERROR(__xludf.DUMMYFUNCTION("""COMPUTED_VALUE"""),"Platform Engineer")</f>
        <v>Platform Engineer</v>
      </c>
      <c r="C2660" s="7" t="str">
        <f>IFERROR(__xludf.DUMMYFUNCTION("""COMPUTED_VALUE"""),"S180")</f>
        <v>S180</v>
      </c>
      <c r="D2660" s="7" t="str">
        <f>IFERROR(__xludf.DUMMYFUNCTION("""COMPUTED_VALUE"""),"CI/CD Pipelines with GitHub Actions")</f>
        <v>CI/CD Pipelines with GitHub Actions</v>
      </c>
    </row>
    <row r="2661">
      <c r="A2661" s="7" t="str">
        <f>IFERROR(__xludf.DUMMYFUNCTION("""COMPUTED_VALUE"""),"R60")</f>
        <v>R60</v>
      </c>
      <c r="B2661" s="7" t="str">
        <f>IFERROR(__xludf.DUMMYFUNCTION("""COMPUTED_VALUE"""),"Platform Engineer")</f>
        <v>Platform Engineer</v>
      </c>
      <c r="C2661" s="7" t="str">
        <f>IFERROR(__xludf.DUMMYFUNCTION("""COMPUTED_VALUE"""),"S181")</f>
        <v>S181</v>
      </c>
      <c r="D2661" s="7" t="str">
        <f>IFERROR(__xludf.DUMMYFUNCTION("""COMPUTED_VALUE"""),"CI/CD Automation with GitLab CI &amp; Jenkins")</f>
        <v>CI/CD Automation with GitLab CI &amp; Jenkins</v>
      </c>
    </row>
    <row r="2662">
      <c r="A2662" s="7" t="str">
        <f>IFERROR(__xludf.DUMMYFUNCTION("""COMPUTED_VALUE"""),"R60")</f>
        <v>R60</v>
      </c>
      <c r="B2662" s="7" t="str">
        <f>IFERROR(__xludf.DUMMYFUNCTION("""COMPUTED_VALUE"""),"Platform Engineer")</f>
        <v>Platform Engineer</v>
      </c>
      <c r="C2662" s="7" t="str">
        <f>IFERROR(__xludf.DUMMYFUNCTION("""COMPUTED_VALUE"""),"S182")</f>
        <v>S182</v>
      </c>
      <c r="D2662" s="7" t="str">
        <f>IFERROR(__xludf.DUMMYFUNCTION("""COMPUTED_VALUE"""),"GitOps &amp; Continuous Delivery (ArgoCD, Flux)")</f>
        <v>GitOps &amp; Continuous Delivery (ArgoCD, Flux)</v>
      </c>
    </row>
    <row r="2663">
      <c r="A2663" s="7" t="str">
        <f>IFERROR(__xludf.DUMMYFUNCTION("""COMPUTED_VALUE"""),"R60")</f>
        <v>R60</v>
      </c>
      <c r="B2663" s="7" t="str">
        <f>IFERROR(__xludf.DUMMYFUNCTION("""COMPUTED_VALUE"""),"Platform Engineer")</f>
        <v>Platform Engineer</v>
      </c>
      <c r="C2663" s="7" t="str">
        <f>IFERROR(__xludf.DUMMYFUNCTION("""COMPUTED_VALUE"""),"S183")</f>
        <v>S183</v>
      </c>
      <c r="D2663" s="7" t="str">
        <f>IFERROR(__xludf.DUMMYFUNCTION("""COMPUTED_VALUE"""),"Web Servers, Reverse Proxy &amp; Load Balancing (Nginx, HAProxy)")</f>
        <v>Web Servers, Reverse Proxy &amp; Load Balancing (Nginx, HAProxy)</v>
      </c>
    </row>
    <row r="2664">
      <c r="A2664" s="7" t="str">
        <f>IFERROR(__xludf.DUMMYFUNCTION("""COMPUTED_VALUE"""),"R60")</f>
        <v>R60</v>
      </c>
      <c r="B2664" s="7" t="str">
        <f>IFERROR(__xludf.DUMMYFUNCTION("""COMPUTED_VALUE"""),"Platform Engineer")</f>
        <v>Platform Engineer</v>
      </c>
      <c r="C2664" s="7" t="str">
        <f>IFERROR(__xludf.DUMMYFUNCTION("""COMPUTED_VALUE"""),"S184")</f>
        <v>S184</v>
      </c>
      <c r="D2664" s="7" t="str">
        <f>IFERROR(__xludf.DUMMYFUNCTION("""COMPUTED_VALUE"""),"Infrastructure &amp; Metrics Monitoring (Prometheus &amp; Grafana)")</f>
        <v>Infrastructure &amp; Metrics Monitoring (Prometheus &amp; Grafana)</v>
      </c>
    </row>
    <row r="2665">
      <c r="A2665" s="7" t="str">
        <f>IFERROR(__xludf.DUMMYFUNCTION("""COMPUTED_VALUE"""),"R60")</f>
        <v>R60</v>
      </c>
      <c r="B2665" s="7" t="str">
        <f>IFERROR(__xludf.DUMMYFUNCTION("""COMPUTED_VALUE"""),"Platform Engineer")</f>
        <v>Platform Engineer</v>
      </c>
      <c r="C2665" s="7" t="str">
        <f>IFERROR(__xludf.DUMMYFUNCTION("""COMPUTED_VALUE"""),"S185")</f>
        <v>S185</v>
      </c>
      <c r="D2665" s="7" t="str">
        <f>IFERROR(__xludf.DUMMYFUNCTION("""COMPUTED_VALUE"""),"Centralized Logging &amp; Observability (ELK Stack, OpenTelemetry, Datadog)")</f>
        <v>Centralized Logging &amp; Observability (ELK Stack, OpenTelemetry, Datadog)</v>
      </c>
    </row>
    <row r="2666">
      <c r="A2666" s="7" t="str">
        <f>IFERROR(__xludf.DUMMYFUNCTION("""COMPUTED_VALUE"""),"R60")</f>
        <v>R60</v>
      </c>
      <c r="B2666" s="7" t="str">
        <f>IFERROR(__xludf.DUMMYFUNCTION("""COMPUTED_VALUE"""),"Platform Engineer")</f>
        <v>Platform Engineer</v>
      </c>
      <c r="C2666" s="7" t="str">
        <f>IFERROR(__xludf.DUMMYFUNCTION("""COMPUTED_VALUE"""),"S186")</f>
        <v>S186</v>
      </c>
      <c r="D2666" s="7" t="str">
        <f>IFERROR(__xludf.DUMMYFUNCTION("""COMPUTED_VALUE"""),"Site Reliability Engineering (SLIs, SLOs, SLAs &amp; Error Budgets)")</f>
        <v>Site Reliability Engineering (SLIs, SLOs, SLAs &amp; Error Budgets)</v>
      </c>
    </row>
    <row r="2667">
      <c r="A2667" s="7" t="str">
        <f>IFERROR(__xludf.DUMMYFUNCTION("""COMPUTED_VALUE"""),"R60")</f>
        <v>R60</v>
      </c>
      <c r="B2667" s="7" t="str">
        <f>IFERROR(__xludf.DUMMYFUNCTION("""COMPUTED_VALUE"""),"Platform Engineer")</f>
        <v>Platform Engineer</v>
      </c>
      <c r="C2667" s="7" t="str">
        <f>IFERROR(__xludf.DUMMYFUNCTION("""COMPUTED_VALUE"""),"S188")</f>
        <v>S188</v>
      </c>
      <c r="D2667" s="7" t="str">
        <f>IFERROR(__xludf.DUMMYFUNCTION("""COMPUTED_VALUE"""),"High Availability, Failover &amp; Disaster Recovery")</f>
        <v>High Availability, Failover &amp; Disaster Recovery</v>
      </c>
    </row>
    <row r="2668">
      <c r="A2668" s="7" t="str">
        <f>IFERROR(__xludf.DUMMYFUNCTION("""COMPUTED_VALUE"""),"R60")</f>
        <v>R60</v>
      </c>
      <c r="B2668" s="7" t="str">
        <f>IFERROR(__xludf.DUMMYFUNCTION("""COMPUTED_VALUE"""),"Platform Engineer")</f>
        <v>Platform Engineer</v>
      </c>
      <c r="C2668" s="7" t="str">
        <f>IFERROR(__xludf.DUMMYFUNCTION("""COMPUTED_VALUE"""),"S189")</f>
        <v>S189</v>
      </c>
      <c r="D2668" s="7" t="str">
        <f>IFERROR(__xludf.DUMMYFUNCTION("""COMPUTED_VALUE"""),"Cloud FinOps &amp; Cost Optimization")</f>
        <v>Cloud FinOps &amp; Cost Optimization</v>
      </c>
    </row>
    <row r="2669">
      <c r="A2669" s="7" t="str">
        <f>IFERROR(__xludf.DUMMYFUNCTION("""COMPUTED_VALUE"""),"R60")</f>
        <v>R60</v>
      </c>
      <c r="B2669" s="7" t="str">
        <f>IFERROR(__xludf.DUMMYFUNCTION("""COMPUTED_VALUE"""),"Platform Engineer")</f>
        <v>Platform Engineer</v>
      </c>
      <c r="C2669" s="7" t="str">
        <f>IFERROR(__xludf.DUMMYFUNCTION("""COMPUTED_VALUE"""),"S190")</f>
        <v>S190</v>
      </c>
      <c r="D2669" s="7" t="str">
        <f>IFERROR(__xludf.DUMMYFUNCTION("""COMPUTED_VALUE"""),"Internal Developer Platforms (IDP &amp; Backstage)")</f>
        <v>Internal Developer Platforms (IDP &amp; Backstage)</v>
      </c>
    </row>
    <row r="2670">
      <c r="A2670" s="7" t="str">
        <f>IFERROR(__xludf.DUMMYFUNCTION("""COMPUTED_VALUE"""),"R60")</f>
        <v>R60</v>
      </c>
      <c r="B2670" s="7" t="str">
        <f>IFERROR(__xludf.DUMMYFUNCTION("""COMPUTED_VALUE"""),"Platform Engineer")</f>
        <v>Platform Engineer</v>
      </c>
      <c r="C2670" s="7" t="str">
        <f>IFERROR(__xludf.DUMMYFUNCTION("""COMPUTED_VALUE"""),"S191")</f>
        <v>S191</v>
      </c>
      <c r="D2670" s="7" t="str">
        <f>IFERROR(__xludf.DUMMYFUNCTION("""COMPUTED_VALUE"""),"Enterprise Linux System Administration (RHEL, Ubuntu, systemd)")</f>
        <v>Enterprise Linux System Administration (RHEL, Ubuntu, systemd)</v>
      </c>
    </row>
    <row r="2671">
      <c r="A2671" s="7" t="str">
        <f>IFERROR(__xludf.DUMMYFUNCTION("""COMPUTED_VALUE"""),"R60")</f>
        <v>R60</v>
      </c>
      <c r="B2671" s="7" t="str">
        <f>IFERROR(__xludf.DUMMYFUNCTION("""COMPUTED_VALUE"""),"Platform Engineer")</f>
        <v>Platform Engineer</v>
      </c>
      <c r="C2671" s="7" t="str">
        <f>IFERROR(__xludf.DUMMYFUNCTION("""COMPUTED_VALUE"""),"S194")</f>
        <v>S194</v>
      </c>
      <c r="D2671" s="7" t="str">
        <f>IFERROR(__xludf.DUMMYFUNCTION("""COMPUTED_VALUE"""),"TCP/IP Networking, Subnetting, VLANs &amp; VPNs")</f>
        <v>TCP/IP Networking, Subnetting, VLANs &amp; VPNs</v>
      </c>
    </row>
    <row r="2672">
      <c r="A2672" s="7" t="str">
        <f>IFERROR(__xludf.DUMMYFUNCTION("""COMPUTED_VALUE"""),"R60")</f>
        <v>R60</v>
      </c>
      <c r="B2672" s="7" t="str">
        <f>IFERROR(__xludf.DUMMYFUNCTION("""COMPUTED_VALUE"""),"Platform Engineer")</f>
        <v>Platform Engineer</v>
      </c>
      <c r="C2672" s="7" t="str">
        <f>IFERROR(__xludf.DUMMYFUNCTION("""COMPUTED_VALUE"""),"S210")</f>
        <v>S210</v>
      </c>
      <c r="D2672" s="7" t="str">
        <f>IFERROR(__xludf.DUMMYFUNCTION("""COMPUTED_VALUE"""),"Enterprise Identity &amp; Access Management (IAM, Okta, Entra ID, Keycloak)")</f>
        <v>Enterprise Identity &amp; Access Management (IAM, Okta, Entra ID, Keycloak)</v>
      </c>
    </row>
    <row r="2673">
      <c r="A2673" s="7" t="str">
        <f>IFERROR(__xludf.DUMMYFUNCTION("""COMPUTED_VALUE"""),"R60")</f>
        <v>R60</v>
      </c>
      <c r="B2673" s="7" t="str">
        <f>IFERROR(__xludf.DUMMYFUNCTION("""COMPUTED_VALUE"""),"Platform Engineer")</f>
        <v>Platform Engineer</v>
      </c>
      <c r="C2673" s="7" t="str">
        <f>IFERROR(__xludf.DUMMYFUNCTION("""COMPUTED_VALUE"""),"S211")</f>
        <v>S211</v>
      </c>
      <c r="D2673" s="7" t="str">
        <f>IFERROR(__xludf.DUMMYFUNCTION("""COMPUTED_VALUE"""),"Zero Trust Network Architecture")</f>
        <v>Zero Trust Network Architecture</v>
      </c>
    </row>
    <row r="2674">
      <c r="A2674" s="7" t="str">
        <f>IFERROR(__xludf.DUMMYFUNCTION("""COMPUTED_VALUE"""),"R60")</f>
        <v>R60</v>
      </c>
      <c r="B2674" s="7" t="str">
        <f>IFERROR(__xludf.DUMMYFUNCTION("""COMPUTED_VALUE"""),"Platform Engineer")</f>
        <v>Platform Engineer</v>
      </c>
      <c r="C2674" s="7" t="str">
        <f>IFERROR(__xludf.DUMMYFUNCTION("""COMPUTED_VALUE"""),"S212")</f>
        <v>S212</v>
      </c>
      <c r="D2674" s="7" t="str">
        <f>IFERROR(__xludf.DUMMYFUNCTION("""COMPUTED_VALUE"""),"Cloud Security Posture Management (AWS/Azure Security, CSPM)")</f>
        <v>Cloud Security Posture Management (AWS/Azure Security, CSPM)</v>
      </c>
    </row>
    <row r="2675">
      <c r="A2675" s="7" t="str">
        <f>IFERROR(__xludf.DUMMYFUNCTION("""COMPUTED_VALUE"""),"R60")</f>
        <v>R60</v>
      </c>
      <c r="B2675" s="7" t="str">
        <f>IFERROR(__xludf.DUMMYFUNCTION("""COMPUTED_VALUE"""),"Platform Engineer")</f>
        <v>Platform Engineer</v>
      </c>
      <c r="C2675" s="7" t="str">
        <f>IFERROR(__xludf.DUMMYFUNCTION("""COMPUTED_VALUE"""),"S213")</f>
        <v>S213</v>
      </c>
      <c r="D2675" s="7" t="str">
        <f>IFERROR(__xludf.DUMMYFUNCTION("""COMPUTED_VALUE"""),"Container &amp; Kubernetes Security (Trivy, Falco, RBAC)")</f>
        <v>Container &amp; Kubernetes Security (Trivy, Falco, RBAC)</v>
      </c>
    </row>
    <row r="2676">
      <c r="A2676" s="7" t="str">
        <f>IFERROR(__xludf.DUMMYFUNCTION("""COMPUTED_VALUE"""),"R60")</f>
        <v>R60</v>
      </c>
      <c r="B2676" s="7" t="str">
        <f>IFERROR(__xludf.DUMMYFUNCTION("""COMPUTED_VALUE"""),"Platform Engineer")</f>
        <v>Platform Engineer</v>
      </c>
      <c r="C2676" s="7" t="str">
        <f>IFERROR(__xludf.DUMMYFUNCTION("""COMPUTED_VALUE"""),"S214")</f>
        <v>S214</v>
      </c>
      <c r="D2676" s="7" t="str">
        <f>IFERROR(__xludf.DUMMYFUNCTION("""COMPUTED_VALUE"""),"DevSecOps &amp; Automated Security Scanning (SAST, DAST, SCA: SonarQube, Snyk)")</f>
        <v>DevSecOps &amp; Automated Security Scanning (SAST, DAST, SCA: SonarQube, Snyk)</v>
      </c>
    </row>
    <row r="2677">
      <c r="A2677" s="7" t="str">
        <f>IFERROR(__xludf.DUMMYFUNCTION("""COMPUTED_VALUE"""),"R60")</f>
        <v>R60</v>
      </c>
      <c r="B2677" s="7" t="str">
        <f>IFERROR(__xludf.DUMMYFUNCTION("""COMPUTED_VALUE"""),"Platform Engineer")</f>
        <v>Platform Engineer</v>
      </c>
      <c r="C2677" s="7" t="str">
        <f>IFERROR(__xludf.DUMMYFUNCTION("""COMPUTED_VALUE"""),"S215")</f>
        <v>S215</v>
      </c>
      <c r="D2677" s="7" t="str">
        <f>IFERROR(__xludf.DUMMYFUNCTION("""COMPUTED_VALUE"""),"Secrets Management (HashiCorp Vault, AWS Secrets Manager)")</f>
        <v>Secrets Management (HashiCorp Vault, AWS Secrets Manager)</v>
      </c>
    </row>
    <row r="2678">
      <c r="A2678" s="7" t="str">
        <f>IFERROR(__xludf.DUMMYFUNCTION("""COMPUTED_VALUE"""),"R60")</f>
        <v>R60</v>
      </c>
      <c r="B2678" s="7" t="str">
        <f>IFERROR(__xludf.DUMMYFUNCTION("""COMPUTED_VALUE"""),"Platform Engineer")</f>
        <v>Platform Engineer</v>
      </c>
      <c r="C2678" s="7" t="str">
        <f>IFERROR(__xludf.DUMMYFUNCTION("""COMPUTED_VALUE"""),"S243")</f>
        <v>S243</v>
      </c>
      <c r="D2678" s="7" t="str">
        <f>IFERROR(__xludf.DUMMYFUNCTION("""COMPUTED_VALUE"""),"Large-Scale System Design &amp; High-Scalability Architecture")</f>
        <v>Large-Scale System Design &amp; High-Scalability Architecture</v>
      </c>
    </row>
    <row r="2679">
      <c r="A2679" s="7" t="str">
        <f>IFERROR(__xludf.DUMMYFUNCTION("""COMPUTED_VALUE"""),"R60")</f>
        <v>R60</v>
      </c>
      <c r="B2679" s="7" t="str">
        <f>IFERROR(__xludf.DUMMYFUNCTION("""COMPUTED_VALUE"""),"Platform Engineer")</f>
        <v>Platform Engineer</v>
      </c>
      <c r="C2679" s="7" t="str">
        <f>IFERROR(__xludf.DUMMYFUNCTION("""COMPUTED_VALUE"""),"S244")</f>
        <v>S244</v>
      </c>
      <c r="D2679" s="7" t="str">
        <f>IFERROR(__xludf.DUMMYFUNCTION("""COMPUTED_VALUE"""),"Distributed Systems Theory (CAP Theorem, Consensus, Raft/Paxos)")</f>
        <v>Distributed Systems Theory (CAP Theorem, Consensus, Raft/Paxos)</v>
      </c>
    </row>
    <row r="2680">
      <c r="A2680" s="7" t="str">
        <f>IFERROR(__xludf.DUMMYFUNCTION("""COMPUTED_VALUE"""),"R60")</f>
        <v>R60</v>
      </c>
      <c r="B2680" s="7" t="str">
        <f>IFERROR(__xludf.DUMMYFUNCTION("""COMPUTED_VALUE"""),"Platform Engineer")</f>
        <v>Platform Engineer</v>
      </c>
      <c r="C2680" s="7" t="str">
        <f>IFERROR(__xludf.DUMMYFUNCTION("""COMPUTED_VALUE"""),"S246")</f>
        <v>S246</v>
      </c>
      <c r="D2680" s="7" t="str">
        <f>IFERROR(__xludf.DUMMYFUNCTION("""COMPUTED_VALUE"""),"Agile Methodologies, Scrum Framework &amp; Kanban")</f>
        <v>Agile Methodologies, Scrum Framework &amp; Kanban</v>
      </c>
    </row>
    <row r="2681">
      <c r="A2681" s="7" t="str">
        <f>IFERROR(__xludf.DUMMYFUNCTION("""COMPUTED_VALUE"""),"R60")</f>
        <v>R60</v>
      </c>
      <c r="B2681" s="7" t="str">
        <f>IFERROR(__xludf.DUMMYFUNCTION("""COMPUTED_VALUE"""),"Platform Engineer")</f>
        <v>Platform Engineer</v>
      </c>
      <c r="C2681" s="7" t="str">
        <f>IFERROR(__xludf.DUMMYFUNCTION("""COMPUTED_VALUE"""),"S247")</f>
        <v>S247</v>
      </c>
      <c r="D2681" s="7" t="str">
        <f>IFERROR(__xludf.DUMMYFUNCTION("""COMPUTED_VALUE"""),"Project Tracking &amp; Documentation Tools (Jira, Confluence, Linear)")</f>
        <v>Project Tracking &amp; Documentation Tools (Jira, Confluence, Linear)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IFERROR(__xludf.DUMMYFUNCTION("LET(skills, Skills!A2:E251, sID, INDEX(skills,,1), sName, INDEX(skills,,2), sCat, INDEX(skills,,3), sTier, INDEX(skills,,4), foundational, FILTER(skills, sTier=""Foundation""), intermediate, FILTER(skills, sTier=""Intermediate""), advanced, FILTER(skills,"&amp;" sTier=""Advanced""), crossCat1, REDUCE({"""","""","""","""",""""}, UNIQUE(sCat), LAMBDA(acc, c, LET(f, IFERROR(FILTER(foundational, INDEX(foundational,,3)=c), NA()), i, IFERROR(FILTER(intermediate, INDEX(intermediate,,3)=c), NA()), IF(OR(ISNA(INDEX(f,1,1"&amp;")), ISNA(INDEX(i,1,1))), acc, VSTACK(acc, LET(fID, INDEX(f,,1), fName, INDEX(f,,2), iID, INDEX(i,,1), iName, INDEX(i,,2), fID_mat, TOCOL(ARRAYFORMULA(fID &amp; IF(SEQUENCE(1, ROWS(i), 1, 0), """")), 2), fName_mat, TOCOL(ARRAYFORMULA(fName &amp; IF(SEQUENCE(1, ROW"&amp;"S(i), 1, 0), """")), 2), iID_mat, TOCOL(ARRAYFORMULA(IF(SEQUENCE(ROWS(f), 1, 1, 0), """") &amp; TRANSPOSE(iID)), 2), iName_mat, TOCOL(ARRAYFORMULA(IF(SEQUENCE(ROWS(f), 1, 1, 0), """") &amp; TRANSPOSE(iName)), 2), HSTACK(fID_mat, fName_mat, iID_mat, iName_mat, ARR"&amp;"AYFORMULA(fID_mat &amp; "" unlocks "" &amp; iID_mat)))))))), crossCat2, REDUCE({"""","""","""","""",""""}, UNIQUE(sCat), LAMBDA(acc, c, LET(i, IFERROR(FILTER(intermediate, INDEX(intermediate,,3)=c), NA()), a, IFERROR(FILTER(advanced, INDEX(advanced,,3)=c), NA()),"&amp;" IF(OR(ISNA(INDEX(i,1,1)), ISNA(INDEX(a,1,1))), acc, VSTACK(acc, LET(iID, INDEX(i,,1), iName, INDEX(i,,2), aID, INDEX(a,,1), aName, INDEX(a,,2), iID_mat, TOCOL(ARRAYFORMULA(iID &amp; IF(SEQUENCE(1, ROWS(a), 1, 0), """")), 2), iName_mat, TOCOL(ARRAYFORMULA(iNa"&amp;"me &amp; IF(SEQUENCE(1, ROWS(a), 1, 0), """")), 2), aID_mat, TOCOL(ARRAYFORMULA(IF(SEQUENCE(ROWS(i), 1, 1, 0), """") &amp; TRANSPOSE(aID)), 2), aName_mat, TOCOL(ARRAYFORMULA(IF(SEQUENCE(ROWS(i), 1, 1, 0), """") &amp; TRANSPOSE(aName)), 2), HSTACK(iID_mat, iName_mat, "&amp;"aID_mat, aName_mat, ARRAYFORMULA(iID_mat &amp; "" unlocks "" &amp; aID_mat)))))))), combined, FILTER(VSTACK(crossCat1, crossCat2), INDEX(VSTACK(crossCat1, crossCat2),,1)&lt;&gt;""""), edgeIDs, MAP(SEQUENCE(ROWS(combined)), LAMBDA(x, ""PE"" &amp; TEXT(x, ""0000""))), VSTACK"&amp;"({""Prereq Edge ID"", ""Prerequisite Skill ID"", ""Prerequisite Skill Name"", ""Unlocks Skill ID"", ""Unlocks Skill Name"", ""Progression Path""}, HSTACK(edgeIDs, combined)))"),"Prereq Edge ID")</f>
        <v>Prereq Edge ID</v>
      </c>
      <c r="B1" s="7" t="str">
        <f>IFERROR(__xludf.DUMMYFUNCTION("""COMPUTED_VALUE"""),"Prerequisite Skill ID")</f>
        <v>Prerequisite Skill ID</v>
      </c>
      <c r="C1" s="7" t="str">
        <f>IFERROR(__xludf.DUMMYFUNCTION("""COMPUTED_VALUE"""),"Prerequisite Skill Name")</f>
        <v>Prerequisite Skill Name</v>
      </c>
      <c r="D1" s="7" t="str">
        <f>IFERROR(__xludf.DUMMYFUNCTION("""COMPUTED_VALUE"""),"Unlocks Skill ID")</f>
        <v>Unlocks Skill ID</v>
      </c>
      <c r="E1" s="7" t="str">
        <f>IFERROR(__xludf.DUMMYFUNCTION("""COMPUTED_VALUE"""),"Unlocks Skill Name")</f>
        <v>Unlocks Skill Name</v>
      </c>
      <c r="F1" s="7" t="str">
        <f>IFERROR(__xludf.DUMMYFUNCTION("""COMPUTED_VALUE"""),"Progression Path")</f>
        <v>Progression Path</v>
      </c>
    </row>
    <row r="2">
      <c r="A2" s="7" t="str">
        <f>IFERROR(__xludf.DUMMYFUNCTION("""COMPUTED_VALUE"""),"PE0001")</f>
        <v>PE0001</v>
      </c>
      <c r="B2" s="7" t="str">
        <f>IFERROR(__xludf.DUMMYFUNCTION("""COMPUTED_VALUE"""),"S001")</f>
        <v>S001</v>
      </c>
      <c r="C2" s="7" t="str">
        <f>IFERROR(__xludf.DUMMYFUNCTION("""COMPUTED_VALUE"""),"Computer Architecture &amp; Organization")</f>
        <v>Computer Architecture &amp; Organization</v>
      </c>
      <c r="D2" s="7" t="str">
        <f>IFERROR(__xludf.DUMMYFUNCTION("""COMPUTED_VALUE"""),"S003")</f>
        <v>S003</v>
      </c>
      <c r="E2" s="7" t="str">
        <f>IFERROR(__xludf.DUMMYFUNCTION("""COMPUTED_VALUE"""),"Process &amp; Thread Management")</f>
        <v>Process &amp; Thread Management</v>
      </c>
      <c r="F2" s="7" t="str">
        <f>IFERROR(__xludf.DUMMYFUNCTION("""COMPUTED_VALUE"""),"S001 unlocks S003")</f>
        <v>S001 unlocks S003</v>
      </c>
    </row>
    <row r="3">
      <c r="A3" s="7" t="str">
        <f>IFERROR(__xludf.DUMMYFUNCTION("""COMPUTED_VALUE"""),"PE0002")</f>
        <v>PE0002</v>
      </c>
      <c r="B3" s="7" t="str">
        <f>IFERROR(__xludf.DUMMYFUNCTION("""COMPUTED_VALUE"""),"S001")</f>
        <v>S001</v>
      </c>
      <c r="C3" s="7" t="str">
        <f>IFERROR(__xludf.DUMMYFUNCTION("""COMPUTED_VALUE"""),"Computer Architecture &amp; Organization")</f>
        <v>Computer Architecture &amp; Organization</v>
      </c>
      <c r="D3" s="7" t="str">
        <f>IFERROR(__xludf.DUMMYFUNCTION("""COMPUTED_VALUE"""),"S004")</f>
        <v>S004</v>
      </c>
      <c r="E3" s="7" t="str">
        <f>IFERROR(__xludf.DUMMYFUNCTION("""COMPUTED_VALUE"""),"Memory Management &amp; Paging")</f>
        <v>Memory Management &amp; Paging</v>
      </c>
      <c r="F3" s="7" t="str">
        <f>IFERROR(__xludf.DUMMYFUNCTION("""COMPUTED_VALUE"""),"S001 unlocks S004")</f>
        <v>S001 unlocks S004</v>
      </c>
    </row>
    <row r="4">
      <c r="A4" s="7" t="str">
        <f>IFERROR(__xludf.DUMMYFUNCTION("""COMPUTED_VALUE"""),"PE0003")</f>
        <v>PE0003</v>
      </c>
      <c r="B4" s="7" t="str">
        <f>IFERROR(__xludf.DUMMYFUNCTION("""COMPUTED_VALUE"""),"S001")</f>
        <v>S001</v>
      </c>
      <c r="C4" s="7" t="str">
        <f>IFERROR(__xludf.DUMMYFUNCTION("""COMPUTED_VALUE"""),"Computer Architecture &amp; Organization")</f>
        <v>Computer Architecture &amp; Organization</v>
      </c>
      <c r="D4" s="7" t="str">
        <f>IFERROR(__xludf.DUMMYFUNCTION("""COMPUTED_VALUE"""),"S007")</f>
        <v>S007</v>
      </c>
      <c r="E4" s="7" t="str">
        <f>IFERROR(__xludf.DUMMYFUNCTION("""COMPUTED_VALUE"""),"Trees &amp; Binary Search Trees")</f>
        <v>Trees &amp; Binary Search Trees</v>
      </c>
      <c r="F4" s="7" t="str">
        <f>IFERROR(__xludf.DUMMYFUNCTION("""COMPUTED_VALUE"""),"S001 unlocks S007")</f>
        <v>S001 unlocks S007</v>
      </c>
    </row>
    <row r="5">
      <c r="A5" s="7" t="str">
        <f>IFERROR(__xludf.DUMMYFUNCTION("""COMPUTED_VALUE"""),"PE0004")</f>
        <v>PE0004</v>
      </c>
      <c r="B5" s="7" t="str">
        <f>IFERROR(__xludf.DUMMYFUNCTION("""COMPUTED_VALUE"""),"S001")</f>
        <v>S001</v>
      </c>
      <c r="C5" s="7" t="str">
        <f>IFERROR(__xludf.DUMMYFUNCTION("""COMPUTED_VALUE"""),"Computer Architecture &amp; Organization")</f>
        <v>Computer Architecture &amp; Organization</v>
      </c>
      <c r="D5" s="7" t="str">
        <f>IFERROR(__xludf.DUMMYFUNCTION("""COMPUTED_VALUE"""),"S008")</f>
        <v>S008</v>
      </c>
      <c r="E5" s="7" t="str">
        <f>IFERROR(__xludf.DUMMYFUNCTION("""COMPUTED_VALUE"""),"Heaps, Priority Queues &amp; Hashing")</f>
        <v>Heaps, Priority Queues &amp; Hashing</v>
      </c>
      <c r="F5" s="7" t="str">
        <f>IFERROR(__xludf.DUMMYFUNCTION("""COMPUTED_VALUE"""),"S001 unlocks S008")</f>
        <v>S001 unlocks S008</v>
      </c>
    </row>
    <row r="6">
      <c r="A6" s="7" t="str">
        <f>IFERROR(__xludf.DUMMYFUNCTION("""COMPUTED_VALUE"""),"PE0005")</f>
        <v>PE0005</v>
      </c>
      <c r="B6" s="7" t="str">
        <f>IFERROR(__xludf.DUMMYFUNCTION("""COMPUTED_VALUE"""),"S001")</f>
        <v>S001</v>
      </c>
      <c r="C6" s="7" t="str">
        <f>IFERROR(__xludf.DUMMYFUNCTION("""COMPUTED_VALUE"""),"Computer Architecture &amp; Organization")</f>
        <v>Computer Architecture &amp; Organization</v>
      </c>
      <c r="D6" s="7" t="str">
        <f>IFERROR(__xludf.DUMMYFUNCTION("""COMPUTED_VALUE"""),"S009")</f>
        <v>S009</v>
      </c>
      <c r="E6" s="7" t="str">
        <f>IFERROR(__xludf.DUMMYFUNCTION("""COMPUTED_VALUE"""),"Graphs &amp; Graph Traversal (BFS/DFS)")</f>
        <v>Graphs &amp; Graph Traversal (BFS/DFS)</v>
      </c>
      <c r="F6" s="7" t="str">
        <f>IFERROR(__xludf.DUMMYFUNCTION("""COMPUTED_VALUE"""),"S001 unlocks S009")</f>
        <v>S001 unlocks S009</v>
      </c>
    </row>
    <row r="7">
      <c r="A7" s="7" t="str">
        <f>IFERROR(__xludf.DUMMYFUNCTION("""COMPUTED_VALUE"""),"PE0006")</f>
        <v>PE0006</v>
      </c>
      <c r="B7" s="7" t="str">
        <f>IFERROR(__xludf.DUMMYFUNCTION("""COMPUTED_VALUE"""),"S001")</f>
        <v>S001</v>
      </c>
      <c r="C7" s="7" t="str">
        <f>IFERROR(__xludf.DUMMYFUNCTION("""COMPUTED_VALUE"""),"Computer Architecture &amp; Organization")</f>
        <v>Computer Architecture &amp; Organization</v>
      </c>
      <c r="D7" s="7" t="str">
        <f>IFERROR(__xludf.DUMMYFUNCTION("""COMPUTED_VALUE"""),"S014")</f>
        <v>S014</v>
      </c>
      <c r="E7" s="7" t="str">
        <f>IFERROR(__xludf.DUMMYFUNCTION("""COMPUTED_VALUE"""),"Functional Programming Concepts")</f>
        <v>Functional Programming Concepts</v>
      </c>
      <c r="F7" s="7" t="str">
        <f>IFERROR(__xludf.DUMMYFUNCTION("""COMPUTED_VALUE"""),"S001 unlocks S014")</f>
        <v>S001 unlocks S014</v>
      </c>
    </row>
    <row r="8">
      <c r="A8" s="7" t="str">
        <f>IFERROR(__xludf.DUMMYFUNCTION("""COMPUTED_VALUE"""),"PE0007")</f>
        <v>PE0007</v>
      </c>
      <c r="B8" s="7" t="str">
        <f>IFERROR(__xludf.DUMMYFUNCTION("""COMPUTED_VALUE"""),"S001")</f>
        <v>S001</v>
      </c>
      <c r="C8" s="7" t="str">
        <f>IFERROR(__xludf.DUMMYFUNCTION("""COMPUTED_VALUE"""),"Computer Architecture &amp; Organization")</f>
        <v>Computer Architecture &amp; Organization</v>
      </c>
      <c r="D8" s="7" t="str">
        <f>IFERROR(__xludf.DUMMYFUNCTION("""COMPUTED_VALUE"""),"S016")</f>
        <v>S016</v>
      </c>
      <c r="E8" s="7" t="str">
        <f>IFERROR(__xludf.DUMMYFUNCTION("""COMPUTED_VALUE"""),"SOLID Principles &amp; Clean Code")</f>
        <v>SOLID Principles &amp; Clean Code</v>
      </c>
      <c r="F8" s="7" t="str">
        <f>IFERROR(__xludf.DUMMYFUNCTION("""COMPUTED_VALUE"""),"S001 unlocks S016")</f>
        <v>S001 unlocks S016</v>
      </c>
    </row>
    <row r="9">
      <c r="A9" s="7" t="str">
        <f>IFERROR(__xludf.DUMMYFUNCTION("""COMPUTED_VALUE"""),"PE0008")</f>
        <v>PE0008</v>
      </c>
      <c r="B9" s="7" t="str">
        <f>IFERROR(__xludf.DUMMYFUNCTION("""COMPUTED_VALUE"""),"S001")</f>
        <v>S001</v>
      </c>
      <c r="C9" s="7" t="str">
        <f>IFERROR(__xludf.DUMMYFUNCTION("""COMPUTED_VALUE"""),"Computer Architecture &amp; Organization")</f>
        <v>Computer Architecture &amp; Organization</v>
      </c>
      <c r="D9" s="7" t="str">
        <f>IFERROR(__xludf.DUMMYFUNCTION("""COMPUTED_VALUE"""),"S020")</f>
        <v>S020</v>
      </c>
      <c r="E9" s="7" t="str">
        <f>IFERROR(__xludf.DUMMYFUNCTION("""COMPUTED_VALUE"""),"Bash &amp; Shell Scripting")</f>
        <v>Bash &amp; Shell Scripting</v>
      </c>
      <c r="F9" s="7" t="str">
        <f>IFERROR(__xludf.DUMMYFUNCTION("""COMPUTED_VALUE"""),"S001 unlocks S020")</f>
        <v>S001 unlocks S020</v>
      </c>
    </row>
    <row r="10">
      <c r="A10" s="7" t="str">
        <f>IFERROR(__xludf.DUMMYFUNCTION("""COMPUTED_VALUE"""),"PE0009")</f>
        <v>PE0009</v>
      </c>
      <c r="B10" s="7" t="str">
        <f>IFERROR(__xludf.DUMMYFUNCTION("""COMPUTED_VALUE"""),"S001")</f>
        <v>S001</v>
      </c>
      <c r="C10" s="7" t="str">
        <f>IFERROR(__xludf.DUMMYFUNCTION("""COMPUTED_VALUE"""),"Computer Architecture &amp; Organization")</f>
        <v>Computer Architecture &amp; Organization</v>
      </c>
      <c r="D10" s="7" t="str">
        <f>IFERROR(__xludf.DUMMYFUNCTION("""COMPUTED_VALUE"""),"S021")</f>
        <v>S021</v>
      </c>
      <c r="E10" s="7" t="str">
        <f>IFERROR(__xludf.DUMMYFUNCTION("""COMPUTED_VALUE"""),"PowerShell Scripting")</f>
        <v>PowerShell Scripting</v>
      </c>
      <c r="F10" s="7" t="str">
        <f>IFERROR(__xludf.DUMMYFUNCTION("""COMPUTED_VALUE"""),"S001 unlocks S021")</f>
        <v>S001 unlocks S021</v>
      </c>
    </row>
    <row r="11">
      <c r="A11" s="7" t="str">
        <f>IFERROR(__xludf.DUMMYFUNCTION("""COMPUTED_VALUE"""),"PE0010")</f>
        <v>PE0010</v>
      </c>
      <c r="B11" s="7" t="str">
        <f>IFERROR(__xludf.DUMMYFUNCTION("""COMPUTED_VALUE"""),"S001")</f>
        <v>S001</v>
      </c>
      <c r="C11" s="7" t="str">
        <f>IFERROR(__xludf.DUMMYFUNCTION("""COMPUTED_VALUE"""),"Computer Architecture &amp; Organization")</f>
        <v>Computer Architecture &amp; Organization</v>
      </c>
      <c r="D11" s="7" t="str">
        <f>IFERROR(__xludf.DUMMYFUNCTION("""COMPUTED_VALUE"""),"S024")</f>
        <v>S024</v>
      </c>
      <c r="E11" s="7" t="str">
        <f>IFERROR(__xludf.DUMMYFUNCTION("""COMPUTED_VALUE"""),"DNS, Domain Routing &amp; SSL/TLS")</f>
        <v>DNS, Domain Routing &amp; SSL/TLS</v>
      </c>
      <c r="F11" s="7" t="str">
        <f>IFERROR(__xludf.DUMMYFUNCTION("""COMPUTED_VALUE"""),"S001 unlocks S024")</f>
        <v>S001 unlocks S024</v>
      </c>
    </row>
    <row r="12">
      <c r="A12" s="7" t="str">
        <f>IFERROR(__xludf.DUMMYFUNCTION("""COMPUTED_VALUE"""),"PE0011")</f>
        <v>PE0011</v>
      </c>
      <c r="B12" s="7" t="str">
        <f>IFERROR(__xludf.DUMMYFUNCTION("""COMPUTED_VALUE"""),"S001")</f>
        <v>S001</v>
      </c>
      <c r="C12" s="7" t="str">
        <f>IFERROR(__xludf.DUMMYFUNCTION("""COMPUTED_VALUE"""),"Computer Architecture &amp; Organization")</f>
        <v>Computer Architecture &amp; Organization</v>
      </c>
      <c r="D12" s="7" t="str">
        <f>IFERROR(__xludf.DUMMYFUNCTION("""COMPUTED_VALUE"""),"S029")</f>
        <v>S029</v>
      </c>
      <c r="E12" s="7" t="str">
        <f>IFERROR(__xludf.DUMMYFUNCTION("""COMPUTED_VALUE"""),"Debugging, Profiling &amp; Root Cause Analysis")</f>
        <v>Debugging, Profiling &amp; Root Cause Analysis</v>
      </c>
      <c r="F12" s="7" t="str">
        <f>IFERROR(__xludf.DUMMYFUNCTION("""COMPUTED_VALUE"""),"S001 unlocks S029")</f>
        <v>S001 unlocks S029</v>
      </c>
    </row>
    <row r="13">
      <c r="A13" s="7" t="str">
        <f>IFERROR(__xludf.DUMMYFUNCTION("""COMPUTED_VALUE"""),"PE0012")</f>
        <v>PE0012</v>
      </c>
      <c r="B13" s="7" t="str">
        <f>IFERROR(__xludf.DUMMYFUNCTION("""COMPUTED_VALUE"""),"S002")</f>
        <v>S002</v>
      </c>
      <c r="C13" s="7" t="str">
        <f>IFERROR(__xludf.DUMMYFUNCTION("""COMPUTED_VALUE"""),"Operating Systems Concepts")</f>
        <v>Operating Systems Concepts</v>
      </c>
      <c r="D13" s="7" t="str">
        <f>IFERROR(__xludf.DUMMYFUNCTION("""COMPUTED_VALUE"""),"S003")</f>
        <v>S003</v>
      </c>
      <c r="E13" s="7" t="str">
        <f>IFERROR(__xludf.DUMMYFUNCTION("""COMPUTED_VALUE"""),"Process &amp; Thread Management")</f>
        <v>Process &amp; Thread Management</v>
      </c>
      <c r="F13" s="7" t="str">
        <f>IFERROR(__xludf.DUMMYFUNCTION("""COMPUTED_VALUE"""),"S002 unlocks S003")</f>
        <v>S002 unlocks S003</v>
      </c>
    </row>
    <row r="14">
      <c r="A14" s="7" t="str">
        <f>IFERROR(__xludf.DUMMYFUNCTION("""COMPUTED_VALUE"""),"PE0013")</f>
        <v>PE0013</v>
      </c>
      <c r="B14" s="7" t="str">
        <f>IFERROR(__xludf.DUMMYFUNCTION("""COMPUTED_VALUE"""),"S002")</f>
        <v>S002</v>
      </c>
      <c r="C14" s="7" t="str">
        <f>IFERROR(__xludf.DUMMYFUNCTION("""COMPUTED_VALUE"""),"Operating Systems Concepts")</f>
        <v>Operating Systems Concepts</v>
      </c>
      <c r="D14" s="7" t="str">
        <f>IFERROR(__xludf.DUMMYFUNCTION("""COMPUTED_VALUE"""),"S004")</f>
        <v>S004</v>
      </c>
      <c r="E14" s="7" t="str">
        <f>IFERROR(__xludf.DUMMYFUNCTION("""COMPUTED_VALUE"""),"Memory Management &amp; Paging")</f>
        <v>Memory Management &amp; Paging</v>
      </c>
      <c r="F14" s="7" t="str">
        <f>IFERROR(__xludf.DUMMYFUNCTION("""COMPUTED_VALUE"""),"S002 unlocks S004")</f>
        <v>S002 unlocks S004</v>
      </c>
    </row>
    <row r="15">
      <c r="A15" s="7" t="str">
        <f>IFERROR(__xludf.DUMMYFUNCTION("""COMPUTED_VALUE"""),"PE0014")</f>
        <v>PE0014</v>
      </c>
      <c r="B15" s="7" t="str">
        <f>IFERROR(__xludf.DUMMYFUNCTION("""COMPUTED_VALUE"""),"S002")</f>
        <v>S002</v>
      </c>
      <c r="C15" s="7" t="str">
        <f>IFERROR(__xludf.DUMMYFUNCTION("""COMPUTED_VALUE"""),"Operating Systems Concepts")</f>
        <v>Operating Systems Concepts</v>
      </c>
      <c r="D15" s="7" t="str">
        <f>IFERROR(__xludf.DUMMYFUNCTION("""COMPUTED_VALUE"""),"S007")</f>
        <v>S007</v>
      </c>
      <c r="E15" s="7" t="str">
        <f>IFERROR(__xludf.DUMMYFUNCTION("""COMPUTED_VALUE"""),"Trees &amp; Binary Search Trees")</f>
        <v>Trees &amp; Binary Search Trees</v>
      </c>
      <c r="F15" s="7" t="str">
        <f>IFERROR(__xludf.DUMMYFUNCTION("""COMPUTED_VALUE"""),"S002 unlocks S007")</f>
        <v>S002 unlocks S007</v>
      </c>
    </row>
    <row r="16">
      <c r="A16" s="7" t="str">
        <f>IFERROR(__xludf.DUMMYFUNCTION("""COMPUTED_VALUE"""),"PE0015")</f>
        <v>PE0015</v>
      </c>
      <c r="B16" s="7" t="str">
        <f>IFERROR(__xludf.DUMMYFUNCTION("""COMPUTED_VALUE"""),"S002")</f>
        <v>S002</v>
      </c>
      <c r="C16" s="7" t="str">
        <f>IFERROR(__xludf.DUMMYFUNCTION("""COMPUTED_VALUE"""),"Operating Systems Concepts")</f>
        <v>Operating Systems Concepts</v>
      </c>
      <c r="D16" s="7" t="str">
        <f>IFERROR(__xludf.DUMMYFUNCTION("""COMPUTED_VALUE"""),"S008")</f>
        <v>S008</v>
      </c>
      <c r="E16" s="7" t="str">
        <f>IFERROR(__xludf.DUMMYFUNCTION("""COMPUTED_VALUE"""),"Heaps, Priority Queues &amp; Hashing")</f>
        <v>Heaps, Priority Queues &amp; Hashing</v>
      </c>
      <c r="F16" s="7" t="str">
        <f>IFERROR(__xludf.DUMMYFUNCTION("""COMPUTED_VALUE"""),"S002 unlocks S008")</f>
        <v>S002 unlocks S008</v>
      </c>
    </row>
    <row r="17">
      <c r="A17" s="7" t="str">
        <f>IFERROR(__xludf.DUMMYFUNCTION("""COMPUTED_VALUE"""),"PE0016")</f>
        <v>PE0016</v>
      </c>
      <c r="B17" s="7" t="str">
        <f>IFERROR(__xludf.DUMMYFUNCTION("""COMPUTED_VALUE"""),"S002")</f>
        <v>S002</v>
      </c>
      <c r="C17" s="7" t="str">
        <f>IFERROR(__xludf.DUMMYFUNCTION("""COMPUTED_VALUE"""),"Operating Systems Concepts")</f>
        <v>Operating Systems Concepts</v>
      </c>
      <c r="D17" s="7" t="str">
        <f>IFERROR(__xludf.DUMMYFUNCTION("""COMPUTED_VALUE"""),"S009")</f>
        <v>S009</v>
      </c>
      <c r="E17" s="7" t="str">
        <f>IFERROR(__xludf.DUMMYFUNCTION("""COMPUTED_VALUE"""),"Graphs &amp; Graph Traversal (BFS/DFS)")</f>
        <v>Graphs &amp; Graph Traversal (BFS/DFS)</v>
      </c>
      <c r="F17" s="7" t="str">
        <f>IFERROR(__xludf.DUMMYFUNCTION("""COMPUTED_VALUE"""),"S002 unlocks S009")</f>
        <v>S002 unlocks S009</v>
      </c>
    </row>
    <row r="18">
      <c r="A18" s="7" t="str">
        <f>IFERROR(__xludf.DUMMYFUNCTION("""COMPUTED_VALUE"""),"PE0017")</f>
        <v>PE0017</v>
      </c>
      <c r="B18" s="7" t="str">
        <f>IFERROR(__xludf.DUMMYFUNCTION("""COMPUTED_VALUE"""),"S002")</f>
        <v>S002</v>
      </c>
      <c r="C18" s="7" t="str">
        <f>IFERROR(__xludf.DUMMYFUNCTION("""COMPUTED_VALUE"""),"Operating Systems Concepts")</f>
        <v>Operating Systems Concepts</v>
      </c>
      <c r="D18" s="7" t="str">
        <f>IFERROR(__xludf.DUMMYFUNCTION("""COMPUTED_VALUE"""),"S014")</f>
        <v>S014</v>
      </c>
      <c r="E18" s="7" t="str">
        <f>IFERROR(__xludf.DUMMYFUNCTION("""COMPUTED_VALUE"""),"Functional Programming Concepts")</f>
        <v>Functional Programming Concepts</v>
      </c>
      <c r="F18" s="7" t="str">
        <f>IFERROR(__xludf.DUMMYFUNCTION("""COMPUTED_VALUE"""),"S002 unlocks S014")</f>
        <v>S002 unlocks S014</v>
      </c>
    </row>
    <row r="19">
      <c r="A19" s="7" t="str">
        <f>IFERROR(__xludf.DUMMYFUNCTION("""COMPUTED_VALUE"""),"PE0018")</f>
        <v>PE0018</v>
      </c>
      <c r="B19" s="7" t="str">
        <f>IFERROR(__xludf.DUMMYFUNCTION("""COMPUTED_VALUE"""),"S002")</f>
        <v>S002</v>
      </c>
      <c r="C19" s="7" t="str">
        <f>IFERROR(__xludf.DUMMYFUNCTION("""COMPUTED_VALUE"""),"Operating Systems Concepts")</f>
        <v>Operating Systems Concepts</v>
      </c>
      <c r="D19" s="7" t="str">
        <f>IFERROR(__xludf.DUMMYFUNCTION("""COMPUTED_VALUE"""),"S016")</f>
        <v>S016</v>
      </c>
      <c r="E19" s="7" t="str">
        <f>IFERROR(__xludf.DUMMYFUNCTION("""COMPUTED_VALUE"""),"SOLID Principles &amp; Clean Code")</f>
        <v>SOLID Principles &amp; Clean Code</v>
      </c>
      <c r="F19" s="7" t="str">
        <f>IFERROR(__xludf.DUMMYFUNCTION("""COMPUTED_VALUE"""),"S002 unlocks S016")</f>
        <v>S002 unlocks S016</v>
      </c>
    </row>
    <row r="20">
      <c r="A20" s="7" t="str">
        <f>IFERROR(__xludf.DUMMYFUNCTION("""COMPUTED_VALUE"""),"PE0019")</f>
        <v>PE0019</v>
      </c>
      <c r="B20" s="7" t="str">
        <f>IFERROR(__xludf.DUMMYFUNCTION("""COMPUTED_VALUE"""),"S002")</f>
        <v>S002</v>
      </c>
      <c r="C20" s="7" t="str">
        <f>IFERROR(__xludf.DUMMYFUNCTION("""COMPUTED_VALUE"""),"Operating Systems Concepts")</f>
        <v>Operating Systems Concepts</v>
      </c>
      <c r="D20" s="7" t="str">
        <f>IFERROR(__xludf.DUMMYFUNCTION("""COMPUTED_VALUE"""),"S020")</f>
        <v>S020</v>
      </c>
      <c r="E20" s="7" t="str">
        <f>IFERROR(__xludf.DUMMYFUNCTION("""COMPUTED_VALUE"""),"Bash &amp; Shell Scripting")</f>
        <v>Bash &amp; Shell Scripting</v>
      </c>
      <c r="F20" s="7" t="str">
        <f>IFERROR(__xludf.DUMMYFUNCTION("""COMPUTED_VALUE"""),"S002 unlocks S020")</f>
        <v>S002 unlocks S020</v>
      </c>
    </row>
    <row r="21">
      <c r="A21" s="7" t="str">
        <f>IFERROR(__xludf.DUMMYFUNCTION("""COMPUTED_VALUE"""),"PE0020")</f>
        <v>PE0020</v>
      </c>
      <c r="B21" s="7" t="str">
        <f>IFERROR(__xludf.DUMMYFUNCTION("""COMPUTED_VALUE"""),"S002")</f>
        <v>S002</v>
      </c>
      <c r="C21" s="7" t="str">
        <f>IFERROR(__xludf.DUMMYFUNCTION("""COMPUTED_VALUE"""),"Operating Systems Concepts")</f>
        <v>Operating Systems Concepts</v>
      </c>
      <c r="D21" s="7" t="str">
        <f>IFERROR(__xludf.DUMMYFUNCTION("""COMPUTED_VALUE"""),"S021")</f>
        <v>S021</v>
      </c>
      <c r="E21" s="7" t="str">
        <f>IFERROR(__xludf.DUMMYFUNCTION("""COMPUTED_VALUE"""),"PowerShell Scripting")</f>
        <v>PowerShell Scripting</v>
      </c>
      <c r="F21" s="7" t="str">
        <f>IFERROR(__xludf.DUMMYFUNCTION("""COMPUTED_VALUE"""),"S002 unlocks S021")</f>
        <v>S002 unlocks S021</v>
      </c>
    </row>
    <row r="22">
      <c r="A22" s="7" t="str">
        <f>IFERROR(__xludf.DUMMYFUNCTION("""COMPUTED_VALUE"""),"PE0021")</f>
        <v>PE0021</v>
      </c>
      <c r="B22" s="7" t="str">
        <f>IFERROR(__xludf.DUMMYFUNCTION("""COMPUTED_VALUE"""),"S002")</f>
        <v>S002</v>
      </c>
      <c r="C22" s="7" t="str">
        <f>IFERROR(__xludf.DUMMYFUNCTION("""COMPUTED_VALUE"""),"Operating Systems Concepts")</f>
        <v>Operating Systems Concepts</v>
      </c>
      <c r="D22" s="7" t="str">
        <f>IFERROR(__xludf.DUMMYFUNCTION("""COMPUTED_VALUE"""),"S024")</f>
        <v>S024</v>
      </c>
      <c r="E22" s="7" t="str">
        <f>IFERROR(__xludf.DUMMYFUNCTION("""COMPUTED_VALUE"""),"DNS, Domain Routing &amp; SSL/TLS")</f>
        <v>DNS, Domain Routing &amp; SSL/TLS</v>
      </c>
      <c r="F22" s="7" t="str">
        <f>IFERROR(__xludf.DUMMYFUNCTION("""COMPUTED_VALUE"""),"S002 unlocks S024")</f>
        <v>S002 unlocks S024</v>
      </c>
    </row>
    <row r="23">
      <c r="A23" s="7" t="str">
        <f>IFERROR(__xludf.DUMMYFUNCTION("""COMPUTED_VALUE"""),"PE0022")</f>
        <v>PE0022</v>
      </c>
      <c r="B23" s="7" t="str">
        <f>IFERROR(__xludf.DUMMYFUNCTION("""COMPUTED_VALUE"""),"S002")</f>
        <v>S002</v>
      </c>
      <c r="C23" s="7" t="str">
        <f>IFERROR(__xludf.DUMMYFUNCTION("""COMPUTED_VALUE"""),"Operating Systems Concepts")</f>
        <v>Operating Systems Concepts</v>
      </c>
      <c r="D23" s="7" t="str">
        <f>IFERROR(__xludf.DUMMYFUNCTION("""COMPUTED_VALUE"""),"S029")</f>
        <v>S029</v>
      </c>
      <c r="E23" s="7" t="str">
        <f>IFERROR(__xludf.DUMMYFUNCTION("""COMPUTED_VALUE"""),"Debugging, Profiling &amp; Root Cause Analysis")</f>
        <v>Debugging, Profiling &amp; Root Cause Analysis</v>
      </c>
      <c r="F23" s="7" t="str">
        <f>IFERROR(__xludf.DUMMYFUNCTION("""COMPUTED_VALUE"""),"S002 unlocks S029")</f>
        <v>S002 unlocks S029</v>
      </c>
    </row>
    <row r="24">
      <c r="A24" s="7" t="str">
        <f>IFERROR(__xludf.DUMMYFUNCTION("""COMPUTED_VALUE"""),"PE0023")</f>
        <v>PE0023</v>
      </c>
      <c r="B24" s="7" t="str">
        <f>IFERROR(__xludf.DUMMYFUNCTION("""COMPUTED_VALUE"""),"S005")</f>
        <v>S005</v>
      </c>
      <c r="C24" s="7" t="str">
        <f>IFERROR(__xludf.DUMMYFUNCTION("""COMPUTED_VALUE"""),"File Systems &amp; Storage I/O")</f>
        <v>File Systems &amp; Storage I/O</v>
      </c>
      <c r="D24" s="7" t="str">
        <f>IFERROR(__xludf.DUMMYFUNCTION("""COMPUTED_VALUE"""),"S003")</f>
        <v>S003</v>
      </c>
      <c r="E24" s="7" t="str">
        <f>IFERROR(__xludf.DUMMYFUNCTION("""COMPUTED_VALUE"""),"Process &amp; Thread Management")</f>
        <v>Process &amp; Thread Management</v>
      </c>
      <c r="F24" s="7" t="str">
        <f>IFERROR(__xludf.DUMMYFUNCTION("""COMPUTED_VALUE"""),"S005 unlocks S003")</f>
        <v>S005 unlocks S003</v>
      </c>
    </row>
    <row r="25">
      <c r="A25" s="7" t="str">
        <f>IFERROR(__xludf.DUMMYFUNCTION("""COMPUTED_VALUE"""),"PE0024")</f>
        <v>PE0024</v>
      </c>
      <c r="B25" s="7" t="str">
        <f>IFERROR(__xludf.DUMMYFUNCTION("""COMPUTED_VALUE"""),"S005")</f>
        <v>S005</v>
      </c>
      <c r="C25" s="7" t="str">
        <f>IFERROR(__xludf.DUMMYFUNCTION("""COMPUTED_VALUE"""),"File Systems &amp; Storage I/O")</f>
        <v>File Systems &amp; Storage I/O</v>
      </c>
      <c r="D25" s="7" t="str">
        <f>IFERROR(__xludf.DUMMYFUNCTION("""COMPUTED_VALUE"""),"S004")</f>
        <v>S004</v>
      </c>
      <c r="E25" s="7" t="str">
        <f>IFERROR(__xludf.DUMMYFUNCTION("""COMPUTED_VALUE"""),"Memory Management &amp; Paging")</f>
        <v>Memory Management &amp; Paging</v>
      </c>
      <c r="F25" s="7" t="str">
        <f>IFERROR(__xludf.DUMMYFUNCTION("""COMPUTED_VALUE"""),"S005 unlocks S004")</f>
        <v>S005 unlocks S004</v>
      </c>
    </row>
    <row r="26">
      <c r="A26" s="7" t="str">
        <f>IFERROR(__xludf.DUMMYFUNCTION("""COMPUTED_VALUE"""),"PE0025")</f>
        <v>PE0025</v>
      </c>
      <c r="B26" s="7" t="str">
        <f>IFERROR(__xludf.DUMMYFUNCTION("""COMPUTED_VALUE"""),"S005")</f>
        <v>S005</v>
      </c>
      <c r="C26" s="7" t="str">
        <f>IFERROR(__xludf.DUMMYFUNCTION("""COMPUTED_VALUE"""),"File Systems &amp; Storage I/O")</f>
        <v>File Systems &amp; Storage I/O</v>
      </c>
      <c r="D26" s="7" t="str">
        <f>IFERROR(__xludf.DUMMYFUNCTION("""COMPUTED_VALUE"""),"S007")</f>
        <v>S007</v>
      </c>
      <c r="E26" s="7" t="str">
        <f>IFERROR(__xludf.DUMMYFUNCTION("""COMPUTED_VALUE"""),"Trees &amp; Binary Search Trees")</f>
        <v>Trees &amp; Binary Search Trees</v>
      </c>
      <c r="F26" s="7" t="str">
        <f>IFERROR(__xludf.DUMMYFUNCTION("""COMPUTED_VALUE"""),"S005 unlocks S007")</f>
        <v>S005 unlocks S007</v>
      </c>
    </row>
    <row r="27">
      <c r="A27" s="7" t="str">
        <f>IFERROR(__xludf.DUMMYFUNCTION("""COMPUTED_VALUE"""),"PE0026")</f>
        <v>PE0026</v>
      </c>
      <c r="B27" s="7" t="str">
        <f>IFERROR(__xludf.DUMMYFUNCTION("""COMPUTED_VALUE"""),"S005")</f>
        <v>S005</v>
      </c>
      <c r="C27" s="7" t="str">
        <f>IFERROR(__xludf.DUMMYFUNCTION("""COMPUTED_VALUE"""),"File Systems &amp; Storage I/O")</f>
        <v>File Systems &amp; Storage I/O</v>
      </c>
      <c r="D27" s="7" t="str">
        <f>IFERROR(__xludf.DUMMYFUNCTION("""COMPUTED_VALUE"""),"S008")</f>
        <v>S008</v>
      </c>
      <c r="E27" s="7" t="str">
        <f>IFERROR(__xludf.DUMMYFUNCTION("""COMPUTED_VALUE"""),"Heaps, Priority Queues &amp; Hashing")</f>
        <v>Heaps, Priority Queues &amp; Hashing</v>
      </c>
      <c r="F27" s="7" t="str">
        <f>IFERROR(__xludf.DUMMYFUNCTION("""COMPUTED_VALUE"""),"S005 unlocks S008")</f>
        <v>S005 unlocks S008</v>
      </c>
    </row>
    <row r="28">
      <c r="A28" s="7" t="str">
        <f>IFERROR(__xludf.DUMMYFUNCTION("""COMPUTED_VALUE"""),"PE0027")</f>
        <v>PE0027</v>
      </c>
      <c r="B28" s="7" t="str">
        <f>IFERROR(__xludf.DUMMYFUNCTION("""COMPUTED_VALUE"""),"S005")</f>
        <v>S005</v>
      </c>
      <c r="C28" s="7" t="str">
        <f>IFERROR(__xludf.DUMMYFUNCTION("""COMPUTED_VALUE"""),"File Systems &amp; Storage I/O")</f>
        <v>File Systems &amp; Storage I/O</v>
      </c>
      <c r="D28" s="7" t="str">
        <f>IFERROR(__xludf.DUMMYFUNCTION("""COMPUTED_VALUE"""),"S009")</f>
        <v>S009</v>
      </c>
      <c r="E28" s="7" t="str">
        <f>IFERROR(__xludf.DUMMYFUNCTION("""COMPUTED_VALUE"""),"Graphs &amp; Graph Traversal (BFS/DFS)")</f>
        <v>Graphs &amp; Graph Traversal (BFS/DFS)</v>
      </c>
      <c r="F28" s="7" t="str">
        <f>IFERROR(__xludf.DUMMYFUNCTION("""COMPUTED_VALUE"""),"S005 unlocks S009")</f>
        <v>S005 unlocks S009</v>
      </c>
    </row>
    <row r="29">
      <c r="A29" s="7" t="str">
        <f>IFERROR(__xludf.DUMMYFUNCTION("""COMPUTED_VALUE"""),"PE0028")</f>
        <v>PE0028</v>
      </c>
      <c r="B29" s="7" t="str">
        <f>IFERROR(__xludf.DUMMYFUNCTION("""COMPUTED_VALUE"""),"S005")</f>
        <v>S005</v>
      </c>
      <c r="C29" s="7" t="str">
        <f>IFERROR(__xludf.DUMMYFUNCTION("""COMPUTED_VALUE"""),"File Systems &amp; Storage I/O")</f>
        <v>File Systems &amp; Storage I/O</v>
      </c>
      <c r="D29" s="7" t="str">
        <f>IFERROR(__xludf.DUMMYFUNCTION("""COMPUTED_VALUE"""),"S014")</f>
        <v>S014</v>
      </c>
      <c r="E29" s="7" t="str">
        <f>IFERROR(__xludf.DUMMYFUNCTION("""COMPUTED_VALUE"""),"Functional Programming Concepts")</f>
        <v>Functional Programming Concepts</v>
      </c>
      <c r="F29" s="7" t="str">
        <f>IFERROR(__xludf.DUMMYFUNCTION("""COMPUTED_VALUE"""),"S005 unlocks S014")</f>
        <v>S005 unlocks S014</v>
      </c>
    </row>
    <row r="30">
      <c r="A30" s="7" t="str">
        <f>IFERROR(__xludf.DUMMYFUNCTION("""COMPUTED_VALUE"""),"PE0029")</f>
        <v>PE0029</v>
      </c>
      <c r="B30" s="7" t="str">
        <f>IFERROR(__xludf.DUMMYFUNCTION("""COMPUTED_VALUE"""),"S005")</f>
        <v>S005</v>
      </c>
      <c r="C30" s="7" t="str">
        <f>IFERROR(__xludf.DUMMYFUNCTION("""COMPUTED_VALUE"""),"File Systems &amp; Storage I/O")</f>
        <v>File Systems &amp; Storage I/O</v>
      </c>
      <c r="D30" s="7" t="str">
        <f>IFERROR(__xludf.DUMMYFUNCTION("""COMPUTED_VALUE"""),"S016")</f>
        <v>S016</v>
      </c>
      <c r="E30" s="7" t="str">
        <f>IFERROR(__xludf.DUMMYFUNCTION("""COMPUTED_VALUE"""),"SOLID Principles &amp; Clean Code")</f>
        <v>SOLID Principles &amp; Clean Code</v>
      </c>
      <c r="F30" s="7" t="str">
        <f>IFERROR(__xludf.DUMMYFUNCTION("""COMPUTED_VALUE"""),"S005 unlocks S016")</f>
        <v>S005 unlocks S016</v>
      </c>
    </row>
    <row r="31">
      <c r="A31" s="7" t="str">
        <f>IFERROR(__xludf.DUMMYFUNCTION("""COMPUTED_VALUE"""),"PE0030")</f>
        <v>PE0030</v>
      </c>
      <c r="B31" s="7" t="str">
        <f>IFERROR(__xludf.DUMMYFUNCTION("""COMPUTED_VALUE"""),"S005")</f>
        <v>S005</v>
      </c>
      <c r="C31" s="7" t="str">
        <f>IFERROR(__xludf.DUMMYFUNCTION("""COMPUTED_VALUE"""),"File Systems &amp; Storage I/O")</f>
        <v>File Systems &amp; Storage I/O</v>
      </c>
      <c r="D31" s="7" t="str">
        <f>IFERROR(__xludf.DUMMYFUNCTION("""COMPUTED_VALUE"""),"S020")</f>
        <v>S020</v>
      </c>
      <c r="E31" s="7" t="str">
        <f>IFERROR(__xludf.DUMMYFUNCTION("""COMPUTED_VALUE"""),"Bash &amp; Shell Scripting")</f>
        <v>Bash &amp; Shell Scripting</v>
      </c>
      <c r="F31" s="7" t="str">
        <f>IFERROR(__xludf.DUMMYFUNCTION("""COMPUTED_VALUE"""),"S005 unlocks S020")</f>
        <v>S005 unlocks S020</v>
      </c>
    </row>
    <row r="32">
      <c r="A32" s="7" t="str">
        <f>IFERROR(__xludf.DUMMYFUNCTION("""COMPUTED_VALUE"""),"PE0031")</f>
        <v>PE0031</v>
      </c>
      <c r="B32" s="7" t="str">
        <f>IFERROR(__xludf.DUMMYFUNCTION("""COMPUTED_VALUE"""),"S005")</f>
        <v>S005</v>
      </c>
      <c r="C32" s="7" t="str">
        <f>IFERROR(__xludf.DUMMYFUNCTION("""COMPUTED_VALUE"""),"File Systems &amp; Storage I/O")</f>
        <v>File Systems &amp; Storage I/O</v>
      </c>
      <c r="D32" s="7" t="str">
        <f>IFERROR(__xludf.DUMMYFUNCTION("""COMPUTED_VALUE"""),"S021")</f>
        <v>S021</v>
      </c>
      <c r="E32" s="7" t="str">
        <f>IFERROR(__xludf.DUMMYFUNCTION("""COMPUTED_VALUE"""),"PowerShell Scripting")</f>
        <v>PowerShell Scripting</v>
      </c>
      <c r="F32" s="7" t="str">
        <f>IFERROR(__xludf.DUMMYFUNCTION("""COMPUTED_VALUE"""),"S005 unlocks S021")</f>
        <v>S005 unlocks S021</v>
      </c>
    </row>
    <row r="33">
      <c r="A33" s="7" t="str">
        <f>IFERROR(__xludf.DUMMYFUNCTION("""COMPUTED_VALUE"""),"PE0032")</f>
        <v>PE0032</v>
      </c>
      <c r="B33" s="7" t="str">
        <f>IFERROR(__xludf.DUMMYFUNCTION("""COMPUTED_VALUE"""),"S005")</f>
        <v>S005</v>
      </c>
      <c r="C33" s="7" t="str">
        <f>IFERROR(__xludf.DUMMYFUNCTION("""COMPUTED_VALUE"""),"File Systems &amp; Storage I/O")</f>
        <v>File Systems &amp; Storage I/O</v>
      </c>
      <c r="D33" s="7" t="str">
        <f>IFERROR(__xludf.DUMMYFUNCTION("""COMPUTED_VALUE"""),"S024")</f>
        <v>S024</v>
      </c>
      <c r="E33" s="7" t="str">
        <f>IFERROR(__xludf.DUMMYFUNCTION("""COMPUTED_VALUE"""),"DNS, Domain Routing &amp; SSL/TLS")</f>
        <v>DNS, Domain Routing &amp; SSL/TLS</v>
      </c>
      <c r="F33" s="7" t="str">
        <f>IFERROR(__xludf.DUMMYFUNCTION("""COMPUTED_VALUE"""),"S005 unlocks S024")</f>
        <v>S005 unlocks S024</v>
      </c>
    </row>
    <row r="34">
      <c r="A34" s="7" t="str">
        <f>IFERROR(__xludf.DUMMYFUNCTION("""COMPUTED_VALUE"""),"PE0033")</f>
        <v>PE0033</v>
      </c>
      <c r="B34" s="7" t="str">
        <f>IFERROR(__xludf.DUMMYFUNCTION("""COMPUTED_VALUE"""),"S005")</f>
        <v>S005</v>
      </c>
      <c r="C34" s="7" t="str">
        <f>IFERROR(__xludf.DUMMYFUNCTION("""COMPUTED_VALUE"""),"File Systems &amp; Storage I/O")</f>
        <v>File Systems &amp; Storage I/O</v>
      </c>
      <c r="D34" s="7" t="str">
        <f>IFERROR(__xludf.DUMMYFUNCTION("""COMPUTED_VALUE"""),"S029")</f>
        <v>S029</v>
      </c>
      <c r="E34" s="7" t="str">
        <f>IFERROR(__xludf.DUMMYFUNCTION("""COMPUTED_VALUE"""),"Debugging, Profiling &amp; Root Cause Analysis")</f>
        <v>Debugging, Profiling &amp; Root Cause Analysis</v>
      </c>
      <c r="F34" s="7" t="str">
        <f>IFERROR(__xludf.DUMMYFUNCTION("""COMPUTED_VALUE"""),"S005 unlocks S029")</f>
        <v>S005 unlocks S029</v>
      </c>
    </row>
    <row r="35">
      <c r="A35" s="7" t="str">
        <f>IFERROR(__xludf.DUMMYFUNCTION("""COMPUTED_VALUE"""),"PE0034")</f>
        <v>PE0034</v>
      </c>
      <c r="B35" s="7" t="str">
        <f>IFERROR(__xludf.DUMMYFUNCTION("""COMPUTED_VALUE"""),"S006")</f>
        <v>S006</v>
      </c>
      <c r="C35" s="7" t="str">
        <f>IFERROR(__xludf.DUMMYFUNCTION("""COMPUTED_VALUE"""),"Basic Data Structures (Arrays, Lists, Stacks, Queues)")</f>
        <v>Basic Data Structures (Arrays, Lists, Stacks, Queues)</v>
      </c>
      <c r="D35" s="7" t="str">
        <f>IFERROR(__xludf.DUMMYFUNCTION("""COMPUTED_VALUE"""),"S003")</f>
        <v>S003</v>
      </c>
      <c r="E35" s="7" t="str">
        <f>IFERROR(__xludf.DUMMYFUNCTION("""COMPUTED_VALUE"""),"Process &amp; Thread Management")</f>
        <v>Process &amp; Thread Management</v>
      </c>
      <c r="F35" s="7" t="str">
        <f>IFERROR(__xludf.DUMMYFUNCTION("""COMPUTED_VALUE"""),"S006 unlocks S003")</f>
        <v>S006 unlocks S003</v>
      </c>
    </row>
    <row r="36">
      <c r="A36" s="7" t="str">
        <f>IFERROR(__xludf.DUMMYFUNCTION("""COMPUTED_VALUE"""),"PE0035")</f>
        <v>PE0035</v>
      </c>
      <c r="B36" s="7" t="str">
        <f>IFERROR(__xludf.DUMMYFUNCTION("""COMPUTED_VALUE"""),"S006")</f>
        <v>S006</v>
      </c>
      <c r="C36" s="7" t="str">
        <f>IFERROR(__xludf.DUMMYFUNCTION("""COMPUTED_VALUE"""),"Basic Data Structures (Arrays, Lists, Stacks, Queues)")</f>
        <v>Basic Data Structures (Arrays, Lists, Stacks, Queues)</v>
      </c>
      <c r="D36" s="7" t="str">
        <f>IFERROR(__xludf.DUMMYFUNCTION("""COMPUTED_VALUE"""),"S004")</f>
        <v>S004</v>
      </c>
      <c r="E36" s="7" t="str">
        <f>IFERROR(__xludf.DUMMYFUNCTION("""COMPUTED_VALUE"""),"Memory Management &amp; Paging")</f>
        <v>Memory Management &amp; Paging</v>
      </c>
      <c r="F36" s="7" t="str">
        <f>IFERROR(__xludf.DUMMYFUNCTION("""COMPUTED_VALUE"""),"S006 unlocks S004")</f>
        <v>S006 unlocks S004</v>
      </c>
    </row>
    <row r="37">
      <c r="A37" s="7" t="str">
        <f>IFERROR(__xludf.DUMMYFUNCTION("""COMPUTED_VALUE"""),"PE0036")</f>
        <v>PE0036</v>
      </c>
      <c r="B37" s="7" t="str">
        <f>IFERROR(__xludf.DUMMYFUNCTION("""COMPUTED_VALUE"""),"S006")</f>
        <v>S006</v>
      </c>
      <c r="C37" s="7" t="str">
        <f>IFERROR(__xludf.DUMMYFUNCTION("""COMPUTED_VALUE"""),"Basic Data Structures (Arrays, Lists, Stacks, Queues)")</f>
        <v>Basic Data Structures (Arrays, Lists, Stacks, Queues)</v>
      </c>
      <c r="D37" s="7" t="str">
        <f>IFERROR(__xludf.DUMMYFUNCTION("""COMPUTED_VALUE"""),"S007")</f>
        <v>S007</v>
      </c>
      <c r="E37" s="7" t="str">
        <f>IFERROR(__xludf.DUMMYFUNCTION("""COMPUTED_VALUE"""),"Trees &amp; Binary Search Trees")</f>
        <v>Trees &amp; Binary Search Trees</v>
      </c>
      <c r="F37" s="7" t="str">
        <f>IFERROR(__xludf.DUMMYFUNCTION("""COMPUTED_VALUE"""),"S006 unlocks S007")</f>
        <v>S006 unlocks S007</v>
      </c>
    </row>
    <row r="38">
      <c r="A38" s="7" t="str">
        <f>IFERROR(__xludf.DUMMYFUNCTION("""COMPUTED_VALUE"""),"PE0037")</f>
        <v>PE0037</v>
      </c>
      <c r="B38" s="7" t="str">
        <f>IFERROR(__xludf.DUMMYFUNCTION("""COMPUTED_VALUE"""),"S006")</f>
        <v>S006</v>
      </c>
      <c r="C38" s="7" t="str">
        <f>IFERROR(__xludf.DUMMYFUNCTION("""COMPUTED_VALUE"""),"Basic Data Structures (Arrays, Lists, Stacks, Queues)")</f>
        <v>Basic Data Structures (Arrays, Lists, Stacks, Queues)</v>
      </c>
      <c r="D38" s="7" t="str">
        <f>IFERROR(__xludf.DUMMYFUNCTION("""COMPUTED_VALUE"""),"S008")</f>
        <v>S008</v>
      </c>
      <c r="E38" s="7" t="str">
        <f>IFERROR(__xludf.DUMMYFUNCTION("""COMPUTED_VALUE"""),"Heaps, Priority Queues &amp; Hashing")</f>
        <v>Heaps, Priority Queues &amp; Hashing</v>
      </c>
      <c r="F38" s="7" t="str">
        <f>IFERROR(__xludf.DUMMYFUNCTION("""COMPUTED_VALUE"""),"S006 unlocks S008")</f>
        <v>S006 unlocks S008</v>
      </c>
    </row>
    <row r="39">
      <c r="A39" s="7" t="str">
        <f>IFERROR(__xludf.DUMMYFUNCTION("""COMPUTED_VALUE"""),"PE0038")</f>
        <v>PE0038</v>
      </c>
      <c r="B39" s="7" t="str">
        <f>IFERROR(__xludf.DUMMYFUNCTION("""COMPUTED_VALUE"""),"S006")</f>
        <v>S006</v>
      </c>
      <c r="C39" s="7" t="str">
        <f>IFERROR(__xludf.DUMMYFUNCTION("""COMPUTED_VALUE"""),"Basic Data Structures (Arrays, Lists, Stacks, Queues)")</f>
        <v>Basic Data Structures (Arrays, Lists, Stacks, Queues)</v>
      </c>
      <c r="D39" s="7" t="str">
        <f>IFERROR(__xludf.DUMMYFUNCTION("""COMPUTED_VALUE"""),"S009")</f>
        <v>S009</v>
      </c>
      <c r="E39" s="7" t="str">
        <f>IFERROR(__xludf.DUMMYFUNCTION("""COMPUTED_VALUE"""),"Graphs &amp; Graph Traversal (BFS/DFS)")</f>
        <v>Graphs &amp; Graph Traversal (BFS/DFS)</v>
      </c>
      <c r="F39" s="7" t="str">
        <f>IFERROR(__xludf.DUMMYFUNCTION("""COMPUTED_VALUE"""),"S006 unlocks S009")</f>
        <v>S006 unlocks S009</v>
      </c>
    </row>
    <row r="40">
      <c r="A40" s="7" t="str">
        <f>IFERROR(__xludf.DUMMYFUNCTION("""COMPUTED_VALUE"""),"PE0039")</f>
        <v>PE0039</v>
      </c>
      <c r="B40" s="7" t="str">
        <f>IFERROR(__xludf.DUMMYFUNCTION("""COMPUTED_VALUE"""),"S006")</f>
        <v>S006</v>
      </c>
      <c r="C40" s="7" t="str">
        <f>IFERROR(__xludf.DUMMYFUNCTION("""COMPUTED_VALUE"""),"Basic Data Structures (Arrays, Lists, Stacks, Queues)")</f>
        <v>Basic Data Structures (Arrays, Lists, Stacks, Queues)</v>
      </c>
      <c r="D40" s="7" t="str">
        <f>IFERROR(__xludf.DUMMYFUNCTION("""COMPUTED_VALUE"""),"S014")</f>
        <v>S014</v>
      </c>
      <c r="E40" s="7" t="str">
        <f>IFERROR(__xludf.DUMMYFUNCTION("""COMPUTED_VALUE"""),"Functional Programming Concepts")</f>
        <v>Functional Programming Concepts</v>
      </c>
      <c r="F40" s="7" t="str">
        <f>IFERROR(__xludf.DUMMYFUNCTION("""COMPUTED_VALUE"""),"S006 unlocks S014")</f>
        <v>S006 unlocks S014</v>
      </c>
    </row>
    <row r="41">
      <c r="A41" s="7" t="str">
        <f>IFERROR(__xludf.DUMMYFUNCTION("""COMPUTED_VALUE"""),"PE0040")</f>
        <v>PE0040</v>
      </c>
      <c r="B41" s="7" t="str">
        <f>IFERROR(__xludf.DUMMYFUNCTION("""COMPUTED_VALUE"""),"S006")</f>
        <v>S006</v>
      </c>
      <c r="C41" s="7" t="str">
        <f>IFERROR(__xludf.DUMMYFUNCTION("""COMPUTED_VALUE"""),"Basic Data Structures (Arrays, Lists, Stacks, Queues)")</f>
        <v>Basic Data Structures (Arrays, Lists, Stacks, Queues)</v>
      </c>
      <c r="D41" s="7" t="str">
        <f>IFERROR(__xludf.DUMMYFUNCTION("""COMPUTED_VALUE"""),"S016")</f>
        <v>S016</v>
      </c>
      <c r="E41" s="7" t="str">
        <f>IFERROR(__xludf.DUMMYFUNCTION("""COMPUTED_VALUE"""),"SOLID Principles &amp; Clean Code")</f>
        <v>SOLID Principles &amp; Clean Code</v>
      </c>
      <c r="F41" s="7" t="str">
        <f>IFERROR(__xludf.DUMMYFUNCTION("""COMPUTED_VALUE"""),"S006 unlocks S016")</f>
        <v>S006 unlocks S016</v>
      </c>
    </row>
    <row r="42">
      <c r="A42" s="7" t="str">
        <f>IFERROR(__xludf.DUMMYFUNCTION("""COMPUTED_VALUE"""),"PE0041")</f>
        <v>PE0041</v>
      </c>
      <c r="B42" s="7" t="str">
        <f>IFERROR(__xludf.DUMMYFUNCTION("""COMPUTED_VALUE"""),"S006")</f>
        <v>S006</v>
      </c>
      <c r="C42" s="7" t="str">
        <f>IFERROR(__xludf.DUMMYFUNCTION("""COMPUTED_VALUE"""),"Basic Data Structures (Arrays, Lists, Stacks, Queues)")</f>
        <v>Basic Data Structures (Arrays, Lists, Stacks, Queues)</v>
      </c>
      <c r="D42" s="7" t="str">
        <f>IFERROR(__xludf.DUMMYFUNCTION("""COMPUTED_VALUE"""),"S020")</f>
        <v>S020</v>
      </c>
      <c r="E42" s="7" t="str">
        <f>IFERROR(__xludf.DUMMYFUNCTION("""COMPUTED_VALUE"""),"Bash &amp; Shell Scripting")</f>
        <v>Bash &amp; Shell Scripting</v>
      </c>
      <c r="F42" s="7" t="str">
        <f>IFERROR(__xludf.DUMMYFUNCTION("""COMPUTED_VALUE"""),"S006 unlocks S020")</f>
        <v>S006 unlocks S020</v>
      </c>
    </row>
    <row r="43">
      <c r="A43" s="7" t="str">
        <f>IFERROR(__xludf.DUMMYFUNCTION("""COMPUTED_VALUE"""),"PE0042")</f>
        <v>PE0042</v>
      </c>
      <c r="B43" s="7" t="str">
        <f>IFERROR(__xludf.DUMMYFUNCTION("""COMPUTED_VALUE"""),"S006")</f>
        <v>S006</v>
      </c>
      <c r="C43" s="7" t="str">
        <f>IFERROR(__xludf.DUMMYFUNCTION("""COMPUTED_VALUE"""),"Basic Data Structures (Arrays, Lists, Stacks, Queues)")</f>
        <v>Basic Data Structures (Arrays, Lists, Stacks, Queues)</v>
      </c>
      <c r="D43" s="7" t="str">
        <f>IFERROR(__xludf.DUMMYFUNCTION("""COMPUTED_VALUE"""),"S021")</f>
        <v>S021</v>
      </c>
      <c r="E43" s="7" t="str">
        <f>IFERROR(__xludf.DUMMYFUNCTION("""COMPUTED_VALUE"""),"PowerShell Scripting")</f>
        <v>PowerShell Scripting</v>
      </c>
      <c r="F43" s="7" t="str">
        <f>IFERROR(__xludf.DUMMYFUNCTION("""COMPUTED_VALUE"""),"S006 unlocks S021")</f>
        <v>S006 unlocks S021</v>
      </c>
    </row>
    <row r="44">
      <c r="A44" s="7" t="str">
        <f>IFERROR(__xludf.DUMMYFUNCTION("""COMPUTED_VALUE"""),"PE0043")</f>
        <v>PE0043</v>
      </c>
      <c r="B44" s="7" t="str">
        <f>IFERROR(__xludf.DUMMYFUNCTION("""COMPUTED_VALUE"""),"S006")</f>
        <v>S006</v>
      </c>
      <c r="C44" s="7" t="str">
        <f>IFERROR(__xludf.DUMMYFUNCTION("""COMPUTED_VALUE"""),"Basic Data Structures (Arrays, Lists, Stacks, Queues)")</f>
        <v>Basic Data Structures (Arrays, Lists, Stacks, Queues)</v>
      </c>
      <c r="D44" s="7" t="str">
        <f>IFERROR(__xludf.DUMMYFUNCTION("""COMPUTED_VALUE"""),"S024")</f>
        <v>S024</v>
      </c>
      <c r="E44" s="7" t="str">
        <f>IFERROR(__xludf.DUMMYFUNCTION("""COMPUTED_VALUE"""),"DNS, Domain Routing &amp; SSL/TLS")</f>
        <v>DNS, Domain Routing &amp; SSL/TLS</v>
      </c>
      <c r="F44" s="7" t="str">
        <f>IFERROR(__xludf.DUMMYFUNCTION("""COMPUTED_VALUE"""),"S006 unlocks S024")</f>
        <v>S006 unlocks S024</v>
      </c>
    </row>
    <row r="45">
      <c r="A45" s="7" t="str">
        <f>IFERROR(__xludf.DUMMYFUNCTION("""COMPUTED_VALUE"""),"PE0044")</f>
        <v>PE0044</v>
      </c>
      <c r="B45" s="7" t="str">
        <f>IFERROR(__xludf.DUMMYFUNCTION("""COMPUTED_VALUE"""),"S006")</f>
        <v>S006</v>
      </c>
      <c r="C45" s="7" t="str">
        <f>IFERROR(__xludf.DUMMYFUNCTION("""COMPUTED_VALUE"""),"Basic Data Structures (Arrays, Lists, Stacks, Queues)")</f>
        <v>Basic Data Structures (Arrays, Lists, Stacks, Queues)</v>
      </c>
      <c r="D45" s="7" t="str">
        <f>IFERROR(__xludf.DUMMYFUNCTION("""COMPUTED_VALUE"""),"S029")</f>
        <v>S029</v>
      </c>
      <c r="E45" s="7" t="str">
        <f>IFERROR(__xludf.DUMMYFUNCTION("""COMPUTED_VALUE"""),"Debugging, Profiling &amp; Root Cause Analysis")</f>
        <v>Debugging, Profiling &amp; Root Cause Analysis</v>
      </c>
      <c r="F45" s="7" t="str">
        <f>IFERROR(__xludf.DUMMYFUNCTION("""COMPUTED_VALUE"""),"S006 unlocks S029")</f>
        <v>S006 unlocks S029</v>
      </c>
    </row>
    <row r="46">
      <c r="A46" s="7" t="str">
        <f>IFERROR(__xludf.DUMMYFUNCTION("""COMPUTED_VALUE"""),"PE0045")</f>
        <v>PE0045</v>
      </c>
      <c r="B46" s="7" t="str">
        <f>IFERROR(__xludf.DUMMYFUNCTION("""COMPUTED_VALUE"""),"S010")</f>
        <v>S010</v>
      </c>
      <c r="C46" s="7" t="str">
        <f>IFERROR(__xludf.DUMMYFUNCTION("""COMPUTED_VALUE"""),"Sorting &amp; Searching Algorithms")</f>
        <v>Sorting &amp; Searching Algorithms</v>
      </c>
      <c r="D46" s="7" t="str">
        <f>IFERROR(__xludf.DUMMYFUNCTION("""COMPUTED_VALUE"""),"S003")</f>
        <v>S003</v>
      </c>
      <c r="E46" s="7" t="str">
        <f>IFERROR(__xludf.DUMMYFUNCTION("""COMPUTED_VALUE"""),"Process &amp; Thread Management")</f>
        <v>Process &amp; Thread Management</v>
      </c>
      <c r="F46" s="7" t="str">
        <f>IFERROR(__xludf.DUMMYFUNCTION("""COMPUTED_VALUE"""),"S010 unlocks S003")</f>
        <v>S010 unlocks S003</v>
      </c>
    </row>
    <row r="47">
      <c r="A47" s="7" t="str">
        <f>IFERROR(__xludf.DUMMYFUNCTION("""COMPUTED_VALUE"""),"PE0046")</f>
        <v>PE0046</v>
      </c>
      <c r="B47" s="7" t="str">
        <f>IFERROR(__xludf.DUMMYFUNCTION("""COMPUTED_VALUE"""),"S010")</f>
        <v>S010</v>
      </c>
      <c r="C47" s="7" t="str">
        <f>IFERROR(__xludf.DUMMYFUNCTION("""COMPUTED_VALUE"""),"Sorting &amp; Searching Algorithms")</f>
        <v>Sorting &amp; Searching Algorithms</v>
      </c>
      <c r="D47" s="7" t="str">
        <f>IFERROR(__xludf.DUMMYFUNCTION("""COMPUTED_VALUE"""),"S004")</f>
        <v>S004</v>
      </c>
      <c r="E47" s="7" t="str">
        <f>IFERROR(__xludf.DUMMYFUNCTION("""COMPUTED_VALUE"""),"Memory Management &amp; Paging")</f>
        <v>Memory Management &amp; Paging</v>
      </c>
      <c r="F47" s="7" t="str">
        <f>IFERROR(__xludf.DUMMYFUNCTION("""COMPUTED_VALUE"""),"S010 unlocks S004")</f>
        <v>S010 unlocks S004</v>
      </c>
    </row>
    <row r="48">
      <c r="A48" s="7" t="str">
        <f>IFERROR(__xludf.DUMMYFUNCTION("""COMPUTED_VALUE"""),"PE0047")</f>
        <v>PE0047</v>
      </c>
      <c r="B48" s="7" t="str">
        <f>IFERROR(__xludf.DUMMYFUNCTION("""COMPUTED_VALUE"""),"S010")</f>
        <v>S010</v>
      </c>
      <c r="C48" s="7" t="str">
        <f>IFERROR(__xludf.DUMMYFUNCTION("""COMPUTED_VALUE"""),"Sorting &amp; Searching Algorithms")</f>
        <v>Sorting &amp; Searching Algorithms</v>
      </c>
      <c r="D48" s="7" t="str">
        <f>IFERROR(__xludf.DUMMYFUNCTION("""COMPUTED_VALUE"""),"S007")</f>
        <v>S007</v>
      </c>
      <c r="E48" s="7" t="str">
        <f>IFERROR(__xludf.DUMMYFUNCTION("""COMPUTED_VALUE"""),"Trees &amp; Binary Search Trees")</f>
        <v>Trees &amp; Binary Search Trees</v>
      </c>
      <c r="F48" s="7" t="str">
        <f>IFERROR(__xludf.DUMMYFUNCTION("""COMPUTED_VALUE"""),"S010 unlocks S007")</f>
        <v>S010 unlocks S007</v>
      </c>
    </row>
    <row r="49">
      <c r="A49" s="7" t="str">
        <f>IFERROR(__xludf.DUMMYFUNCTION("""COMPUTED_VALUE"""),"PE0048")</f>
        <v>PE0048</v>
      </c>
      <c r="B49" s="7" t="str">
        <f>IFERROR(__xludf.DUMMYFUNCTION("""COMPUTED_VALUE"""),"S010")</f>
        <v>S010</v>
      </c>
      <c r="C49" s="7" t="str">
        <f>IFERROR(__xludf.DUMMYFUNCTION("""COMPUTED_VALUE"""),"Sorting &amp; Searching Algorithms")</f>
        <v>Sorting &amp; Searching Algorithms</v>
      </c>
      <c r="D49" s="7" t="str">
        <f>IFERROR(__xludf.DUMMYFUNCTION("""COMPUTED_VALUE"""),"S008")</f>
        <v>S008</v>
      </c>
      <c r="E49" s="7" t="str">
        <f>IFERROR(__xludf.DUMMYFUNCTION("""COMPUTED_VALUE"""),"Heaps, Priority Queues &amp; Hashing")</f>
        <v>Heaps, Priority Queues &amp; Hashing</v>
      </c>
      <c r="F49" s="7" t="str">
        <f>IFERROR(__xludf.DUMMYFUNCTION("""COMPUTED_VALUE"""),"S010 unlocks S008")</f>
        <v>S010 unlocks S008</v>
      </c>
    </row>
    <row r="50">
      <c r="A50" s="7" t="str">
        <f>IFERROR(__xludf.DUMMYFUNCTION("""COMPUTED_VALUE"""),"PE0049")</f>
        <v>PE0049</v>
      </c>
      <c r="B50" s="7" t="str">
        <f>IFERROR(__xludf.DUMMYFUNCTION("""COMPUTED_VALUE"""),"S010")</f>
        <v>S010</v>
      </c>
      <c r="C50" s="7" t="str">
        <f>IFERROR(__xludf.DUMMYFUNCTION("""COMPUTED_VALUE"""),"Sorting &amp; Searching Algorithms")</f>
        <v>Sorting &amp; Searching Algorithms</v>
      </c>
      <c r="D50" s="7" t="str">
        <f>IFERROR(__xludf.DUMMYFUNCTION("""COMPUTED_VALUE"""),"S009")</f>
        <v>S009</v>
      </c>
      <c r="E50" s="7" t="str">
        <f>IFERROR(__xludf.DUMMYFUNCTION("""COMPUTED_VALUE"""),"Graphs &amp; Graph Traversal (BFS/DFS)")</f>
        <v>Graphs &amp; Graph Traversal (BFS/DFS)</v>
      </c>
      <c r="F50" s="7" t="str">
        <f>IFERROR(__xludf.DUMMYFUNCTION("""COMPUTED_VALUE"""),"S010 unlocks S009")</f>
        <v>S010 unlocks S009</v>
      </c>
    </row>
    <row r="51">
      <c r="A51" s="7" t="str">
        <f>IFERROR(__xludf.DUMMYFUNCTION("""COMPUTED_VALUE"""),"PE0050")</f>
        <v>PE0050</v>
      </c>
      <c r="B51" s="7" t="str">
        <f>IFERROR(__xludf.DUMMYFUNCTION("""COMPUTED_VALUE"""),"S010")</f>
        <v>S010</v>
      </c>
      <c r="C51" s="7" t="str">
        <f>IFERROR(__xludf.DUMMYFUNCTION("""COMPUTED_VALUE"""),"Sorting &amp; Searching Algorithms")</f>
        <v>Sorting &amp; Searching Algorithms</v>
      </c>
      <c r="D51" s="7" t="str">
        <f>IFERROR(__xludf.DUMMYFUNCTION("""COMPUTED_VALUE"""),"S014")</f>
        <v>S014</v>
      </c>
      <c r="E51" s="7" t="str">
        <f>IFERROR(__xludf.DUMMYFUNCTION("""COMPUTED_VALUE"""),"Functional Programming Concepts")</f>
        <v>Functional Programming Concepts</v>
      </c>
      <c r="F51" s="7" t="str">
        <f>IFERROR(__xludf.DUMMYFUNCTION("""COMPUTED_VALUE"""),"S010 unlocks S014")</f>
        <v>S010 unlocks S014</v>
      </c>
    </row>
    <row r="52">
      <c r="A52" s="7" t="str">
        <f>IFERROR(__xludf.DUMMYFUNCTION("""COMPUTED_VALUE"""),"PE0051")</f>
        <v>PE0051</v>
      </c>
      <c r="B52" s="7" t="str">
        <f>IFERROR(__xludf.DUMMYFUNCTION("""COMPUTED_VALUE"""),"S010")</f>
        <v>S010</v>
      </c>
      <c r="C52" s="7" t="str">
        <f>IFERROR(__xludf.DUMMYFUNCTION("""COMPUTED_VALUE"""),"Sorting &amp; Searching Algorithms")</f>
        <v>Sorting &amp; Searching Algorithms</v>
      </c>
      <c r="D52" s="7" t="str">
        <f>IFERROR(__xludf.DUMMYFUNCTION("""COMPUTED_VALUE"""),"S016")</f>
        <v>S016</v>
      </c>
      <c r="E52" s="7" t="str">
        <f>IFERROR(__xludf.DUMMYFUNCTION("""COMPUTED_VALUE"""),"SOLID Principles &amp; Clean Code")</f>
        <v>SOLID Principles &amp; Clean Code</v>
      </c>
      <c r="F52" s="7" t="str">
        <f>IFERROR(__xludf.DUMMYFUNCTION("""COMPUTED_VALUE"""),"S010 unlocks S016")</f>
        <v>S010 unlocks S016</v>
      </c>
    </row>
    <row r="53">
      <c r="A53" s="7" t="str">
        <f>IFERROR(__xludf.DUMMYFUNCTION("""COMPUTED_VALUE"""),"PE0052")</f>
        <v>PE0052</v>
      </c>
      <c r="B53" s="7" t="str">
        <f>IFERROR(__xludf.DUMMYFUNCTION("""COMPUTED_VALUE"""),"S010")</f>
        <v>S010</v>
      </c>
      <c r="C53" s="7" t="str">
        <f>IFERROR(__xludf.DUMMYFUNCTION("""COMPUTED_VALUE"""),"Sorting &amp; Searching Algorithms")</f>
        <v>Sorting &amp; Searching Algorithms</v>
      </c>
      <c r="D53" s="7" t="str">
        <f>IFERROR(__xludf.DUMMYFUNCTION("""COMPUTED_VALUE"""),"S020")</f>
        <v>S020</v>
      </c>
      <c r="E53" s="7" t="str">
        <f>IFERROR(__xludf.DUMMYFUNCTION("""COMPUTED_VALUE"""),"Bash &amp; Shell Scripting")</f>
        <v>Bash &amp; Shell Scripting</v>
      </c>
      <c r="F53" s="7" t="str">
        <f>IFERROR(__xludf.DUMMYFUNCTION("""COMPUTED_VALUE"""),"S010 unlocks S020")</f>
        <v>S010 unlocks S020</v>
      </c>
    </row>
    <row r="54">
      <c r="A54" s="7" t="str">
        <f>IFERROR(__xludf.DUMMYFUNCTION("""COMPUTED_VALUE"""),"PE0053")</f>
        <v>PE0053</v>
      </c>
      <c r="B54" s="7" t="str">
        <f>IFERROR(__xludf.DUMMYFUNCTION("""COMPUTED_VALUE"""),"S010")</f>
        <v>S010</v>
      </c>
      <c r="C54" s="7" t="str">
        <f>IFERROR(__xludf.DUMMYFUNCTION("""COMPUTED_VALUE"""),"Sorting &amp; Searching Algorithms")</f>
        <v>Sorting &amp; Searching Algorithms</v>
      </c>
      <c r="D54" s="7" t="str">
        <f>IFERROR(__xludf.DUMMYFUNCTION("""COMPUTED_VALUE"""),"S021")</f>
        <v>S021</v>
      </c>
      <c r="E54" s="7" t="str">
        <f>IFERROR(__xludf.DUMMYFUNCTION("""COMPUTED_VALUE"""),"PowerShell Scripting")</f>
        <v>PowerShell Scripting</v>
      </c>
      <c r="F54" s="7" t="str">
        <f>IFERROR(__xludf.DUMMYFUNCTION("""COMPUTED_VALUE"""),"S010 unlocks S021")</f>
        <v>S010 unlocks S021</v>
      </c>
    </row>
    <row r="55">
      <c r="A55" s="7" t="str">
        <f>IFERROR(__xludf.DUMMYFUNCTION("""COMPUTED_VALUE"""),"PE0054")</f>
        <v>PE0054</v>
      </c>
      <c r="B55" s="7" t="str">
        <f>IFERROR(__xludf.DUMMYFUNCTION("""COMPUTED_VALUE"""),"S010")</f>
        <v>S010</v>
      </c>
      <c r="C55" s="7" t="str">
        <f>IFERROR(__xludf.DUMMYFUNCTION("""COMPUTED_VALUE"""),"Sorting &amp; Searching Algorithms")</f>
        <v>Sorting &amp; Searching Algorithms</v>
      </c>
      <c r="D55" s="7" t="str">
        <f>IFERROR(__xludf.DUMMYFUNCTION("""COMPUTED_VALUE"""),"S024")</f>
        <v>S024</v>
      </c>
      <c r="E55" s="7" t="str">
        <f>IFERROR(__xludf.DUMMYFUNCTION("""COMPUTED_VALUE"""),"DNS, Domain Routing &amp; SSL/TLS")</f>
        <v>DNS, Domain Routing &amp; SSL/TLS</v>
      </c>
      <c r="F55" s="7" t="str">
        <f>IFERROR(__xludf.DUMMYFUNCTION("""COMPUTED_VALUE"""),"S010 unlocks S024")</f>
        <v>S010 unlocks S024</v>
      </c>
    </row>
    <row r="56">
      <c r="A56" s="7" t="str">
        <f>IFERROR(__xludf.DUMMYFUNCTION("""COMPUTED_VALUE"""),"PE0055")</f>
        <v>PE0055</v>
      </c>
      <c r="B56" s="7" t="str">
        <f>IFERROR(__xludf.DUMMYFUNCTION("""COMPUTED_VALUE"""),"S010")</f>
        <v>S010</v>
      </c>
      <c r="C56" s="7" t="str">
        <f>IFERROR(__xludf.DUMMYFUNCTION("""COMPUTED_VALUE"""),"Sorting &amp; Searching Algorithms")</f>
        <v>Sorting &amp; Searching Algorithms</v>
      </c>
      <c r="D56" s="7" t="str">
        <f>IFERROR(__xludf.DUMMYFUNCTION("""COMPUTED_VALUE"""),"S029")</f>
        <v>S029</v>
      </c>
      <c r="E56" s="7" t="str">
        <f>IFERROR(__xludf.DUMMYFUNCTION("""COMPUTED_VALUE"""),"Debugging, Profiling &amp; Root Cause Analysis")</f>
        <v>Debugging, Profiling &amp; Root Cause Analysis</v>
      </c>
      <c r="F56" s="7" t="str">
        <f>IFERROR(__xludf.DUMMYFUNCTION("""COMPUTED_VALUE"""),"S010 unlocks S029")</f>
        <v>S010 unlocks S029</v>
      </c>
    </row>
    <row r="57">
      <c r="A57" s="7" t="str">
        <f>IFERROR(__xludf.DUMMYFUNCTION("""COMPUTED_VALUE"""),"PE0056")</f>
        <v>PE0056</v>
      </c>
      <c r="B57" s="7" t="str">
        <f>IFERROR(__xludf.DUMMYFUNCTION("""COMPUTED_VALUE"""),"S012")</f>
        <v>S012</v>
      </c>
      <c r="C57" s="7" t="str">
        <f>IFERROR(__xludf.DUMMYFUNCTION("""COMPUTED_VALUE"""),"Time &amp; Space Complexity (Big-O Analysis)")</f>
        <v>Time &amp; Space Complexity (Big-O Analysis)</v>
      </c>
      <c r="D57" s="7" t="str">
        <f>IFERROR(__xludf.DUMMYFUNCTION("""COMPUTED_VALUE"""),"S003")</f>
        <v>S003</v>
      </c>
      <c r="E57" s="7" t="str">
        <f>IFERROR(__xludf.DUMMYFUNCTION("""COMPUTED_VALUE"""),"Process &amp; Thread Management")</f>
        <v>Process &amp; Thread Management</v>
      </c>
      <c r="F57" s="7" t="str">
        <f>IFERROR(__xludf.DUMMYFUNCTION("""COMPUTED_VALUE"""),"S012 unlocks S003")</f>
        <v>S012 unlocks S003</v>
      </c>
    </row>
    <row r="58">
      <c r="A58" s="7" t="str">
        <f>IFERROR(__xludf.DUMMYFUNCTION("""COMPUTED_VALUE"""),"PE0057")</f>
        <v>PE0057</v>
      </c>
      <c r="B58" s="7" t="str">
        <f>IFERROR(__xludf.DUMMYFUNCTION("""COMPUTED_VALUE"""),"S012")</f>
        <v>S012</v>
      </c>
      <c r="C58" s="7" t="str">
        <f>IFERROR(__xludf.DUMMYFUNCTION("""COMPUTED_VALUE"""),"Time &amp; Space Complexity (Big-O Analysis)")</f>
        <v>Time &amp; Space Complexity (Big-O Analysis)</v>
      </c>
      <c r="D58" s="7" t="str">
        <f>IFERROR(__xludf.DUMMYFUNCTION("""COMPUTED_VALUE"""),"S004")</f>
        <v>S004</v>
      </c>
      <c r="E58" s="7" t="str">
        <f>IFERROR(__xludf.DUMMYFUNCTION("""COMPUTED_VALUE"""),"Memory Management &amp; Paging")</f>
        <v>Memory Management &amp; Paging</v>
      </c>
      <c r="F58" s="7" t="str">
        <f>IFERROR(__xludf.DUMMYFUNCTION("""COMPUTED_VALUE"""),"S012 unlocks S004")</f>
        <v>S012 unlocks S004</v>
      </c>
    </row>
    <row r="59">
      <c r="A59" s="7" t="str">
        <f>IFERROR(__xludf.DUMMYFUNCTION("""COMPUTED_VALUE"""),"PE0058")</f>
        <v>PE0058</v>
      </c>
      <c r="B59" s="7" t="str">
        <f>IFERROR(__xludf.DUMMYFUNCTION("""COMPUTED_VALUE"""),"S012")</f>
        <v>S012</v>
      </c>
      <c r="C59" s="7" t="str">
        <f>IFERROR(__xludf.DUMMYFUNCTION("""COMPUTED_VALUE"""),"Time &amp; Space Complexity (Big-O Analysis)")</f>
        <v>Time &amp; Space Complexity (Big-O Analysis)</v>
      </c>
      <c r="D59" s="7" t="str">
        <f>IFERROR(__xludf.DUMMYFUNCTION("""COMPUTED_VALUE"""),"S007")</f>
        <v>S007</v>
      </c>
      <c r="E59" s="7" t="str">
        <f>IFERROR(__xludf.DUMMYFUNCTION("""COMPUTED_VALUE"""),"Trees &amp; Binary Search Trees")</f>
        <v>Trees &amp; Binary Search Trees</v>
      </c>
      <c r="F59" s="7" t="str">
        <f>IFERROR(__xludf.DUMMYFUNCTION("""COMPUTED_VALUE"""),"S012 unlocks S007")</f>
        <v>S012 unlocks S007</v>
      </c>
    </row>
    <row r="60">
      <c r="A60" s="7" t="str">
        <f>IFERROR(__xludf.DUMMYFUNCTION("""COMPUTED_VALUE"""),"PE0059")</f>
        <v>PE0059</v>
      </c>
      <c r="B60" s="7" t="str">
        <f>IFERROR(__xludf.DUMMYFUNCTION("""COMPUTED_VALUE"""),"S012")</f>
        <v>S012</v>
      </c>
      <c r="C60" s="7" t="str">
        <f>IFERROR(__xludf.DUMMYFUNCTION("""COMPUTED_VALUE"""),"Time &amp; Space Complexity (Big-O Analysis)")</f>
        <v>Time &amp; Space Complexity (Big-O Analysis)</v>
      </c>
      <c r="D60" s="7" t="str">
        <f>IFERROR(__xludf.DUMMYFUNCTION("""COMPUTED_VALUE"""),"S008")</f>
        <v>S008</v>
      </c>
      <c r="E60" s="7" t="str">
        <f>IFERROR(__xludf.DUMMYFUNCTION("""COMPUTED_VALUE"""),"Heaps, Priority Queues &amp; Hashing")</f>
        <v>Heaps, Priority Queues &amp; Hashing</v>
      </c>
      <c r="F60" s="7" t="str">
        <f>IFERROR(__xludf.DUMMYFUNCTION("""COMPUTED_VALUE"""),"S012 unlocks S008")</f>
        <v>S012 unlocks S008</v>
      </c>
    </row>
    <row r="61">
      <c r="A61" s="7" t="str">
        <f>IFERROR(__xludf.DUMMYFUNCTION("""COMPUTED_VALUE"""),"PE0060")</f>
        <v>PE0060</v>
      </c>
      <c r="B61" s="7" t="str">
        <f>IFERROR(__xludf.DUMMYFUNCTION("""COMPUTED_VALUE"""),"S012")</f>
        <v>S012</v>
      </c>
      <c r="C61" s="7" t="str">
        <f>IFERROR(__xludf.DUMMYFUNCTION("""COMPUTED_VALUE"""),"Time &amp; Space Complexity (Big-O Analysis)")</f>
        <v>Time &amp; Space Complexity (Big-O Analysis)</v>
      </c>
      <c r="D61" s="7" t="str">
        <f>IFERROR(__xludf.DUMMYFUNCTION("""COMPUTED_VALUE"""),"S009")</f>
        <v>S009</v>
      </c>
      <c r="E61" s="7" t="str">
        <f>IFERROR(__xludf.DUMMYFUNCTION("""COMPUTED_VALUE"""),"Graphs &amp; Graph Traversal (BFS/DFS)")</f>
        <v>Graphs &amp; Graph Traversal (BFS/DFS)</v>
      </c>
      <c r="F61" s="7" t="str">
        <f>IFERROR(__xludf.DUMMYFUNCTION("""COMPUTED_VALUE"""),"S012 unlocks S009")</f>
        <v>S012 unlocks S009</v>
      </c>
    </row>
    <row r="62">
      <c r="A62" s="7" t="str">
        <f>IFERROR(__xludf.DUMMYFUNCTION("""COMPUTED_VALUE"""),"PE0061")</f>
        <v>PE0061</v>
      </c>
      <c r="B62" s="7" t="str">
        <f>IFERROR(__xludf.DUMMYFUNCTION("""COMPUTED_VALUE"""),"S012")</f>
        <v>S012</v>
      </c>
      <c r="C62" s="7" t="str">
        <f>IFERROR(__xludf.DUMMYFUNCTION("""COMPUTED_VALUE"""),"Time &amp; Space Complexity (Big-O Analysis)")</f>
        <v>Time &amp; Space Complexity (Big-O Analysis)</v>
      </c>
      <c r="D62" s="7" t="str">
        <f>IFERROR(__xludf.DUMMYFUNCTION("""COMPUTED_VALUE"""),"S014")</f>
        <v>S014</v>
      </c>
      <c r="E62" s="7" t="str">
        <f>IFERROR(__xludf.DUMMYFUNCTION("""COMPUTED_VALUE"""),"Functional Programming Concepts")</f>
        <v>Functional Programming Concepts</v>
      </c>
      <c r="F62" s="7" t="str">
        <f>IFERROR(__xludf.DUMMYFUNCTION("""COMPUTED_VALUE"""),"S012 unlocks S014")</f>
        <v>S012 unlocks S014</v>
      </c>
    </row>
    <row r="63">
      <c r="A63" s="7" t="str">
        <f>IFERROR(__xludf.DUMMYFUNCTION("""COMPUTED_VALUE"""),"PE0062")</f>
        <v>PE0062</v>
      </c>
      <c r="B63" s="7" t="str">
        <f>IFERROR(__xludf.DUMMYFUNCTION("""COMPUTED_VALUE"""),"S012")</f>
        <v>S012</v>
      </c>
      <c r="C63" s="7" t="str">
        <f>IFERROR(__xludf.DUMMYFUNCTION("""COMPUTED_VALUE"""),"Time &amp; Space Complexity (Big-O Analysis)")</f>
        <v>Time &amp; Space Complexity (Big-O Analysis)</v>
      </c>
      <c r="D63" s="7" t="str">
        <f>IFERROR(__xludf.DUMMYFUNCTION("""COMPUTED_VALUE"""),"S016")</f>
        <v>S016</v>
      </c>
      <c r="E63" s="7" t="str">
        <f>IFERROR(__xludf.DUMMYFUNCTION("""COMPUTED_VALUE"""),"SOLID Principles &amp; Clean Code")</f>
        <v>SOLID Principles &amp; Clean Code</v>
      </c>
      <c r="F63" s="7" t="str">
        <f>IFERROR(__xludf.DUMMYFUNCTION("""COMPUTED_VALUE"""),"S012 unlocks S016")</f>
        <v>S012 unlocks S016</v>
      </c>
    </row>
    <row r="64">
      <c r="A64" s="7" t="str">
        <f>IFERROR(__xludf.DUMMYFUNCTION("""COMPUTED_VALUE"""),"PE0063")</f>
        <v>PE0063</v>
      </c>
      <c r="B64" s="7" t="str">
        <f>IFERROR(__xludf.DUMMYFUNCTION("""COMPUTED_VALUE"""),"S012")</f>
        <v>S012</v>
      </c>
      <c r="C64" s="7" t="str">
        <f>IFERROR(__xludf.DUMMYFUNCTION("""COMPUTED_VALUE"""),"Time &amp; Space Complexity (Big-O Analysis)")</f>
        <v>Time &amp; Space Complexity (Big-O Analysis)</v>
      </c>
      <c r="D64" s="7" t="str">
        <f>IFERROR(__xludf.DUMMYFUNCTION("""COMPUTED_VALUE"""),"S020")</f>
        <v>S020</v>
      </c>
      <c r="E64" s="7" t="str">
        <f>IFERROR(__xludf.DUMMYFUNCTION("""COMPUTED_VALUE"""),"Bash &amp; Shell Scripting")</f>
        <v>Bash &amp; Shell Scripting</v>
      </c>
      <c r="F64" s="7" t="str">
        <f>IFERROR(__xludf.DUMMYFUNCTION("""COMPUTED_VALUE"""),"S012 unlocks S020")</f>
        <v>S012 unlocks S020</v>
      </c>
    </row>
    <row r="65">
      <c r="A65" s="7" t="str">
        <f>IFERROR(__xludf.DUMMYFUNCTION("""COMPUTED_VALUE"""),"PE0064")</f>
        <v>PE0064</v>
      </c>
      <c r="B65" s="7" t="str">
        <f>IFERROR(__xludf.DUMMYFUNCTION("""COMPUTED_VALUE"""),"S012")</f>
        <v>S012</v>
      </c>
      <c r="C65" s="7" t="str">
        <f>IFERROR(__xludf.DUMMYFUNCTION("""COMPUTED_VALUE"""),"Time &amp; Space Complexity (Big-O Analysis)")</f>
        <v>Time &amp; Space Complexity (Big-O Analysis)</v>
      </c>
      <c r="D65" s="7" t="str">
        <f>IFERROR(__xludf.DUMMYFUNCTION("""COMPUTED_VALUE"""),"S021")</f>
        <v>S021</v>
      </c>
      <c r="E65" s="7" t="str">
        <f>IFERROR(__xludf.DUMMYFUNCTION("""COMPUTED_VALUE"""),"PowerShell Scripting")</f>
        <v>PowerShell Scripting</v>
      </c>
      <c r="F65" s="7" t="str">
        <f>IFERROR(__xludf.DUMMYFUNCTION("""COMPUTED_VALUE"""),"S012 unlocks S021")</f>
        <v>S012 unlocks S021</v>
      </c>
    </row>
    <row r="66">
      <c r="A66" s="7" t="str">
        <f>IFERROR(__xludf.DUMMYFUNCTION("""COMPUTED_VALUE"""),"PE0065")</f>
        <v>PE0065</v>
      </c>
      <c r="B66" s="7" t="str">
        <f>IFERROR(__xludf.DUMMYFUNCTION("""COMPUTED_VALUE"""),"S012")</f>
        <v>S012</v>
      </c>
      <c r="C66" s="7" t="str">
        <f>IFERROR(__xludf.DUMMYFUNCTION("""COMPUTED_VALUE"""),"Time &amp; Space Complexity (Big-O Analysis)")</f>
        <v>Time &amp; Space Complexity (Big-O Analysis)</v>
      </c>
      <c r="D66" s="7" t="str">
        <f>IFERROR(__xludf.DUMMYFUNCTION("""COMPUTED_VALUE"""),"S024")</f>
        <v>S024</v>
      </c>
      <c r="E66" s="7" t="str">
        <f>IFERROR(__xludf.DUMMYFUNCTION("""COMPUTED_VALUE"""),"DNS, Domain Routing &amp; SSL/TLS")</f>
        <v>DNS, Domain Routing &amp; SSL/TLS</v>
      </c>
      <c r="F66" s="7" t="str">
        <f>IFERROR(__xludf.DUMMYFUNCTION("""COMPUTED_VALUE"""),"S012 unlocks S024")</f>
        <v>S012 unlocks S024</v>
      </c>
    </row>
    <row r="67">
      <c r="A67" s="7" t="str">
        <f>IFERROR(__xludf.DUMMYFUNCTION("""COMPUTED_VALUE"""),"PE0066")</f>
        <v>PE0066</v>
      </c>
      <c r="B67" s="7" t="str">
        <f>IFERROR(__xludf.DUMMYFUNCTION("""COMPUTED_VALUE"""),"S012")</f>
        <v>S012</v>
      </c>
      <c r="C67" s="7" t="str">
        <f>IFERROR(__xludf.DUMMYFUNCTION("""COMPUTED_VALUE"""),"Time &amp; Space Complexity (Big-O Analysis)")</f>
        <v>Time &amp; Space Complexity (Big-O Analysis)</v>
      </c>
      <c r="D67" s="7" t="str">
        <f>IFERROR(__xludf.DUMMYFUNCTION("""COMPUTED_VALUE"""),"S029")</f>
        <v>S029</v>
      </c>
      <c r="E67" s="7" t="str">
        <f>IFERROR(__xludf.DUMMYFUNCTION("""COMPUTED_VALUE"""),"Debugging, Profiling &amp; Root Cause Analysis")</f>
        <v>Debugging, Profiling &amp; Root Cause Analysis</v>
      </c>
      <c r="F67" s="7" t="str">
        <f>IFERROR(__xludf.DUMMYFUNCTION("""COMPUTED_VALUE"""),"S012 unlocks S029")</f>
        <v>S012 unlocks S029</v>
      </c>
    </row>
    <row r="68">
      <c r="A68" s="7" t="str">
        <f>IFERROR(__xludf.DUMMYFUNCTION("""COMPUTED_VALUE"""),"PE0067")</f>
        <v>PE0067</v>
      </c>
      <c r="B68" s="7" t="str">
        <f>IFERROR(__xludf.DUMMYFUNCTION("""COMPUTED_VALUE"""),"S013")</f>
        <v>S013</v>
      </c>
      <c r="C68" s="7" t="str">
        <f>IFERROR(__xludf.DUMMYFUNCTION("""COMPUTED_VALUE"""),"Object-Oriented Programming (OOP)")</f>
        <v>Object-Oriented Programming (OOP)</v>
      </c>
      <c r="D68" s="7" t="str">
        <f>IFERROR(__xludf.DUMMYFUNCTION("""COMPUTED_VALUE"""),"S003")</f>
        <v>S003</v>
      </c>
      <c r="E68" s="7" t="str">
        <f>IFERROR(__xludf.DUMMYFUNCTION("""COMPUTED_VALUE"""),"Process &amp; Thread Management")</f>
        <v>Process &amp; Thread Management</v>
      </c>
      <c r="F68" s="7" t="str">
        <f>IFERROR(__xludf.DUMMYFUNCTION("""COMPUTED_VALUE"""),"S013 unlocks S003")</f>
        <v>S013 unlocks S003</v>
      </c>
    </row>
    <row r="69">
      <c r="A69" s="7" t="str">
        <f>IFERROR(__xludf.DUMMYFUNCTION("""COMPUTED_VALUE"""),"PE0068")</f>
        <v>PE0068</v>
      </c>
      <c r="B69" s="7" t="str">
        <f>IFERROR(__xludf.DUMMYFUNCTION("""COMPUTED_VALUE"""),"S013")</f>
        <v>S013</v>
      </c>
      <c r="C69" s="7" t="str">
        <f>IFERROR(__xludf.DUMMYFUNCTION("""COMPUTED_VALUE"""),"Object-Oriented Programming (OOP)")</f>
        <v>Object-Oriented Programming (OOP)</v>
      </c>
      <c r="D69" s="7" t="str">
        <f>IFERROR(__xludf.DUMMYFUNCTION("""COMPUTED_VALUE"""),"S004")</f>
        <v>S004</v>
      </c>
      <c r="E69" s="7" t="str">
        <f>IFERROR(__xludf.DUMMYFUNCTION("""COMPUTED_VALUE"""),"Memory Management &amp; Paging")</f>
        <v>Memory Management &amp; Paging</v>
      </c>
      <c r="F69" s="7" t="str">
        <f>IFERROR(__xludf.DUMMYFUNCTION("""COMPUTED_VALUE"""),"S013 unlocks S004")</f>
        <v>S013 unlocks S004</v>
      </c>
    </row>
    <row r="70">
      <c r="A70" s="7" t="str">
        <f>IFERROR(__xludf.DUMMYFUNCTION("""COMPUTED_VALUE"""),"PE0069")</f>
        <v>PE0069</v>
      </c>
      <c r="B70" s="7" t="str">
        <f>IFERROR(__xludf.DUMMYFUNCTION("""COMPUTED_VALUE"""),"S013")</f>
        <v>S013</v>
      </c>
      <c r="C70" s="7" t="str">
        <f>IFERROR(__xludf.DUMMYFUNCTION("""COMPUTED_VALUE"""),"Object-Oriented Programming (OOP)")</f>
        <v>Object-Oriented Programming (OOP)</v>
      </c>
      <c r="D70" s="7" t="str">
        <f>IFERROR(__xludf.DUMMYFUNCTION("""COMPUTED_VALUE"""),"S007")</f>
        <v>S007</v>
      </c>
      <c r="E70" s="7" t="str">
        <f>IFERROR(__xludf.DUMMYFUNCTION("""COMPUTED_VALUE"""),"Trees &amp; Binary Search Trees")</f>
        <v>Trees &amp; Binary Search Trees</v>
      </c>
      <c r="F70" s="7" t="str">
        <f>IFERROR(__xludf.DUMMYFUNCTION("""COMPUTED_VALUE"""),"S013 unlocks S007")</f>
        <v>S013 unlocks S007</v>
      </c>
    </row>
    <row r="71">
      <c r="A71" s="7" t="str">
        <f>IFERROR(__xludf.DUMMYFUNCTION("""COMPUTED_VALUE"""),"PE0070")</f>
        <v>PE0070</v>
      </c>
      <c r="B71" s="7" t="str">
        <f>IFERROR(__xludf.DUMMYFUNCTION("""COMPUTED_VALUE"""),"S013")</f>
        <v>S013</v>
      </c>
      <c r="C71" s="7" t="str">
        <f>IFERROR(__xludf.DUMMYFUNCTION("""COMPUTED_VALUE"""),"Object-Oriented Programming (OOP)")</f>
        <v>Object-Oriented Programming (OOP)</v>
      </c>
      <c r="D71" s="7" t="str">
        <f>IFERROR(__xludf.DUMMYFUNCTION("""COMPUTED_VALUE"""),"S008")</f>
        <v>S008</v>
      </c>
      <c r="E71" s="7" t="str">
        <f>IFERROR(__xludf.DUMMYFUNCTION("""COMPUTED_VALUE"""),"Heaps, Priority Queues &amp; Hashing")</f>
        <v>Heaps, Priority Queues &amp; Hashing</v>
      </c>
      <c r="F71" s="7" t="str">
        <f>IFERROR(__xludf.DUMMYFUNCTION("""COMPUTED_VALUE"""),"S013 unlocks S008")</f>
        <v>S013 unlocks S008</v>
      </c>
    </row>
    <row r="72">
      <c r="A72" s="7" t="str">
        <f>IFERROR(__xludf.DUMMYFUNCTION("""COMPUTED_VALUE"""),"PE0071")</f>
        <v>PE0071</v>
      </c>
      <c r="B72" s="7" t="str">
        <f>IFERROR(__xludf.DUMMYFUNCTION("""COMPUTED_VALUE"""),"S013")</f>
        <v>S013</v>
      </c>
      <c r="C72" s="7" t="str">
        <f>IFERROR(__xludf.DUMMYFUNCTION("""COMPUTED_VALUE"""),"Object-Oriented Programming (OOP)")</f>
        <v>Object-Oriented Programming (OOP)</v>
      </c>
      <c r="D72" s="7" t="str">
        <f>IFERROR(__xludf.DUMMYFUNCTION("""COMPUTED_VALUE"""),"S009")</f>
        <v>S009</v>
      </c>
      <c r="E72" s="7" t="str">
        <f>IFERROR(__xludf.DUMMYFUNCTION("""COMPUTED_VALUE"""),"Graphs &amp; Graph Traversal (BFS/DFS)")</f>
        <v>Graphs &amp; Graph Traversal (BFS/DFS)</v>
      </c>
      <c r="F72" s="7" t="str">
        <f>IFERROR(__xludf.DUMMYFUNCTION("""COMPUTED_VALUE"""),"S013 unlocks S009")</f>
        <v>S013 unlocks S009</v>
      </c>
    </row>
    <row r="73">
      <c r="A73" s="7" t="str">
        <f>IFERROR(__xludf.DUMMYFUNCTION("""COMPUTED_VALUE"""),"PE0072")</f>
        <v>PE0072</v>
      </c>
      <c r="B73" s="7" t="str">
        <f>IFERROR(__xludf.DUMMYFUNCTION("""COMPUTED_VALUE"""),"S013")</f>
        <v>S013</v>
      </c>
      <c r="C73" s="7" t="str">
        <f>IFERROR(__xludf.DUMMYFUNCTION("""COMPUTED_VALUE"""),"Object-Oriented Programming (OOP)")</f>
        <v>Object-Oriented Programming (OOP)</v>
      </c>
      <c r="D73" s="7" t="str">
        <f>IFERROR(__xludf.DUMMYFUNCTION("""COMPUTED_VALUE"""),"S014")</f>
        <v>S014</v>
      </c>
      <c r="E73" s="7" t="str">
        <f>IFERROR(__xludf.DUMMYFUNCTION("""COMPUTED_VALUE"""),"Functional Programming Concepts")</f>
        <v>Functional Programming Concepts</v>
      </c>
      <c r="F73" s="7" t="str">
        <f>IFERROR(__xludf.DUMMYFUNCTION("""COMPUTED_VALUE"""),"S013 unlocks S014")</f>
        <v>S013 unlocks S014</v>
      </c>
    </row>
    <row r="74">
      <c r="A74" s="7" t="str">
        <f>IFERROR(__xludf.DUMMYFUNCTION("""COMPUTED_VALUE"""),"PE0073")</f>
        <v>PE0073</v>
      </c>
      <c r="B74" s="7" t="str">
        <f>IFERROR(__xludf.DUMMYFUNCTION("""COMPUTED_VALUE"""),"S013")</f>
        <v>S013</v>
      </c>
      <c r="C74" s="7" t="str">
        <f>IFERROR(__xludf.DUMMYFUNCTION("""COMPUTED_VALUE"""),"Object-Oriented Programming (OOP)")</f>
        <v>Object-Oriented Programming (OOP)</v>
      </c>
      <c r="D74" s="7" t="str">
        <f>IFERROR(__xludf.DUMMYFUNCTION("""COMPUTED_VALUE"""),"S016")</f>
        <v>S016</v>
      </c>
      <c r="E74" s="7" t="str">
        <f>IFERROR(__xludf.DUMMYFUNCTION("""COMPUTED_VALUE"""),"SOLID Principles &amp; Clean Code")</f>
        <v>SOLID Principles &amp; Clean Code</v>
      </c>
      <c r="F74" s="7" t="str">
        <f>IFERROR(__xludf.DUMMYFUNCTION("""COMPUTED_VALUE"""),"S013 unlocks S016")</f>
        <v>S013 unlocks S016</v>
      </c>
    </row>
    <row r="75">
      <c r="A75" s="7" t="str">
        <f>IFERROR(__xludf.DUMMYFUNCTION("""COMPUTED_VALUE"""),"PE0074")</f>
        <v>PE0074</v>
      </c>
      <c r="B75" s="7" t="str">
        <f>IFERROR(__xludf.DUMMYFUNCTION("""COMPUTED_VALUE"""),"S013")</f>
        <v>S013</v>
      </c>
      <c r="C75" s="7" t="str">
        <f>IFERROR(__xludf.DUMMYFUNCTION("""COMPUTED_VALUE"""),"Object-Oriented Programming (OOP)")</f>
        <v>Object-Oriented Programming (OOP)</v>
      </c>
      <c r="D75" s="7" t="str">
        <f>IFERROR(__xludf.DUMMYFUNCTION("""COMPUTED_VALUE"""),"S020")</f>
        <v>S020</v>
      </c>
      <c r="E75" s="7" t="str">
        <f>IFERROR(__xludf.DUMMYFUNCTION("""COMPUTED_VALUE"""),"Bash &amp; Shell Scripting")</f>
        <v>Bash &amp; Shell Scripting</v>
      </c>
      <c r="F75" s="7" t="str">
        <f>IFERROR(__xludf.DUMMYFUNCTION("""COMPUTED_VALUE"""),"S013 unlocks S020")</f>
        <v>S013 unlocks S020</v>
      </c>
    </row>
    <row r="76">
      <c r="A76" s="7" t="str">
        <f>IFERROR(__xludf.DUMMYFUNCTION("""COMPUTED_VALUE"""),"PE0075")</f>
        <v>PE0075</v>
      </c>
      <c r="B76" s="7" t="str">
        <f>IFERROR(__xludf.DUMMYFUNCTION("""COMPUTED_VALUE"""),"S013")</f>
        <v>S013</v>
      </c>
      <c r="C76" s="7" t="str">
        <f>IFERROR(__xludf.DUMMYFUNCTION("""COMPUTED_VALUE"""),"Object-Oriented Programming (OOP)")</f>
        <v>Object-Oriented Programming (OOP)</v>
      </c>
      <c r="D76" s="7" t="str">
        <f>IFERROR(__xludf.DUMMYFUNCTION("""COMPUTED_VALUE"""),"S021")</f>
        <v>S021</v>
      </c>
      <c r="E76" s="7" t="str">
        <f>IFERROR(__xludf.DUMMYFUNCTION("""COMPUTED_VALUE"""),"PowerShell Scripting")</f>
        <v>PowerShell Scripting</v>
      </c>
      <c r="F76" s="7" t="str">
        <f>IFERROR(__xludf.DUMMYFUNCTION("""COMPUTED_VALUE"""),"S013 unlocks S021")</f>
        <v>S013 unlocks S021</v>
      </c>
    </row>
    <row r="77">
      <c r="A77" s="7" t="str">
        <f>IFERROR(__xludf.DUMMYFUNCTION("""COMPUTED_VALUE"""),"PE0076")</f>
        <v>PE0076</v>
      </c>
      <c r="B77" s="7" t="str">
        <f>IFERROR(__xludf.DUMMYFUNCTION("""COMPUTED_VALUE"""),"S013")</f>
        <v>S013</v>
      </c>
      <c r="C77" s="7" t="str">
        <f>IFERROR(__xludf.DUMMYFUNCTION("""COMPUTED_VALUE"""),"Object-Oriented Programming (OOP)")</f>
        <v>Object-Oriented Programming (OOP)</v>
      </c>
      <c r="D77" s="7" t="str">
        <f>IFERROR(__xludf.DUMMYFUNCTION("""COMPUTED_VALUE"""),"S024")</f>
        <v>S024</v>
      </c>
      <c r="E77" s="7" t="str">
        <f>IFERROR(__xludf.DUMMYFUNCTION("""COMPUTED_VALUE"""),"DNS, Domain Routing &amp; SSL/TLS")</f>
        <v>DNS, Domain Routing &amp; SSL/TLS</v>
      </c>
      <c r="F77" s="7" t="str">
        <f>IFERROR(__xludf.DUMMYFUNCTION("""COMPUTED_VALUE"""),"S013 unlocks S024")</f>
        <v>S013 unlocks S024</v>
      </c>
    </row>
    <row r="78">
      <c r="A78" s="7" t="str">
        <f>IFERROR(__xludf.DUMMYFUNCTION("""COMPUTED_VALUE"""),"PE0077")</f>
        <v>PE0077</v>
      </c>
      <c r="B78" s="7" t="str">
        <f>IFERROR(__xludf.DUMMYFUNCTION("""COMPUTED_VALUE"""),"S013")</f>
        <v>S013</v>
      </c>
      <c r="C78" s="7" t="str">
        <f>IFERROR(__xludf.DUMMYFUNCTION("""COMPUTED_VALUE"""),"Object-Oriented Programming (OOP)")</f>
        <v>Object-Oriented Programming (OOP)</v>
      </c>
      <c r="D78" s="7" t="str">
        <f>IFERROR(__xludf.DUMMYFUNCTION("""COMPUTED_VALUE"""),"S029")</f>
        <v>S029</v>
      </c>
      <c r="E78" s="7" t="str">
        <f>IFERROR(__xludf.DUMMYFUNCTION("""COMPUTED_VALUE"""),"Debugging, Profiling &amp; Root Cause Analysis")</f>
        <v>Debugging, Profiling &amp; Root Cause Analysis</v>
      </c>
      <c r="F78" s="7" t="str">
        <f>IFERROR(__xludf.DUMMYFUNCTION("""COMPUTED_VALUE"""),"S013 unlocks S029")</f>
        <v>S013 unlocks S029</v>
      </c>
    </row>
    <row r="79">
      <c r="A79" s="7" t="str">
        <f>IFERROR(__xludf.DUMMYFUNCTION("""COMPUTED_VALUE"""),"PE0078")</f>
        <v>PE0078</v>
      </c>
      <c r="B79" s="7" t="str">
        <f>IFERROR(__xludf.DUMMYFUNCTION("""COMPUTED_VALUE"""),"S017")</f>
        <v>S017</v>
      </c>
      <c r="C79" s="7" t="str">
        <f>IFERROR(__xludf.DUMMYFUNCTION("""COMPUTED_VALUE"""),"Git Version Control Fundamentals")</f>
        <v>Git Version Control Fundamentals</v>
      </c>
      <c r="D79" s="7" t="str">
        <f>IFERROR(__xludf.DUMMYFUNCTION("""COMPUTED_VALUE"""),"S003")</f>
        <v>S003</v>
      </c>
      <c r="E79" s="7" t="str">
        <f>IFERROR(__xludf.DUMMYFUNCTION("""COMPUTED_VALUE"""),"Process &amp; Thread Management")</f>
        <v>Process &amp; Thread Management</v>
      </c>
      <c r="F79" s="7" t="str">
        <f>IFERROR(__xludf.DUMMYFUNCTION("""COMPUTED_VALUE"""),"S017 unlocks S003")</f>
        <v>S017 unlocks S003</v>
      </c>
    </row>
    <row r="80">
      <c r="A80" s="7" t="str">
        <f>IFERROR(__xludf.DUMMYFUNCTION("""COMPUTED_VALUE"""),"PE0079")</f>
        <v>PE0079</v>
      </c>
      <c r="B80" s="7" t="str">
        <f>IFERROR(__xludf.DUMMYFUNCTION("""COMPUTED_VALUE"""),"S017")</f>
        <v>S017</v>
      </c>
      <c r="C80" s="7" t="str">
        <f>IFERROR(__xludf.DUMMYFUNCTION("""COMPUTED_VALUE"""),"Git Version Control Fundamentals")</f>
        <v>Git Version Control Fundamentals</v>
      </c>
      <c r="D80" s="7" t="str">
        <f>IFERROR(__xludf.DUMMYFUNCTION("""COMPUTED_VALUE"""),"S004")</f>
        <v>S004</v>
      </c>
      <c r="E80" s="7" t="str">
        <f>IFERROR(__xludf.DUMMYFUNCTION("""COMPUTED_VALUE"""),"Memory Management &amp; Paging")</f>
        <v>Memory Management &amp; Paging</v>
      </c>
      <c r="F80" s="7" t="str">
        <f>IFERROR(__xludf.DUMMYFUNCTION("""COMPUTED_VALUE"""),"S017 unlocks S004")</f>
        <v>S017 unlocks S004</v>
      </c>
    </row>
    <row r="81">
      <c r="A81" s="7" t="str">
        <f>IFERROR(__xludf.DUMMYFUNCTION("""COMPUTED_VALUE"""),"PE0080")</f>
        <v>PE0080</v>
      </c>
      <c r="B81" s="7" t="str">
        <f>IFERROR(__xludf.DUMMYFUNCTION("""COMPUTED_VALUE"""),"S017")</f>
        <v>S017</v>
      </c>
      <c r="C81" s="7" t="str">
        <f>IFERROR(__xludf.DUMMYFUNCTION("""COMPUTED_VALUE"""),"Git Version Control Fundamentals")</f>
        <v>Git Version Control Fundamentals</v>
      </c>
      <c r="D81" s="7" t="str">
        <f>IFERROR(__xludf.DUMMYFUNCTION("""COMPUTED_VALUE"""),"S007")</f>
        <v>S007</v>
      </c>
      <c r="E81" s="7" t="str">
        <f>IFERROR(__xludf.DUMMYFUNCTION("""COMPUTED_VALUE"""),"Trees &amp; Binary Search Trees")</f>
        <v>Trees &amp; Binary Search Trees</v>
      </c>
      <c r="F81" s="7" t="str">
        <f>IFERROR(__xludf.DUMMYFUNCTION("""COMPUTED_VALUE"""),"S017 unlocks S007")</f>
        <v>S017 unlocks S007</v>
      </c>
    </row>
    <row r="82">
      <c r="A82" s="7" t="str">
        <f>IFERROR(__xludf.DUMMYFUNCTION("""COMPUTED_VALUE"""),"PE0081")</f>
        <v>PE0081</v>
      </c>
      <c r="B82" s="7" t="str">
        <f>IFERROR(__xludf.DUMMYFUNCTION("""COMPUTED_VALUE"""),"S017")</f>
        <v>S017</v>
      </c>
      <c r="C82" s="7" t="str">
        <f>IFERROR(__xludf.DUMMYFUNCTION("""COMPUTED_VALUE"""),"Git Version Control Fundamentals")</f>
        <v>Git Version Control Fundamentals</v>
      </c>
      <c r="D82" s="7" t="str">
        <f>IFERROR(__xludf.DUMMYFUNCTION("""COMPUTED_VALUE"""),"S008")</f>
        <v>S008</v>
      </c>
      <c r="E82" s="7" t="str">
        <f>IFERROR(__xludf.DUMMYFUNCTION("""COMPUTED_VALUE"""),"Heaps, Priority Queues &amp; Hashing")</f>
        <v>Heaps, Priority Queues &amp; Hashing</v>
      </c>
      <c r="F82" s="7" t="str">
        <f>IFERROR(__xludf.DUMMYFUNCTION("""COMPUTED_VALUE"""),"S017 unlocks S008")</f>
        <v>S017 unlocks S008</v>
      </c>
    </row>
    <row r="83">
      <c r="A83" s="7" t="str">
        <f>IFERROR(__xludf.DUMMYFUNCTION("""COMPUTED_VALUE"""),"PE0082")</f>
        <v>PE0082</v>
      </c>
      <c r="B83" s="7" t="str">
        <f>IFERROR(__xludf.DUMMYFUNCTION("""COMPUTED_VALUE"""),"S017")</f>
        <v>S017</v>
      </c>
      <c r="C83" s="7" t="str">
        <f>IFERROR(__xludf.DUMMYFUNCTION("""COMPUTED_VALUE"""),"Git Version Control Fundamentals")</f>
        <v>Git Version Control Fundamentals</v>
      </c>
      <c r="D83" s="7" t="str">
        <f>IFERROR(__xludf.DUMMYFUNCTION("""COMPUTED_VALUE"""),"S009")</f>
        <v>S009</v>
      </c>
      <c r="E83" s="7" t="str">
        <f>IFERROR(__xludf.DUMMYFUNCTION("""COMPUTED_VALUE"""),"Graphs &amp; Graph Traversal (BFS/DFS)")</f>
        <v>Graphs &amp; Graph Traversal (BFS/DFS)</v>
      </c>
      <c r="F83" s="7" t="str">
        <f>IFERROR(__xludf.DUMMYFUNCTION("""COMPUTED_VALUE"""),"S017 unlocks S009")</f>
        <v>S017 unlocks S009</v>
      </c>
    </row>
    <row r="84">
      <c r="A84" s="7" t="str">
        <f>IFERROR(__xludf.DUMMYFUNCTION("""COMPUTED_VALUE"""),"PE0083")</f>
        <v>PE0083</v>
      </c>
      <c r="B84" s="7" t="str">
        <f>IFERROR(__xludf.DUMMYFUNCTION("""COMPUTED_VALUE"""),"S017")</f>
        <v>S017</v>
      </c>
      <c r="C84" s="7" t="str">
        <f>IFERROR(__xludf.DUMMYFUNCTION("""COMPUTED_VALUE"""),"Git Version Control Fundamentals")</f>
        <v>Git Version Control Fundamentals</v>
      </c>
      <c r="D84" s="7" t="str">
        <f>IFERROR(__xludf.DUMMYFUNCTION("""COMPUTED_VALUE"""),"S014")</f>
        <v>S014</v>
      </c>
      <c r="E84" s="7" t="str">
        <f>IFERROR(__xludf.DUMMYFUNCTION("""COMPUTED_VALUE"""),"Functional Programming Concepts")</f>
        <v>Functional Programming Concepts</v>
      </c>
      <c r="F84" s="7" t="str">
        <f>IFERROR(__xludf.DUMMYFUNCTION("""COMPUTED_VALUE"""),"S017 unlocks S014")</f>
        <v>S017 unlocks S014</v>
      </c>
    </row>
    <row r="85">
      <c r="A85" s="7" t="str">
        <f>IFERROR(__xludf.DUMMYFUNCTION("""COMPUTED_VALUE"""),"PE0084")</f>
        <v>PE0084</v>
      </c>
      <c r="B85" s="7" t="str">
        <f>IFERROR(__xludf.DUMMYFUNCTION("""COMPUTED_VALUE"""),"S017")</f>
        <v>S017</v>
      </c>
      <c r="C85" s="7" t="str">
        <f>IFERROR(__xludf.DUMMYFUNCTION("""COMPUTED_VALUE"""),"Git Version Control Fundamentals")</f>
        <v>Git Version Control Fundamentals</v>
      </c>
      <c r="D85" s="7" t="str">
        <f>IFERROR(__xludf.DUMMYFUNCTION("""COMPUTED_VALUE"""),"S016")</f>
        <v>S016</v>
      </c>
      <c r="E85" s="7" t="str">
        <f>IFERROR(__xludf.DUMMYFUNCTION("""COMPUTED_VALUE"""),"SOLID Principles &amp; Clean Code")</f>
        <v>SOLID Principles &amp; Clean Code</v>
      </c>
      <c r="F85" s="7" t="str">
        <f>IFERROR(__xludf.DUMMYFUNCTION("""COMPUTED_VALUE"""),"S017 unlocks S016")</f>
        <v>S017 unlocks S016</v>
      </c>
    </row>
    <row r="86">
      <c r="A86" s="7" t="str">
        <f>IFERROR(__xludf.DUMMYFUNCTION("""COMPUTED_VALUE"""),"PE0085")</f>
        <v>PE0085</v>
      </c>
      <c r="B86" s="7" t="str">
        <f>IFERROR(__xludf.DUMMYFUNCTION("""COMPUTED_VALUE"""),"S017")</f>
        <v>S017</v>
      </c>
      <c r="C86" s="7" t="str">
        <f>IFERROR(__xludf.DUMMYFUNCTION("""COMPUTED_VALUE"""),"Git Version Control Fundamentals")</f>
        <v>Git Version Control Fundamentals</v>
      </c>
      <c r="D86" s="7" t="str">
        <f>IFERROR(__xludf.DUMMYFUNCTION("""COMPUTED_VALUE"""),"S020")</f>
        <v>S020</v>
      </c>
      <c r="E86" s="7" t="str">
        <f>IFERROR(__xludf.DUMMYFUNCTION("""COMPUTED_VALUE"""),"Bash &amp; Shell Scripting")</f>
        <v>Bash &amp; Shell Scripting</v>
      </c>
      <c r="F86" s="7" t="str">
        <f>IFERROR(__xludf.DUMMYFUNCTION("""COMPUTED_VALUE"""),"S017 unlocks S020")</f>
        <v>S017 unlocks S020</v>
      </c>
    </row>
    <row r="87">
      <c r="A87" s="7" t="str">
        <f>IFERROR(__xludf.DUMMYFUNCTION("""COMPUTED_VALUE"""),"PE0086")</f>
        <v>PE0086</v>
      </c>
      <c r="B87" s="7" t="str">
        <f>IFERROR(__xludf.DUMMYFUNCTION("""COMPUTED_VALUE"""),"S017")</f>
        <v>S017</v>
      </c>
      <c r="C87" s="7" t="str">
        <f>IFERROR(__xludf.DUMMYFUNCTION("""COMPUTED_VALUE"""),"Git Version Control Fundamentals")</f>
        <v>Git Version Control Fundamentals</v>
      </c>
      <c r="D87" s="7" t="str">
        <f>IFERROR(__xludf.DUMMYFUNCTION("""COMPUTED_VALUE"""),"S021")</f>
        <v>S021</v>
      </c>
      <c r="E87" s="7" t="str">
        <f>IFERROR(__xludf.DUMMYFUNCTION("""COMPUTED_VALUE"""),"PowerShell Scripting")</f>
        <v>PowerShell Scripting</v>
      </c>
      <c r="F87" s="7" t="str">
        <f>IFERROR(__xludf.DUMMYFUNCTION("""COMPUTED_VALUE"""),"S017 unlocks S021")</f>
        <v>S017 unlocks S021</v>
      </c>
    </row>
    <row r="88">
      <c r="A88" s="7" t="str">
        <f>IFERROR(__xludf.DUMMYFUNCTION("""COMPUTED_VALUE"""),"PE0087")</f>
        <v>PE0087</v>
      </c>
      <c r="B88" s="7" t="str">
        <f>IFERROR(__xludf.DUMMYFUNCTION("""COMPUTED_VALUE"""),"S017")</f>
        <v>S017</v>
      </c>
      <c r="C88" s="7" t="str">
        <f>IFERROR(__xludf.DUMMYFUNCTION("""COMPUTED_VALUE"""),"Git Version Control Fundamentals")</f>
        <v>Git Version Control Fundamentals</v>
      </c>
      <c r="D88" s="7" t="str">
        <f>IFERROR(__xludf.DUMMYFUNCTION("""COMPUTED_VALUE"""),"S024")</f>
        <v>S024</v>
      </c>
      <c r="E88" s="7" t="str">
        <f>IFERROR(__xludf.DUMMYFUNCTION("""COMPUTED_VALUE"""),"DNS, Domain Routing &amp; SSL/TLS")</f>
        <v>DNS, Domain Routing &amp; SSL/TLS</v>
      </c>
      <c r="F88" s="7" t="str">
        <f>IFERROR(__xludf.DUMMYFUNCTION("""COMPUTED_VALUE"""),"S017 unlocks S024")</f>
        <v>S017 unlocks S024</v>
      </c>
    </row>
    <row r="89">
      <c r="A89" s="7" t="str">
        <f>IFERROR(__xludf.DUMMYFUNCTION("""COMPUTED_VALUE"""),"PE0088")</f>
        <v>PE0088</v>
      </c>
      <c r="B89" s="7" t="str">
        <f>IFERROR(__xludf.DUMMYFUNCTION("""COMPUTED_VALUE"""),"S017")</f>
        <v>S017</v>
      </c>
      <c r="C89" s="7" t="str">
        <f>IFERROR(__xludf.DUMMYFUNCTION("""COMPUTED_VALUE"""),"Git Version Control Fundamentals")</f>
        <v>Git Version Control Fundamentals</v>
      </c>
      <c r="D89" s="7" t="str">
        <f>IFERROR(__xludf.DUMMYFUNCTION("""COMPUTED_VALUE"""),"S029")</f>
        <v>S029</v>
      </c>
      <c r="E89" s="7" t="str">
        <f>IFERROR(__xludf.DUMMYFUNCTION("""COMPUTED_VALUE"""),"Debugging, Profiling &amp; Root Cause Analysis")</f>
        <v>Debugging, Profiling &amp; Root Cause Analysis</v>
      </c>
      <c r="F89" s="7" t="str">
        <f>IFERROR(__xludf.DUMMYFUNCTION("""COMPUTED_VALUE"""),"S017 unlocks S029")</f>
        <v>S017 unlocks S029</v>
      </c>
    </row>
    <row r="90">
      <c r="A90" s="7" t="str">
        <f>IFERROR(__xludf.DUMMYFUNCTION("""COMPUTED_VALUE"""),"PE0089")</f>
        <v>PE0089</v>
      </c>
      <c r="B90" s="7" t="str">
        <f>IFERROR(__xludf.DUMMYFUNCTION("""COMPUTED_VALUE"""),"S018")</f>
        <v>S018</v>
      </c>
      <c r="C90" s="7" t="str">
        <f>IFERROR(__xludf.DUMMYFUNCTION("""COMPUTED_VALUE"""),"GitHub / GitLab Workflows &amp; Pull Requests")</f>
        <v>GitHub / GitLab Workflows &amp; Pull Requests</v>
      </c>
      <c r="D90" s="7" t="str">
        <f>IFERROR(__xludf.DUMMYFUNCTION("""COMPUTED_VALUE"""),"S003")</f>
        <v>S003</v>
      </c>
      <c r="E90" s="7" t="str">
        <f>IFERROR(__xludf.DUMMYFUNCTION("""COMPUTED_VALUE"""),"Process &amp; Thread Management")</f>
        <v>Process &amp; Thread Management</v>
      </c>
      <c r="F90" s="7" t="str">
        <f>IFERROR(__xludf.DUMMYFUNCTION("""COMPUTED_VALUE"""),"S018 unlocks S003")</f>
        <v>S018 unlocks S003</v>
      </c>
    </row>
    <row r="91">
      <c r="A91" s="7" t="str">
        <f>IFERROR(__xludf.DUMMYFUNCTION("""COMPUTED_VALUE"""),"PE0090")</f>
        <v>PE0090</v>
      </c>
      <c r="B91" s="7" t="str">
        <f>IFERROR(__xludf.DUMMYFUNCTION("""COMPUTED_VALUE"""),"S018")</f>
        <v>S018</v>
      </c>
      <c r="C91" s="7" t="str">
        <f>IFERROR(__xludf.DUMMYFUNCTION("""COMPUTED_VALUE"""),"GitHub / GitLab Workflows &amp; Pull Requests")</f>
        <v>GitHub / GitLab Workflows &amp; Pull Requests</v>
      </c>
      <c r="D91" s="7" t="str">
        <f>IFERROR(__xludf.DUMMYFUNCTION("""COMPUTED_VALUE"""),"S004")</f>
        <v>S004</v>
      </c>
      <c r="E91" s="7" t="str">
        <f>IFERROR(__xludf.DUMMYFUNCTION("""COMPUTED_VALUE"""),"Memory Management &amp; Paging")</f>
        <v>Memory Management &amp; Paging</v>
      </c>
      <c r="F91" s="7" t="str">
        <f>IFERROR(__xludf.DUMMYFUNCTION("""COMPUTED_VALUE"""),"S018 unlocks S004")</f>
        <v>S018 unlocks S004</v>
      </c>
    </row>
    <row r="92">
      <c r="A92" s="7" t="str">
        <f>IFERROR(__xludf.DUMMYFUNCTION("""COMPUTED_VALUE"""),"PE0091")</f>
        <v>PE0091</v>
      </c>
      <c r="B92" s="7" t="str">
        <f>IFERROR(__xludf.DUMMYFUNCTION("""COMPUTED_VALUE"""),"S018")</f>
        <v>S018</v>
      </c>
      <c r="C92" s="7" t="str">
        <f>IFERROR(__xludf.DUMMYFUNCTION("""COMPUTED_VALUE"""),"GitHub / GitLab Workflows &amp; Pull Requests")</f>
        <v>GitHub / GitLab Workflows &amp; Pull Requests</v>
      </c>
      <c r="D92" s="7" t="str">
        <f>IFERROR(__xludf.DUMMYFUNCTION("""COMPUTED_VALUE"""),"S007")</f>
        <v>S007</v>
      </c>
      <c r="E92" s="7" t="str">
        <f>IFERROR(__xludf.DUMMYFUNCTION("""COMPUTED_VALUE"""),"Trees &amp; Binary Search Trees")</f>
        <v>Trees &amp; Binary Search Trees</v>
      </c>
      <c r="F92" s="7" t="str">
        <f>IFERROR(__xludf.DUMMYFUNCTION("""COMPUTED_VALUE"""),"S018 unlocks S007")</f>
        <v>S018 unlocks S007</v>
      </c>
    </row>
    <row r="93">
      <c r="A93" s="7" t="str">
        <f>IFERROR(__xludf.DUMMYFUNCTION("""COMPUTED_VALUE"""),"PE0092")</f>
        <v>PE0092</v>
      </c>
      <c r="B93" s="7" t="str">
        <f>IFERROR(__xludf.DUMMYFUNCTION("""COMPUTED_VALUE"""),"S018")</f>
        <v>S018</v>
      </c>
      <c r="C93" s="7" t="str">
        <f>IFERROR(__xludf.DUMMYFUNCTION("""COMPUTED_VALUE"""),"GitHub / GitLab Workflows &amp; Pull Requests")</f>
        <v>GitHub / GitLab Workflows &amp; Pull Requests</v>
      </c>
      <c r="D93" s="7" t="str">
        <f>IFERROR(__xludf.DUMMYFUNCTION("""COMPUTED_VALUE"""),"S008")</f>
        <v>S008</v>
      </c>
      <c r="E93" s="7" t="str">
        <f>IFERROR(__xludf.DUMMYFUNCTION("""COMPUTED_VALUE"""),"Heaps, Priority Queues &amp; Hashing")</f>
        <v>Heaps, Priority Queues &amp; Hashing</v>
      </c>
      <c r="F93" s="7" t="str">
        <f>IFERROR(__xludf.DUMMYFUNCTION("""COMPUTED_VALUE"""),"S018 unlocks S008")</f>
        <v>S018 unlocks S008</v>
      </c>
    </row>
    <row r="94">
      <c r="A94" s="7" t="str">
        <f>IFERROR(__xludf.DUMMYFUNCTION("""COMPUTED_VALUE"""),"PE0093")</f>
        <v>PE0093</v>
      </c>
      <c r="B94" s="7" t="str">
        <f>IFERROR(__xludf.DUMMYFUNCTION("""COMPUTED_VALUE"""),"S018")</f>
        <v>S018</v>
      </c>
      <c r="C94" s="7" t="str">
        <f>IFERROR(__xludf.DUMMYFUNCTION("""COMPUTED_VALUE"""),"GitHub / GitLab Workflows &amp; Pull Requests")</f>
        <v>GitHub / GitLab Workflows &amp; Pull Requests</v>
      </c>
      <c r="D94" s="7" t="str">
        <f>IFERROR(__xludf.DUMMYFUNCTION("""COMPUTED_VALUE"""),"S009")</f>
        <v>S009</v>
      </c>
      <c r="E94" s="7" t="str">
        <f>IFERROR(__xludf.DUMMYFUNCTION("""COMPUTED_VALUE"""),"Graphs &amp; Graph Traversal (BFS/DFS)")</f>
        <v>Graphs &amp; Graph Traversal (BFS/DFS)</v>
      </c>
      <c r="F94" s="7" t="str">
        <f>IFERROR(__xludf.DUMMYFUNCTION("""COMPUTED_VALUE"""),"S018 unlocks S009")</f>
        <v>S018 unlocks S009</v>
      </c>
    </row>
    <row r="95">
      <c r="A95" s="7" t="str">
        <f>IFERROR(__xludf.DUMMYFUNCTION("""COMPUTED_VALUE"""),"PE0094")</f>
        <v>PE0094</v>
      </c>
      <c r="B95" s="7" t="str">
        <f>IFERROR(__xludf.DUMMYFUNCTION("""COMPUTED_VALUE"""),"S018")</f>
        <v>S018</v>
      </c>
      <c r="C95" s="7" t="str">
        <f>IFERROR(__xludf.DUMMYFUNCTION("""COMPUTED_VALUE"""),"GitHub / GitLab Workflows &amp; Pull Requests")</f>
        <v>GitHub / GitLab Workflows &amp; Pull Requests</v>
      </c>
      <c r="D95" s="7" t="str">
        <f>IFERROR(__xludf.DUMMYFUNCTION("""COMPUTED_VALUE"""),"S014")</f>
        <v>S014</v>
      </c>
      <c r="E95" s="7" t="str">
        <f>IFERROR(__xludf.DUMMYFUNCTION("""COMPUTED_VALUE"""),"Functional Programming Concepts")</f>
        <v>Functional Programming Concepts</v>
      </c>
      <c r="F95" s="7" t="str">
        <f>IFERROR(__xludf.DUMMYFUNCTION("""COMPUTED_VALUE"""),"S018 unlocks S014")</f>
        <v>S018 unlocks S014</v>
      </c>
    </row>
    <row r="96">
      <c r="A96" s="7" t="str">
        <f>IFERROR(__xludf.DUMMYFUNCTION("""COMPUTED_VALUE"""),"PE0095")</f>
        <v>PE0095</v>
      </c>
      <c r="B96" s="7" t="str">
        <f>IFERROR(__xludf.DUMMYFUNCTION("""COMPUTED_VALUE"""),"S018")</f>
        <v>S018</v>
      </c>
      <c r="C96" s="7" t="str">
        <f>IFERROR(__xludf.DUMMYFUNCTION("""COMPUTED_VALUE"""),"GitHub / GitLab Workflows &amp; Pull Requests")</f>
        <v>GitHub / GitLab Workflows &amp; Pull Requests</v>
      </c>
      <c r="D96" s="7" t="str">
        <f>IFERROR(__xludf.DUMMYFUNCTION("""COMPUTED_VALUE"""),"S016")</f>
        <v>S016</v>
      </c>
      <c r="E96" s="7" t="str">
        <f>IFERROR(__xludf.DUMMYFUNCTION("""COMPUTED_VALUE"""),"SOLID Principles &amp; Clean Code")</f>
        <v>SOLID Principles &amp; Clean Code</v>
      </c>
      <c r="F96" s="7" t="str">
        <f>IFERROR(__xludf.DUMMYFUNCTION("""COMPUTED_VALUE"""),"S018 unlocks S016")</f>
        <v>S018 unlocks S016</v>
      </c>
    </row>
    <row r="97">
      <c r="A97" s="7" t="str">
        <f>IFERROR(__xludf.DUMMYFUNCTION("""COMPUTED_VALUE"""),"PE0096")</f>
        <v>PE0096</v>
      </c>
      <c r="B97" s="7" t="str">
        <f>IFERROR(__xludf.DUMMYFUNCTION("""COMPUTED_VALUE"""),"S018")</f>
        <v>S018</v>
      </c>
      <c r="C97" s="7" t="str">
        <f>IFERROR(__xludf.DUMMYFUNCTION("""COMPUTED_VALUE"""),"GitHub / GitLab Workflows &amp; Pull Requests")</f>
        <v>GitHub / GitLab Workflows &amp; Pull Requests</v>
      </c>
      <c r="D97" s="7" t="str">
        <f>IFERROR(__xludf.DUMMYFUNCTION("""COMPUTED_VALUE"""),"S020")</f>
        <v>S020</v>
      </c>
      <c r="E97" s="7" t="str">
        <f>IFERROR(__xludf.DUMMYFUNCTION("""COMPUTED_VALUE"""),"Bash &amp; Shell Scripting")</f>
        <v>Bash &amp; Shell Scripting</v>
      </c>
      <c r="F97" s="7" t="str">
        <f>IFERROR(__xludf.DUMMYFUNCTION("""COMPUTED_VALUE"""),"S018 unlocks S020")</f>
        <v>S018 unlocks S020</v>
      </c>
    </row>
    <row r="98">
      <c r="A98" s="7" t="str">
        <f>IFERROR(__xludf.DUMMYFUNCTION("""COMPUTED_VALUE"""),"PE0097")</f>
        <v>PE0097</v>
      </c>
      <c r="B98" s="7" t="str">
        <f>IFERROR(__xludf.DUMMYFUNCTION("""COMPUTED_VALUE"""),"S018")</f>
        <v>S018</v>
      </c>
      <c r="C98" s="7" t="str">
        <f>IFERROR(__xludf.DUMMYFUNCTION("""COMPUTED_VALUE"""),"GitHub / GitLab Workflows &amp; Pull Requests")</f>
        <v>GitHub / GitLab Workflows &amp; Pull Requests</v>
      </c>
      <c r="D98" s="7" t="str">
        <f>IFERROR(__xludf.DUMMYFUNCTION("""COMPUTED_VALUE"""),"S021")</f>
        <v>S021</v>
      </c>
      <c r="E98" s="7" t="str">
        <f>IFERROR(__xludf.DUMMYFUNCTION("""COMPUTED_VALUE"""),"PowerShell Scripting")</f>
        <v>PowerShell Scripting</v>
      </c>
      <c r="F98" s="7" t="str">
        <f>IFERROR(__xludf.DUMMYFUNCTION("""COMPUTED_VALUE"""),"S018 unlocks S021")</f>
        <v>S018 unlocks S021</v>
      </c>
    </row>
    <row r="99">
      <c r="A99" s="7" t="str">
        <f>IFERROR(__xludf.DUMMYFUNCTION("""COMPUTED_VALUE"""),"PE0098")</f>
        <v>PE0098</v>
      </c>
      <c r="B99" s="7" t="str">
        <f>IFERROR(__xludf.DUMMYFUNCTION("""COMPUTED_VALUE"""),"S018")</f>
        <v>S018</v>
      </c>
      <c r="C99" s="7" t="str">
        <f>IFERROR(__xludf.DUMMYFUNCTION("""COMPUTED_VALUE"""),"GitHub / GitLab Workflows &amp; Pull Requests")</f>
        <v>GitHub / GitLab Workflows &amp; Pull Requests</v>
      </c>
      <c r="D99" s="7" t="str">
        <f>IFERROR(__xludf.DUMMYFUNCTION("""COMPUTED_VALUE"""),"S024")</f>
        <v>S024</v>
      </c>
      <c r="E99" s="7" t="str">
        <f>IFERROR(__xludf.DUMMYFUNCTION("""COMPUTED_VALUE"""),"DNS, Domain Routing &amp; SSL/TLS")</f>
        <v>DNS, Domain Routing &amp; SSL/TLS</v>
      </c>
      <c r="F99" s="7" t="str">
        <f>IFERROR(__xludf.DUMMYFUNCTION("""COMPUTED_VALUE"""),"S018 unlocks S024")</f>
        <v>S018 unlocks S024</v>
      </c>
    </row>
    <row r="100">
      <c r="A100" s="7" t="str">
        <f>IFERROR(__xludf.DUMMYFUNCTION("""COMPUTED_VALUE"""),"PE0099")</f>
        <v>PE0099</v>
      </c>
      <c r="B100" s="7" t="str">
        <f>IFERROR(__xludf.DUMMYFUNCTION("""COMPUTED_VALUE"""),"S018")</f>
        <v>S018</v>
      </c>
      <c r="C100" s="7" t="str">
        <f>IFERROR(__xludf.DUMMYFUNCTION("""COMPUTED_VALUE"""),"GitHub / GitLab Workflows &amp; Pull Requests")</f>
        <v>GitHub / GitLab Workflows &amp; Pull Requests</v>
      </c>
      <c r="D100" s="7" t="str">
        <f>IFERROR(__xludf.DUMMYFUNCTION("""COMPUTED_VALUE"""),"S029")</f>
        <v>S029</v>
      </c>
      <c r="E100" s="7" t="str">
        <f>IFERROR(__xludf.DUMMYFUNCTION("""COMPUTED_VALUE"""),"Debugging, Profiling &amp; Root Cause Analysis")</f>
        <v>Debugging, Profiling &amp; Root Cause Analysis</v>
      </c>
      <c r="F100" s="7" t="str">
        <f>IFERROR(__xludf.DUMMYFUNCTION("""COMPUTED_VALUE"""),"S018 unlocks S029")</f>
        <v>S018 unlocks S029</v>
      </c>
    </row>
    <row r="101">
      <c r="A101" s="7" t="str">
        <f>IFERROR(__xludf.DUMMYFUNCTION("""COMPUTED_VALUE"""),"PE0100")</f>
        <v>PE0100</v>
      </c>
      <c r="B101" s="7" t="str">
        <f>IFERROR(__xludf.DUMMYFUNCTION("""COMPUTED_VALUE"""),"S019")</f>
        <v>S019</v>
      </c>
      <c r="C101" s="7" t="str">
        <f>IFERROR(__xludf.DUMMYFUNCTION("""COMPUTED_VALUE"""),"Linux Command Line &amp; File Permissions")</f>
        <v>Linux Command Line &amp; File Permissions</v>
      </c>
      <c r="D101" s="7" t="str">
        <f>IFERROR(__xludf.DUMMYFUNCTION("""COMPUTED_VALUE"""),"S003")</f>
        <v>S003</v>
      </c>
      <c r="E101" s="7" t="str">
        <f>IFERROR(__xludf.DUMMYFUNCTION("""COMPUTED_VALUE"""),"Process &amp; Thread Management")</f>
        <v>Process &amp; Thread Management</v>
      </c>
      <c r="F101" s="7" t="str">
        <f>IFERROR(__xludf.DUMMYFUNCTION("""COMPUTED_VALUE"""),"S019 unlocks S003")</f>
        <v>S019 unlocks S003</v>
      </c>
    </row>
    <row r="102">
      <c r="A102" s="7" t="str">
        <f>IFERROR(__xludf.DUMMYFUNCTION("""COMPUTED_VALUE"""),"PE0101")</f>
        <v>PE0101</v>
      </c>
      <c r="B102" s="7" t="str">
        <f>IFERROR(__xludf.DUMMYFUNCTION("""COMPUTED_VALUE"""),"S019")</f>
        <v>S019</v>
      </c>
      <c r="C102" s="7" t="str">
        <f>IFERROR(__xludf.DUMMYFUNCTION("""COMPUTED_VALUE"""),"Linux Command Line &amp; File Permissions")</f>
        <v>Linux Command Line &amp; File Permissions</v>
      </c>
      <c r="D102" s="7" t="str">
        <f>IFERROR(__xludf.DUMMYFUNCTION("""COMPUTED_VALUE"""),"S004")</f>
        <v>S004</v>
      </c>
      <c r="E102" s="7" t="str">
        <f>IFERROR(__xludf.DUMMYFUNCTION("""COMPUTED_VALUE"""),"Memory Management &amp; Paging")</f>
        <v>Memory Management &amp; Paging</v>
      </c>
      <c r="F102" s="7" t="str">
        <f>IFERROR(__xludf.DUMMYFUNCTION("""COMPUTED_VALUE"""),"S019 unlocks S004")</f>
        <v>S019 unlocks S004</v>
      </c>
    </row>
    <row r="103">
      <c r="A103" s="7" t="str">
        <f>IFERROR(__xludf.DUMMYFUNCTION("""COMPUTED_VALUE"""),"PE0102")</f>
        <v>PE0102</v>
      </c>
      <c r="B103" s="7" t="str">
        <f>IFERROR(__xludf.DUMMYFUNCTION("""COMPUTED_VALUE"""),"S019")</f>
        <v>S019</v>
      </c>
      <c r="C103" s="7" t="str">
        <f>IFERROR(__xludf.DUMMYFUNCTION("""COMPUTED_VALUE"""),"Linux Command Line &amp; File Permissions")</f>
        <v>Linux Command Line &amp; File Permissions</v>
      </c>
      <c r="D103" s="7" t="str">
        <f>IFERROR(__xludf.DUMMYFUNCTION("""COMPUTED_VALUE"""),"S007")</f>
        <v>S007</v>
      </c>
      <c r="E103" s="7" t="str">
        <f>IFERROR(__xludf.DUMMYFUNCTION("""COMPUTED_VALUE"""),"Trees &amp; Binary Search Trees")</f>
        <v>Trees &amp; Binary Search Trees</v>
      </c>
      <c r="F103" s="7" t="str">
        <f>IFERROR(__xludf.DUMMYFUNCTION("""COMPUTED_VALUE"""),"S019 unlocks S007")</f>
        <v>S019 unlocks S007</v>
      </c>
    </row>
    <row r="104">
      <c r="A104" s="7" t="str">
        <f>IFERROR(__xludf.DUMMYFUNCTION("""COMPUTED_VALUE"""),"PE0103")</f>
        <v>PE0103</v>
      </c>
      <c r="B104" s="7" t="str">
        <f>IFERROR(__xludf.DUMMYFUNCTION("""COMPUTED_VALUE"""),"S019")</f>
        <v>S019</v>
      </c>
      <c r="C104" s="7" t="str">
        <f>IFERROR(__xludf.DUMMYFUNCTION("""COMPUTED_VALUE"""),"Linux Command Line &amp; File Permissions")</f>
        <v>Linux Command Line &amp; File Permissions</v>
      </c>
      <c r="D104" s="7" t="str">
        <f>IFERROR(__xludf.DUMMYFUNCTION("""COMPUTED_VALUE"""),"S008")</f>
        <v>S008</v>
      </c>
      <c r="E104" s="7" t="str">
        <f>IFERROR(__xludf.DUMMYFUNCTION("""COMPUTED_VALUE"""),"Heaps, Priority Queues &amp; Hashing")</f>
        <v>Heaps, Priority Queues &amp; Hashing</v>
      </c>
      <c r="F104" s="7" t="str">
        <f>IFERROR(__xludf.DUMMYFUNCTION("""COMPUTED_VALUE"""),"S019 unlocks S008")</f>
        <v>S019 unlocks S008</v>
      </c>
    </row>
    <row r="105">
      <c r="A105" s="7" t="str">
        <f>IFERROR(__xludf.DUMMYFUNCTION("""COMPUTED_VALUE"""),"PE0104")</f>
        <v>PE0104</v>
      </c>
      <c r="B105" s="7" t="str">
        <f>IFERROR(__xludf.DUMMYFUNCTION("""COMPUTED_VALUE"""),"S019")</f>
        <v>S019</v>
      </c>
      <c r="C105" s="7" t="str">
        <f>IFERROR(__xludf.DUMMYFUNCTION("""COMPUTED_VALUE"""),"Linux Command Line &amp; File Permissions")</f>
        <v>Linux Command Line &amp; File Permissions</v>
      </c>
      <c r="D105" s="7" t="str">
        <f>IFERROR(__xludf.DUMMYFUNCTION("""COMPUTED_VALUE"""),"S009")</f>
        <v>S009</v>
      </c>
      <c r="E105" s="7" t="str">
        <f>IFERROR(__xludf.DUMMYFUNCTION("""COMPUTED_VALUE"""),"Graphs &amp; Graph Traversal (BFS/DFS)")</f>
        <v>Graphs &amp; Graph Traversal (BFS/DFS)</v>
      </c>
      <c r="F105" s="7" t="str">
        <f>IFERROR(__xludf.DUMMYFUNCTION("""COMPUTED_VALUE"""),"S019 unlocks S009")</f>
        <v>S019 unlocks S009</v>
      </c>
    </row>
    <row r="106">
      <c r="A106" s="7" t="str">
        <f>IFERROR(__xludf.DUMMYFUNCTION("""COMPUTED_VALUE"""),"PE0105")</f>
        <v>PE0105</v>
      </c>
      <c r="B106" s="7" t="str">
        <f>IFERROR(__xludf.DUMMYFUNCTION("""COMPUTED_VALUE"""),"S019")</f>
        <v>S019</v>
      </c>
      <c r="C106" s="7" t="str">
        <f>IFERROR(__xludf.DUMMYFUNCTION("""COMPUTED_VALUE"""),"Linux Command Line &amp; File Permissions")</f>
        <v>Linux Command Line &amp; File Permissions</v>
      </c>
      <c r="D106" s="7" t="str">
        <f>IFERROR(__xludf.DUMMYFUNCTION("""COMPUTED_VALUE"""),"S014")</f>
        <v>S014</v>
      </c>
      <c r="E106" s="7" t="str">
        <f>IFERROR(__xludf.DUMMYFUNCTION("""COMPUTED_VALUE"""),"Functional Programming Concepts")</f>
        <v>Functional Programming Concepts</v>
      </c>
      <c r="F106" s="7" t="str">
        <f>IFERROR(__xludf.DUMMYFUNCTION("""COMPUTED_VALUE"""),"S019 unlocks S014")</f>
        <v>S019 unlocks S014</v>
      </c>
    </row>
    <row r="107">
      <c r="A107" s="7" t="str">
        <f>IFERROR(__xludf.DUMMYFUNCTION("""COMPUTED_VALUE"""),"PE0106")</f>
        <v>PE0106</v>
      </c>
      <c r="B107" s="7" t="str">
        <f>IFERROR(__xludf.DUMMYFUNCTION("""COMPUTED_VALUE"""),"S019")</f>
        <v>S019</v>
      </c>
      <c r="C107" s="7" t="str">
        <f>IFERROR(__xludf.DUMMYFUNCTION("""COMPUTED_VALUE"""),"Linux Command Line &amp; File Permissions")</f>
        <v>Linux Command Line &amp; File Permissions</v>
      </c>
      <c r="D107" s="7" t="str">
        <f>IFERROR(__xludf.DUMMYFUNCTION("""COMPUTED_VALUE"""),"S016")</f>
        <v>S016</v>
      </c>
      <c r="E107" s="7" t="str">
        <f>IFERROR(__xludf.DUMMYFUNCTION("""COMPUTED_VALUE"""),"SOLID Principles &amp; Clean Code")</f>
        <v>SOLID Principles &amp; Clean Code</v>
      </c>
      <c r="F107" s="7" t="str">
        <f>IFERROR(__xludf.DUMMYFUNCTION("""COMPUTED_VALUE"""),"S019 unlocks S016")</f>
        <v>S019 unlocks S016</v>
      </c>
    </row>
    <row r="108">
      <c r="A108" s="7" t="str">
        <f>IFERROR(__xludf.DUMMYFUNCTION("""COMPUTED_VALUE"""),"PE0107")</f>
        <v>PE0107</v>
      </c>
      <c r="B108" s="7" t="str">
        <f>IFERROR(__xludf.DUMMYFUNCTION("""COMPUTED_VALUE"""),"S019")</f>
        <v>S019</v>
      </c>
      <c r="C108" s="7" t="str">
        <f>IFERROR(__xludf.DUMMYFUNCTION("""COMPUTED_VALUE"""),"Linux Command Line &amp; File Permissions")</f>
        <v>Linux Command Line &amp; File Permissions</v>
      </c>
      <c r="D108" s="7" t="str">
        <f>IFERROR(__xludf.DUMMYFUNCTION("""COMPUTED_VALUE"""),"S020")</f>
        <v>S020</v>
      </c>
      <c r="E108" s="7" t="str">
        <f>IFERROR(__xludf.DUMMYFUNCTION("""COMPUTED_VALUE"""),"Bash &amp; Shell Scripting")</f>
        <v>Bash &amp; Shell Scripting</v>
      </c>
      <c r="F108" s="7" t="str">
        <f>IFERROR(__xludf.DUMMYFUNCTION("""COMPUTED_VALUE"""),"S019 unlocks S020")</f>
        <v>S019 unlocks S020</v>
      </c>
    </row>
    <row r="109">
      <c r="A109" s="7" t="str">
        <f>IFERROR(__xludf.DUMMYFUNCTION("""COMPUTED_VALUE"""),"PE0108")</f>
        <v>PE0108</v>
      </c>
      <c r="B109" s="7" t="str">
        <f>IFERROR(__xludf.DUMMYFUNCTION("""COMPUTED_VALUE"""),"S019")</f>
        <v>S019</v>
      </c>
      <c r="C109" s="7" t="str">
        <f>IFERROR(__xludf.DUMMYFUNCTION("""COMPUTED_VALUE"""),"Linux Command Line &amp; File Permissions")</f>
        <v>Linux Command Line &amp; File Permissions</v>
      </c>
      <c r="D109" s="7" t="str">
        <f>IFERROR(__xludf.DUMMYFUNCTION("""COMPUTED_VALUE"""),"S021")</f>
        <v>S021</v>
      </c>
      <c r="E109" s="7" t="str">
        <f>IFERROR(__xludf.DUMMYFUNCTION("""COMPUTED_VALUE"""),"PowerShell Scripting")</f>
        <v>PowerShell Scripting</v>
      </c>
      <c r="F109" s="7" t="str">
        <f>IFERROR(__xludf.DUMMYFUNCTION("""COMPUTED_VALUE"""),"S019 unlocks S021")</f>
        <v>S019 unlocks S021</v>
      </c>
    </row>
    <row r="110">
      <c r="A110" s="7" t="str">
        <f>IFERROR(__xludf.DUMMYFUNCTION("""COMPUTED_VALUE"""),"PE0109")</f>
        <v>PE0109</v>
      </c>
      <c r="B110" s="7" t="str">
        <f>IFERROR(__xludf.DUMMYFUNCTION("""COMPUTED_VALUE"""),"S019")</f>
        <v>S019</v>
      </c>
      <c r="C110" s="7" t="str">
        <f>IFERROR(__xludf.DUMMYFUNCTION("""COMPUTED_VALUE"""),"Linux Command Line &amp; File Permissions")</f>
        <v>Linux Command Line &amp; File Permissions</v>
      </c>
      <c r="D110" s="7" t="str">
        <f>IFERROR(__xludf.DUMMYFUNCTION("""COMPUTED_VALUE"""),"S024")</f>
        <v>S024</v>
      </c>
      <c r="E110" s="7" t="str">
        <f>IFERROR(__xludf.DUMMYFUNCTION("""COMPUTED_VALUE"""),"DNS, Domain Routing &amp; SSL/TLS")</f>
        <v>DNS, Domain Routing &amp; SSL/TLS</v>
      </c>
      <c r="F110" s="7" t="str">
        <f>IFERROR(__xludf.DUMMYFUNCTION("""COMPUTED_VALUE"""),"S019 unlocks S024")</f>
        <v>S019 unlocks S024</v>
      </c>
    </row>
    <row r="111">
      <c r="A111" s="7" t="str">
        <f>IFERROR(__xludf.DUMMYFUNCTION("""COMPUTED_VALUE"""),"PE0110")</f>
        <v>PE0110</v>
      </c>
      <c r="B111" s="7" t="str">
        <f>IFERROR(__xludf.DUMMYFUNCTION("""COMPUTED_VALUE"""),"S019")</f>
        <v>S019</v>
      </c>
      <c r="C111" s="7" t="str">
        <f>IFERROR(__xludf.DUMMYFUNCTION("""COMPUTED_VALUE"""),"Linux Command Line &amp; File Permissions")</f>
        <v>Linux Command Line &amp; File Permissions</v>
      </c>
      <c r="D111" s="7" t="str">
        <f>IFERROR(__xludf.DUMMYFUNCTION("""COMPUTED_VALUE"""),"S029")</f>
        <v>S029</v>
      </c>
      <c r="E111" s="7" t="str">
        <f>IFERROR(__xludf.DUMMYFUNCTION("""COMPUTED_VALUE"""),"Debugging, Profiling &amp; Root Cause Analysis")</f>
        <v>Debugging, Profiling &amp; Root Cause Analysis</v>
      </c>
      <c r="F111" s="7" t="str">
        <f>IFERROR(__xludf.DUMMYFUNCTION("""COMPUTED_VALUE"""),"S019 unlocks S029")</f>
        <v>S019 unlocks S029</v>
      </c>
    </row>
    <row r="112">
      <c r="A112" s="7" t="str">
        <f>IFERROR(__xludf.DUMMYFUNCTION("""COMPUTED_VALUE"""),"PE0111")</f>
        <v>PE0111</v>
      </c>
      <c r="B112" s="7" t="str">
        <f>IFERROR(__xludf.DUMMYFUNCTION("""COMPUTED_VALUE"""),"S022")</f>
        <v>S022</v>
      </c>
      <c r="C112" s="7" t="str">
        <f>IFERROR(__xludf.DUMMYFUNCTION("""COMPUTED_VALUE"""),"Computer Networking &amp; OSI Model")</f>
        <v>Computer Networking &amp; OSI Model</v>
      </c>
      <c r="D112" s="7" t="str">
        <f>IFERROR(__xludf.DUMMYFUNCTION("""COMPUTED_VALUE"""),"S003")</f>
        <v>S003</v>
      </c>
      <c r="E112" s="7" t="str">
        <f>IFERROR(__xludf.DUMMYFUNCTION("""COMPUTED_VALUE"""),"Process &amp; Thread Management")</f>
        <v>Process &amp; Thread Management</v>
      </c>
      <c r="F112" s="7" t="str">
        <f>IFERROR(__xludf.DUMMYFUNCTION("""COMPUTED_VALUE"""),"S022 unlocks S003")</f>
        <v>S022 unlocks S003</v>
      </c>
    </row>
    <row r="113">
      <c r="A113" s="7" t="str">
        <f>IFERROR(__xludf.DUMMYFUNCTION("""COMPUTED_VALUE"""),"PE0112")</f>
        <v>PE0112</v>
      </c>
      <c r="B113" s="7" t="str">
        <f>IFERROR(__xludf.DUMMYFUNCTION("""COMPUTED_VALUE"""),"S022")</f>
        <v>S022</v>
      </c>
      <c r="C113" s="7" t="str">
        <f>IFERROR(__xludf.DUMMYFUNCTION("""COMPUTED_VALUE"""),"Computer Networking &amp; OSI Model")</f>
        <v>Computer Networking &amp; OSI Model</v>
      </c>
      <c r="D113" s="7" t="str">
        <f>IFERROR(__xludf.DUMMYFUNCTION("""COMPUTED_VALUE"""),"S004")</f>
        <v>S004</v>
      </c>
      <c r="E113" s="7" t="str">
        <f>IFERROR(__xludf.DUMMYFUNCTION("""COMPUTED_VALUE"""),"Memory Management &amp; Paging")</f>
        <v>Memory Management &amp; Paging</v>
      </c>
      <c r="F113" s="7" t="str">
        <f>IFERROR(__xludf.DUMMYFUNCTION("""COMPUTED_VALUE"""),"S022 unlocks S004")</f>
        <v>S022 unlocks S004</v>
      </c>
    </row>
    <row r="114">
      <c r="A114" s="7" t="str">
        <f>IFERROR(__xludf.DUMMYFUNCTION("""COMPUTED_VALUE"""),"PE0113")</f>
        <v>PE0113</v>
      </c>
      <c r="B114" s="7" t="str">
        <f>IFERROR(__xludf.DUMMYFUNCTION("""COMPUTED_VALUE"""),"S022")</f>
        <v>S022</v>
      </c>
      <c r="C114" s="7" t="str">
        <f>IFERROR(__xludf.DUMMYFUNCTION("""COMPUTED_VALUE"""),"Computer Networking &amp; OSI Model")</f>
        <v>Computer Networking &amp; OSI Model</v>
      </c>
      <c r="D114" s="7" t="str">
        <f>IFERROR(__xludf.DUMMYFUNCTION("""COMPUTED_VALUE"""),"S007")</f>
        <v>S007</v>
      </c>
      <c r="E114" s="7" t="str">
        <f>IFERROR(__xludf.DUMMYFUNCTION("""COMPUTED_VALUE"""),"Trees &amp; Binary Search Trees")</f>
        <v>Trees &amp; Binary Search Trees</v>
      </c>
      <c r="F114" s="7" t="str">
        <f>IFERROR(__xludf.DUMMYFUNCTION("""COMPUTED_VALUE"""),"S022 unlocks S007")</f>
        <v>S022 unlocks S007</v>
      </c>
    </row>
    <row r="115">
      <c r="A115" s="7" t="str">
        <f>IFERROR(__xludf.DUMMYFUNCTION("""COMPUTED_VALUE"""),"PE0114")</f>
        <v>PE0114</v>
      </c>
      <c r="B115" s="7" t="str">
        <f>IFERROR(__xludf.DUMMYFUNCTION("""COMPUTED_VALUE"""),"S022")</f>
        <v>S022</v>
      </c>
      <c r="C115" s="7" t="str">
        <f>IFERROR(__xludf.DUMMYFUNCTION("""COMPUTED_VALUE"""),"Computer Networking &amp; OSI Model")</f>
        <v>Computer Networking &amp; OSI Model</v>
      </c>
      <c r="D115" s="7" t="str">
        <f>IFERROR(__xludf.DUMMYFUNCTION("""COMPUTED_VALUE"""),"S008")</f>
        <v>S008</v>
      </c>
      <c r="E115" s="7" t="str">
        <f>IFERROR(__xludf.DUMMYFUNCTION("""COMPUTED_VALUE"""),"Heaps, Priority Queues &amp; Hashing")</f>
        <v>Heaps, Priority Queues &amp; Hashing</v>
      </c>
      <c r="F115" s="7" t="str">
        <f>IFERROR(__xludf.DUMMYFUNCTION("""COMPUTED_VALUE"""),"S022 unlocks S008")</f>
        <v>S022 unlocks S008</v>
      </c>
    </row>
    <row r="116">
      <c r="A116" s="7" t="str">
        <f>IFERROR(__xludf.DUMMYFUNCTION("""COMPUTED_VALUE"""),"PE0115")</f>
        <v>PE0115</v>
      </c>
      <c r="B116" s="7" t="str">
        <f>IFERROR(__xludf.DUMMYFUNCTION("""COMPUTED_VALUE"""),"S022")</f>
        <v>S022</v>
      </c>
      <c r="C116" s="7" t="str">
        <f>IFERROR(__xludf.DUMMYFUNCTION("""COMPUTED_VALUE"""),"Computer Networking &amp; OSI Model")</f>
        <v>Computer Networking &amp; OSI Model</v>
      </c>
      <c r="D116" s="7" t="str">
        <f>IFERROR(__xludf.DUMMYFUNCTION("""COMPUTED_VALUE"""),"S009")</f>
        <v>S009</v>
      </c>
      <c r="E116" s="7" t="str">
        <f>IFERROR(__xludf.DUMMYFUNCTION("""COMPUTED_VALUE"""),"Graphs &amp; Graph Traversal (BFS/DFS)")</f>
        <v>Graphs &amp; Graph Traversal (BFS/DFS)</v>
      </c>
      <c r="F116" s="7" t="str">
        <f>IFERROR(__xludf.DUMMYFUNCTION("""COMPUTED_VALUE"""),"S022 unlocks S009")</f>
        <v>S022 unlocks S009</v>
      </c>
    </row>
    <row r="117">
      <c r="A117" s="7" t="str">
        <f>IFERROR(__xludf.DUMMYFUNCTION("""COMPUTED_VALUE"""),"PE0116")</f>
        <v>PE0116</v>
      </c>
      <c r="B117" s="7" t="str">
        <f>IFERROR(__xludf.DUMMYFUNCTION("""COMPUTED_VALUE"""),"S022")</f>
        <v>S022</v>
      </c>
      <c r="C117" s="7" t="str">
        <f>IFERROR(__xludf.DUMMYFUNCTION("""COMPUTED_VALUE"""),"Computer Networking &amp; OSI Model")</f>
        <v>Computer Networking &amp; OSI Model</v>
      </c>
      <c r="D117" s="7" t="str">
        <f>IFERROR(__xludf.DUMMYFUNCTION("""COMPUTED_VALUE"""),"S014")</f>
        <v>S014</v>
      </c>
      <c r="E117" s="7" t="str">
        <f>IFERROR(__xludf.DUMMYFUNCTION("""COMPUTED_VALUE"""),"Functional Programming Concepts")</f>
        <v>Functional Programming Concepts</v>
      </c>
      <c r="F117" s="7" t="str">
        <f>IFERROR(__xludf.DUMMYFUNCTION("""COMPUTED_VALUE"""),"S022 unlocks S014")</f>
        <v>S022 unlocks S014</v>
      </c>
    </row>
    <row r="118">
      <c r="A118" s="7" t="str">
        <f>IFERROR(__xludf.DUMMYFUNCTION("""COMPUTED_VALUE"""),"PE0117")</f>
        <v>PE0117</v>
      </c>
      <c r="B118" s="7" t="str">
        <f>IFERROR(__xludf.DUMMYFUNCTION("""COMPUTED_VALUE"""),"S022")</f>
        <v>S022</v>
      </c>
      <c r="C118" s="7" t="str">
        <f>IFERROR(__xludf.DUMMYFUNCTION("""COMPUTED_VALUE"""),"Computer Networking &amp; OSI Model")</f>
        <v>Computer Networking &amp; OSI Model</v>
      </c>
      <c r="D118" s="7" t="str">
        <f>IFERROR(__xludf.DUMMYFUNCTION("""COMPUTED_VALUE"""),"S016")</f>
        <v>S016</v>
      </c>
      <c r="E118" s="7" t="str">
        <f>IFERROR(__xludf.DUMMYFUNCTION("""COMPUTED_VALUE"""),"SOLID Principles &amp; Clean Code")</f>
        <v>SOLID Principles &amp; Clean Code</v>
      </c>
      <c r="F118" s="7" t="str">
        <f>IFERROR(__xludf.DUMMYFUNCTION("""COMPUTED_VALUE"""),"S022 unlocks S016")</f>
        <v>S022 unlocks S016</v>
      </c>
    </row>
    <row r="119">
      <c r="A119" s="7" t="str">
        <f>IFERROR(__xludf.DUMMYFUNCTION("""COMPUTED_VALUE"""),"PE0118")</f>
        <v>PE0118</v>
      </c>
      <c r="B119" s="7" t="str">
        <f>IFERROR(__xludf.DUMMYFUNCTION("""COMPUTED_VALUE"""),"S022")</f>
        <v>S022</v>
      </c>
      <c r="C119" s="7" t="str">
        <f>IFERROR(__xludf.DUMMYFUNCTION("""COMPUTED_VALUE"""),"Computer Networking &amp; OSI Model")</f>
        <v>Computer Networking &amp; OSI Model</v>
      </c>
      <c r="D119" s="7" t="str">
        <f>IFERROR(__xludf.DUMMYFUNCTION("""COMPUTED_VALUE"""),"S020")</f>
        <v>S020</v>
      </c>
      <c r="E119" s="7" t="str">
        <f>IFERROR(__xludf.DUMMYFUNCTION("""COMPUTED_VALUE"""),"Bash &amp; Shell Scripting")</f>
        <v>Bash &amp; Shell Scripting</v>
      </c>
      <c r="F119" s="7" t="str">
        <f>IFERROR(__xludf.DUMMYFUNCTION("""COMPUTED_VALUE"""),"S022 unlocks S020")</f>
        <v>S022 unlocks S020</v>
      </c>
    </row>
    <row r="120">
      <c r="A120" s="7" t="str">
        <f>IFERROR(__xludf.DUMMYFUNCTION("""COMPUTED_VALUE"""),"PE0119")</f>
        <v>PE0119</v>
      </c>
      <c r="B120" s="7" t="str">
        <f>IFERROR(__xludf.DUMMYFUNCTION("""COMPUTED_VALUE"""),"S022")</f>
        <v>S022</v>
      </c>
      <c r="C120" s="7" t="str">
        <f>IFERROR(__xludf.DUMMYFUNCTION("""COMPUTED_VALUE"""),"Computer Networking &amp; OSI Model")</f>
        <v>Computer Networking &amp; OSI Model</v>
      </c>
      <c r="D120" s="7" t="str">
        <f>IFERROR(__xludf.DUMMYFUNCTION("""COMPUTED_VALUE"""),"S021")</f>
        <v>S021</v>
      </c>
      <c r="E120" s="7" t="str">
        <f>IFERROR(__xludf.DUMMYFUNCTION("""COMPUTED_VALUE"""),"PowerShell Scripting")</f>
        <v>PowerShell Scripting</v>
      </c>
      <c r="F120" s="7" t="str">
        <f>IFERROR(__xludf.DUMMYFUNCTION("""COMPUTED_VALUE"""),"S022 unlocks S021")</f>
        <v>S022 unlocks S021</v>
      </c>
    </row>
    <row r="121">
      <c r="A121" s="7" t="str">
        <f>IFERROR(__xludf.DUMMYFUNCTION("""COMPUTED_VALUE"""),"PE0120")</f>
        <v>PE0120</v>
      </c>
      <c r="B121" s="7" t="str">
        <f>IFERROR(__xludf.DUMMYFUNCTION("""COMPUTED_VALUE"""),"S022")</f>
        <v>S022</v>
      </c>
      <c r="C121" s="7" t="str">
        <f>IFERROR(__xludf.DUMMYFUNCTION("""COMPUTED_VALUE"""),"Computer Networking &amp; OSI Model")</f>
        <v>Computer Networking &amp; OSI Model</v>
      </c>
      <c r="D121" s="7" t="str">
        <f>IFERROR(__xludf.DUMMYFUNCTION("""COMPUTED_VALUE"""),"S024")</f>
        <v>S024</v>
      </c>
      <c r="E121" s="7" t="str">
        <f>IFERROR(__xludf.DUMMYFUNCTION("""COMPUTED_VALUE"""),"DNS, Domain Routing &amp; SSL/TLS")</f>
        <v>DNS, Domain Routing &amp; SSL/TLS</v>
      </c>
      <c r="F121" s="7" t="str">
        <f>IFERROR(__xludf.DUMMYFUNCTION("""COMPUTED_VALUE"""),"S022 unlocks S024")</f>
        <v>S022 unlocks S024</v>
      </c>
    </row>
    <row r="122">
      <c r="A122" s="7" t="str">
        <f>IFERROR(__xludf.DUMMYFUNCTION("""COMPUTED_VALUE"""),"PE0121")</f>
        <v>PE0121</v>
      </c>
      <c r="B122" s="7" t="str">
        <f>IFERROR(__xludf.DUMMYFUNCTION("""COMPUTED_VALUE"""),"S022")</f>
        <v>S022</v>
      </c>
      <c r="C122" s="7" t="str">
        <f>IFERROR(__xludf.DUMMYFUNCTION("""COMPUTED_VALUE"""),"Computer Networking &amp; OSI Model")</f>
        <v>Computer Networking &amp; OSI Model</v>
      </c>
      <c r="D122" s="7" t="str">
        <f>IFERROR(__xludf.DUMMYFUNCTION("""COMPUTED_VALUE"""),"S029")</f>
        <v>S029</v>
      </c>
      <c r="E122" s="7" t="str">
        <f>IFERROR(__xludf.DUMMYFUNCTION("""COMPUTED_VALUE"""),"Debugging, Profiling &amp; Root Cause Analysis")</f>
        <v>Debugging, Profiling &amp; Root Cause Analysis</v>
      </c>
      <c r="F122" s="7" t="str">
        <f>IFERROR(__xludf.DUMMYFUNCTION("""COMPUTED_VALUE"""),"S022 unlocks S029")</f>
        <v>S022 unlocks S029</v>
      </c>
    </row>
    <row r="123">
      <c r="A123" s="7" t="str">
        <f>IFERROR(__xludf.DUMMYFUNCTION("""COMPUTED_VALUE"""),"PE0122")</f>
        <v>PE0122</v>
      </c>
      <c r="B123" s="7" t="str">
        <f>IFERROR(__xludf.DUMMYFUNCTION("""COMPUTED_VALUE"""),"S023")</f>
        <v>S023</v>
      </c>
      <c r="C123" s="7" t="str">
        <f>IFERROR(__xludf.DUMMYFUNCTION("""COMPUTED_VALUE"""),"HTTP/HTTPS Protocols &amp; Status Codes")</f>
        <v>HTTP/HTTPS Protocols &amp; Status Codes</v>
      </c>
      <c r="D123" s="7" t="str">
        <f>IFERROR(__xludf.DUMMYFUNCTION("""COMPUTED_VALUE"""),"S003")</f>
        <v>S003</v>
      </c>
      <c r="E123" s="7" t="str">
        <f>IFERROR(__xludf.DUMMYFUNCTION("""COMPUTED_VALUE"""),"Process &amp; Thread Management")</f>
        <v>Process &amp; Thread Management</v>
      </c>
      <c r="F123" s="7" t="str">
        <f>IFERROR(__xludf.DUMMYFUNCTION("""COMPUTED_VALUE"""),"S023 unlocks S003")</f>
        <v>S023 unlocks S003</v>
      </c>
    </row>
    <row r="124">
      <c r="A124" s="7" t="str">
        <f>IFERROR(__xludf.DUMMYFUNCTION("""COMPUTED_VALUE"""),"PE0123")</f>
        <v>PE0123</v>
      </c>
      <c r="B124" s="7" t="str">
        <f>IFERROR(__xludf.DUMMYFUNCTION("""COMPUTED_VALUE"""),"S023")</f>
        <v>S023</v>
      </c>
      <c r="C124" s="7" t="str">
        <f>IFERROR(__xludf.DUMMYFUNCTION("""COMPUTED_VALUE"""),"HTTP/HTTPS Protocols &amp; Status Codes")</f>
        <v>HTTP/HTTPS Protocols &amp; Status Codes</v>
      </c>
      <c r="D124" s="7" t="str">
        <f>IFERROR(__xludf.DUMMYFUNCTION("""COMPUTED_VALUE"""),"S004")</f>
        <v>S004</v>
      </c>
      <c r="E124" s="7" t="str">
        <f>IFERROR(__xludf.DUMMYFUNCTION("""COMPUTED_VALUE"""),"Memory Management &amp; Paging")</f>
        <v>Memory Management &amp; Paging</v>
      </c>
      <c r="F124" s="7" t="str">
        <f>IFERROR(__xludf.DUMMYFUNCTION("""COMPUTED_VALUE"""),"S023 unlocks S004")</f>
        <v>S023 unlocks S004</v>
      </c>
    </row>
    <row r="125">
      <c r="A125" s="7" t="str">
        <f>IFERROR(__xludf.DUMMYFUNCTION("""COMPUTED_VALUE"""),"PE0124")</f>
        <v>PE0124</v>
      </c>
      <c r="B125" s="7" t="str">
        <f>IFERROR(__xludf.DUMMYFUNCTION("""COMPUTED_VALUE"""),"S023")</f>
        <v>S023</v>
      </c>
      <c r="C125" s="7" t="str">
        <f>IFERROR(__xludf.DUMMYFUNCTION("""COMPUTED_VALUE"""),"HTTP/HTTPS Protocols &amp; Status Codes")</f>
        <v>HTTP/HTTPS Protocols &amp; Status Codes</v>
      </c>
      <c r="D125" s="7" t="str">
        <f>IFERROR(__xludf.DUMMYFUNCTION("""COMPUTED_VALUE"""),"S007")</f>
        <v>S007</v>
      </c>
      <c r="E125" s="7" t="str">
        <f>IFERROR(__xludf.DUMMYFUNCTION("""COMPUTED_VALUE"""),"Trees &amp; Binary Search Trees")</f>
        <v>Trees &amp; Binary Search Trees</v>
      </c>
      <c r="F125" s="7" t="str">
        <f>IFERROR(__xludf.DUMMYFUNCTION("""COMPUTED_VALUE"""),"S023 unlocks S007")</f>
        <v>S023 unlocks S007</v>
      </c>
    </row>
    <row r="126">
      <c r="A126" s="7" t="str">
        <f>IFERROR(__xludf.DUMMYFUNCTION("""COMPUTED_VALUE"""),"PE0125")</f>
        <v>PE0125</v>
      </c>
      <c r="B126" s="7" t="str">
        <f>IFERROR(__xludf.DUMMYFUNCTION("""COMPUTED_VALUE"""),"S023")</f>
        <v>S023</v>
      </c>
      <c r="C126" s="7" t="str">
        <f>IFERROR(__xludf.DUMMYFUNCTION("""COMPUTED_VALUE"""),"HTTP/HTTPS Protocols &amp; Status Codes")</f>
        <v>HTTP/HTTPS Protocols &amp; Status Codes</v>
      </c>
      <c r="D126" s="7" t="str">
        <f>IFERROR(__xludf.DUMMYFUNCTION("""COMPUTED_VALUE"""),"S008")</f>
        <v>S008</v>
      </c>
      <c r="E126" s="7" t="str">
        <f>IFERROR(__xludf.DUMMYFUNCTION("""COMPUTED_VALUE"""),"Heaps, Priority Queues &amp; Hashing")</f>
        <v>Heaps, Priority Queues &amp; Hashing</v>
      </c>
      <c r="F126" s="7" t="str">
        <f>IFERROR(__xludf.DUMMYFUNCTION("""COMPUTED_VALUE"""),"S023 unlocks S008")</f>
        <v>S023 unlocks S008</v>
      </c>
    </row>
    <row r="127">
      <c r="A127" s="7" t="str">
        <f>IFERROR(__xludf.DUMMYFUNCTION("""COMPUTED_VALUE"""),"PE0126")</f>
        <v>PE0126</v>
      </c>
      <c r="B127" s="7" t="str">
        <f>IFERROR(__xludf.DUMMYFUNCTION("""COMPUTED_VALUE"""),"S023")</f>
        <v>S023</v>
      </c>
      <c r="C127" s="7" t="str">
        <f>IFERROR(__xludf.DUMMYFUNCTION("""COMPUTED_VALUE"""),"HTTP/HTTPS Protocols &amp; Status Codes")</f>
        <v>HTTP/HTTPS Protocols &amp; Status Codes</v>
      </c>
      <c r="D127" s="7" t="str">
        <f>IFERROR(__xludf.DUMMYFUNCTION("""COMPUTED_VALUE"""),"S009")</f>
        <v>S009</v>
      </c>
      <c r="E127" s="7" t="str">
        <f>IFERROR(__xludf.DUMMYFUNCTION("""COMPUTED_VALUE"""),"Graphs &amp; Graph Traversal (BFS/DFS)")</f>
        <v>Graphs &amp; Graph Traversal (BFS/DFS)</v>
      </c>
      <c r="F127" s="7" t="str">
        <f>IFERROR(__xludf.DUMMYFUNCTION("""COMPUTED_VALUE"""),"S023 unlocks S009")</f>
        <v>S023 unlocks S009</v>
      </c>
    </row>
    <row r="128">
      <c r="A128" s="7" t="str">
        <f>IFERROR(__xludf.DUMMYFUNCTION("""COMPUTED_VALUE"""),"PE0127")</f>
        <v>PE0127</v>
      </c>
      <c r="B128" s="7" t="str">
        <f>IFERROR(__xludf.DUMMYFUNCTION("""COMPUTED_VALUE"""),"S023")</f>
        <v>S023</v>
      </c>
      <c r="C128" s="7" t="str">
        <f>IFERROR(__xludf.DUMMYFUNCTION("""COMPUTED_VALUE"""),"HTTP/HTTPS Protocols &amp; Status Codes")</f>
        <v>HTTP/HTTPS Protocols &amp; Status Codes</v>
      </c>
      <c r="D128" s="7" t="str">
        <f>IFERROR(__xludf.DUMMYFUNCTION("""COMPUTED_VALUE"""),"S014")</f>
        <v>S014</v>
      </c>
      <c r="E128" s="7" t="str">
        <f>IFERROR(__xludf.DUMMYFUNCTION("""COMPUTED_VALUE"""),"Functional Programming Concepts")</f>
        <v>Functional Programming Concepts</v>
      </c>
      <c r="F128" s="7" t="str">
        <f>IFERROR(__xludf.DUMMYFUNCTION("""COMPUTED_VALUE"""),"S023 unlocks S014")</f>
        <v>S023 unlocks S014</v>
      </c>
    </row>
    <row r="129">
      <c r="A129" s="7" t="str">
        <f>IFERROR(__xludf.DUMMYFUNCTION("""COMPUTED_VALUE"""),"PE0128")</f>
        <v>PE0128</v>
      </c>
      <c r="B129" s="7" t="str">
        <f>IFERROR(__xludf.DUMMYFUNCTION("""COMPUTED_VALUE"""),"S023")</f>
        <v>S023</v>
      </c>
      <c r="C129" s="7" t="str">
        <f>IFERROR(__xludf.DUMMYFUNCTION("""COMPUTED_VALUE"""),"HTTP/HTTPS Protocols &amp; Status Codes")</f>
        <v>HTTP/HTTPS Protocols &amp; Status Codes</v>
      </c>
      <c r="D129" s="7" t="str">
        <f>IFERROR(__xludf.DUMMYFUNCTION("""COMPUTED_VALUE"""),"S016")</f>
        <v>S016</v>
      </c>
      <c r="E129" s="7" t="str">
        <f>IFERROR(__xludf.DUMMYFUNCTION("""COMPUTED_VALUE"""),"SOLID Principles &amp; Clean Code")</f>
        <v>SOLID Principles &amp; Clean Code</v>
      </c>
      <c r="F129" s="7" t="str">
        <f>IFERROR(__xludf.DUMMYFUNCTION("""COMPUTED_VALUE"""),"S023 unlocks S016")</f>
        <v>S023 unlocks S016</v>
      </c>
    </row>
    <row r="130">
      <c r="A130" s="7" t="str">
        <f>IFERROR(__xludf.DUMMYFUNCTION("""COMPUTED_VALUE"""),"PE0129")</f>
        <v>PE0129</v>
      </c>
      <c r="B130" s="7" t="str">
        <f>IFERROR(__xludf.DUMMYFUNCTION("""COMPUTED_VALUE"""),"S023")</f>
        <v>S023</v>
      </c>
      <c r="C130" s="7" t="str">
        <f>IFERROR(__xludf.DUMMYFUNCTION("""COMPUTED_VALUE"""),"HTTP/HTTPS Protocols &amp; Status Codes")</f>
        <v>HTTP/HTTPS Protocols &amp; Status Codes</v>
      </c>
      <c r="D130" s="7" t="str">
        <f>IFERROR(__xludf.DUMMYFUNCTION("""COMPUTED_VALUE"""),"S020")</f>
        <v>S020</v>
      </c>
      <c r="E130" s="7" t="str">
        <f>IFERROR(__xludf.DUMMYFUNCTION("""COMPUTED_VALUE"""),"Bash &amp; Shell Scripting")</f>
        <v>Bash &amp; Shell Scripting</v>
      </c>
      <c r="F130" s="7" t="str">
        <f>IFERROR(__xludf.DUMMYFUNCTION("""COMPUTED_VALUE"""),"S023 unlocks S020")</f>
        <v>S023 unlocks S020</v>
      </c>
    </row>
    <row r="131">
      <c r="A131" s="7" t="str">
        <f>IFERROR(__xludf.DUMMYFUNCTION("""COMPUTED_VALUE"""),"PE0130")</f>
        <v>PE0130</v>
      </c>
      <c r="B131" s="7" t="str">
        <f>IFERROR(__xludf.DUMMYFUNCTION("""COMPUTED_VALUE"""),"S023")</f>
        <v>S023</v>
      </c>
      <c r="C131" s="7" t="str">
        <f>IFERROR(__xludf.DUMMYFUNCTION("""COMPUTED_VALUE"""),"HTTP/HTTPS Protocols &amp; Status Codes")</f>
        <v>HTTP/HTTPS Protocols &amp; Status Codes</v>
      </c>
      <c r="D131" s="7" t="str">
        <f>IFERROR(__xludf.DUMMYFUNCTION("""COMPUTED_VALUE"""),"S021")</f>
        <v>S021</v>
      </c>
      <c r="E131" s="7" t="str">
        <f>IFERROR(__xludf.DUMMYFUNCTION("""COMPUTED_VALUE"""),"PowerShell Scripting")</f>
        <v>PowerShell Scripting</v>
      </c>
      <c r="F131" s="7" t="str">
        <f>IFERROR(__xludf.DUMMYFUNCTION("""COMPUTED_VALUE"""),"S023 unlocks S021")</f>
        <v>S023 unlocks S021</v>
      </c>
    </row>
    <row r="132">
      <c r="A132" s="7" t="str">
        <f>IFERROR(__xludf.DUMMYFUNCTION("""COMPUTED_VALUE"""),"PE0131")</f>
        <v>PE0131</v>
      </c>
      <c r="B132" s="7" t="str">
        <f>IFERROR(__xludf.DUMMYFUNCTION("""COMPUTED_VALUE"""),"S023")</f>
        <v>S023</v>
      </c>
      <c r="C132" s="7" t="str">
        <f>IFERROR(__xludf.DUMMYFUNCTION("""COMPUTED_VALUE"""),"HTTP/HTTPS Protocols &amp; Status Codes")</f>
        <v>HTTP/HTTPS Protocols &amp; Status Codes</v>
      </c>
      <c r="D132" s="7" t="str">
        <f>IFERROR(__xludf.DUMMYFUNCTION("""COMPUTED_VALUE"""),"S024")</f>
        <v>S024</v>
      </c>
      <c r="E132" s="7" t="str">
        <f>IFERROR(__xludf.DUMMYFUNCTION("""COMPUTED_VALUE"""),"DNS, Domain Routing &amp; SSL/TLS")</f>
        <v>DNS, Domain Routing &amp; SSL/TLS</v>
      </c>
      <c r="F132" s="7" t="str">
        <f>IFERROR(__xludf.DUMMYFUNCTION("""COMPUTED_VALUE"""),"S023 unlocks S024")</f>
        <v>S023 unlocks S024</v>
      </c>
    </row>
    <row r="133">
      <c r="A133" s="7" t="str">
        <f>IFERROR(__xludf.DUMMYFUNCTION("""COMPUTED_VALUE"""),"PE0132")</f>
        <v>PE0132</v>
      </c>
      <c r="B133" s="7" t="str">
        <f>IFERROR(__xludf.DUMMYFUNCTION("""COMPUTED_VALUE"""),"S023")</f>
        <v>S023</v>
      </c>
      <c r="C133" s="7" t="str">
        <f>IFERROR(__xludf.DUMMYFUNCTION("""COMPUTED_VALUE"""),"HTTP/HTTPS Protocols &amp; Status Codes")</f>
        <v>HTTP/HTTPS Protocols &amp; Status Codes</v>
      </c>
      <c r="D133" s="7" t="str">
        <f>IFERROR(__xludf.DUMMYFUNCTION("""COMPUTED_VALUE"""),"S029")</f>
        <v>S029</v>
      </c>
      <c r="E133" s="7" t="str">
        <f>IFERROR(__xludf.DUMMYFUNCTION("""COMPUTED_VALUE"""),"Debugging, Profiling &amp; Root Cause Analysis")</f>
        <v>Debugging, Profiling &amp; Root Cause Analysis</v>
      </c>
      <c r="F133" s="7" t="str">
        <f>IFERROR(__xludf.DUMMYFUNCTION("""COMPUTED_VALUE"""),"S023 unlocks S029")</f>
        <v>S023 unlocks S029</v>
      </c>
    </row>
    <row r="134">
      <c r="A134" s="7" t="str">
        <f>IFERROR(__xludf.DUMMYFUNCTION("""COMPUTED_VALUE"""),"PE0133")</f>
        <v>PE0133</v>
      </c>
      <c r="B134" s="7" t="str">
        <f>IFERROR(__xludf.DUMMYFUNCTION("""COMPUTED_VALUE"""),"S025")</f>
        <v>S025</v>
      </c>
      <c r="C134" s="7" t="str">
        <f>IFERROR(__xludf.DUMMYFUNCTION("""COMPUTED_VALUE"""),"Regular Expressions (Regex)")</f>
        <v>Regular Expressions (Regex)</v>
      </c>
      <c r="D134" s="7" t="str">
        <f>IFERROR(__xludf.DUMMYFUNCTION("""COMPUTED_VALUE"""),"S003")</f>
        <v>S003</v>
      </c>
      <c r="E134" s="7" t="str">
        <f>IFERROR(__xludf.DUMMYFUNCTION("""COMPUTED_VALUE"""),"Process &amp; Thread Management")</f>
        <v>Process &amp; Thread Management</v>
      </c>
      <c r="F134" s="7" t="str">
        <f>IFERROR(__xludf.DUMMYFUNCTION("""COMPUTED_VALUE"""),"S025 unlocks S003")</f>
        <v>S025 unlocks S003</v>
      </c>
    </row>
    <row r="135">
      <c r="A135" s="7" t="str">
        <f>IFERROR(__xludf.DUMMYFUNCTION("""COMPUTED_VALUE"""),"PE0134")</f>
        <v>PE0134</v>
      </c>
      <c r="B135" s="7" t="str">
        <f>IFERROR(__xludf.DUMMYFUNCTION("""COMPUTED_VALUE"""),"S025")</f>
        <v>S025</v>
      </c>
      <c r="C135" s="7" t="str">
        <f>IFERROR(__xludf.DUMMYFUNCTION("""COMPUTED_VALUE"""),"Regular Expressions (Regex)")</f>
        <v>Regular Expressions (Regex)</v>
      </c>
      <c r="D135" s="7" t="str">
        <f>IFERROR(__xludf.DUMMYFUNCTION("""COMPUTED_VALUE"""),"S004")</f>
        <v>S004</v>
      </c>
      <c r="E135" s="7" t="str">
        <f>IFERROR(__xludf.DUMMYFUNCTION("""COMPUTED_VALUE"""),"Memory Management &amp; Paging")</f>
        <v>Memory Management &amp; Paging</v>
      </c>
      <c r="F135" s="7" t="str">
        <f>IFERROR(__xludf.DUMMYFUNCTION("""COMPUTED_VALUE"""),"S025 unlocks S004")</f>
        <v>S025 unlocks S004</v>
      </c>
    </row>
    <row r="136">
      <c r="A136" s="7" t="str">
        <f>IFERROR(__xludf.DUMMYFUNCTION("""COMPUTED_VALUE"""),"PE0135")</f>
        <v>PE0135</v>
      </c>
      <c r="B136" s="7" t="str">
        <f>IFERROR(__xludf.DUMMYFUNCTION("""COMPUTED_VALUE"""),"S025")</f>
        <v>S025</v>
      </c>
      <c r="C136" s="7" t="str">
        <f>IFERROR(__xludf.DUMMYFUNCTION("""COMPUTED_VALUE"""),"Regular Expressions (Regex)")</f>
        <v>Regular Expressions (Regex)</v>
      </c>
      <c r="D136" s="7" t="str">
        <f>IFERROR(__xludf.DUMMYFUNCTION("""COMPUTED_VALUE"""),"S007")</f>
        <v>S007</v>
      </c>
      <c r="E136" s="7" t="str">
        <f>IFERROR(__xludf.DUMMYFUNCTION("""COMPUTED_VALUE"""),"Trees &amp; Binary Search Trees")</f>
        <v>Trees &amp; Binary Search Trees</v>
      </c>
      <c r="F136" s="7" t="str">
        <f>IFERROR(__xludf.DUMMYFUNCTION("""COMPUTED_VALUE"""),"S025 unlocks S007")</f>
        <v>S025 unlocks S007</v>
      </c>
    </row>
    <row r="137">
      <c r="A137" s="7" t="str">
        <f>IFERROR(__xludf.DUMMYFUNCTION("""COMPUTED_VALUE"""),"PE0136")</f>
        <v>PE0136</v>
      </c>
      <c r="B137" s="7" t="str">
        <f>IFERROR(__xludf.DUMMYFUNCTION("""COMPUTED_VALUE"""),"S025")</f>
        <v>S025</v>
      </c>
      <c r="C137" s="7" t="str">
        <f>IFERROR(__xludf.DUMMYFUNCTION("""COMPUTED_VALUE"""),"Regular Expressions (Regex)")</f>
        <v>Regular Expressions (Regex)</v>
      </c>
      <c r="D137" s="7" t="str">
        <f>IFERROR(__xludf.DUMMYFUNCTION("""COMPUTED_VALUE"""),"S008")</f>
        <v>S008</v>
      </c>
      <c r="E137" s="7" t="str">
        <f>IFERROR(__xludf.DUMMYFUNCTION("""COMPUTED_VALUE"""),"Heaps, Priority Queues &amp; Hashing")</f>
        <v>Heaps, Priority Queues &amp; Hashing</v>
      </c>
      <c r="F137" s="7" t="str">
        <f>IFERROR(__xludf.DUMMYFUNCTION("""COMPUTED_VALUE"""),"S025 unlocks S008")</f>
        <v>S025 unlocks S008</v>
      </c>
    </row>
    <row r="138">
      <c r="A138" s="7" t="str">
        <f>IFERROR(__xludf.DUMMYFUNCTION("""COMPUTED_VALUE"""),"PE0137")</f>
        <v>PE0137</v>
      </c>
      <c r="B138" s="7" t="str">
        <f>IFERROR(__xludf.DUMMYFUNCTION("""COMPUTED_VALUE"""),"S025")</f>
        <v>S025</v>
      </c>
      <c r="C138" s="7" t="str">
        <f>IFERROR(__xludf.DUMMYFUNCTION("""COMPUTED_VALUE"""),"Regular Expressions (Regex)")</f>
        <v>Regular Expressions (Regex)</v>
      </c>
      <c r="D138" s="7" t="str">
        <f>IFERROR(__xludf.DUMMYFUNCTION("""COMPUTED_VALUE"""),"S009")</f>
        <v>S009</v>
      </c>
      <c r="E138" s="7" t="str">
        <f>IFERROR(__xludf.DUMMYFUNCTION("""COMPUTED_VALUE"""),"Graphs &amp; Graph Traversal (BFS/DFS)")</f>
        <v>Graphs &amp; Graph Traversal (BFS/DFS)</v>
      </c>
      <c r="F138" s="7" t="str">
        <f>IFERROR(__xludf.DUMMYFUNCTION("""COMPUTED_VALUE"""),"S025 unlocks S009")</f>
        <v>S025 unlocks S009</v>
      </c>
    </row>
    <row r="139">
      <c r="A139" s="7" t="str">
        <f>IFERROR(__xludf.DUMMYFUNCTION("""COMPUTED_VALUE"""),"PE0138")</f>
        <v>PE0138</v>
      </c>
      <c r="B139" s="7" t="str">
        <f>IFERROR(__xludf.DUMMYFUNCTION("""COMPUTED_VALUE"""),"S025")</f>
        <v>S025</v>
      </c>
      <c r="C139" s="7" t="str">
        <f>IFERROR(__xludf.DUMMYFUNCTION("""COMPUTED_VALUE"""),"Regular Expressions (Regex)")</f>
        <v>Regular Expressions (Regex)</v>
      </c>
      <c r="D139" s="7" t="str">
        <f>IFERROR(__xludf.DUMMYFUNCTION("""COMPUTED_VALUE"""),"S014")</f>
        <v>S014</v>
      </c>
      <c r="E139" s="7" t="str">
        <f>IFERROR(__xludf.DUMMYFUNCTION("""COMPUTED_VALUE"""),"Functional Programming Concepts")</f>
        <v>Functional Programming Concepts</v>
      </c>
      <c r="F139" s="7" t="str">
        <f>IFERROR(__xludf.DUMMYFUNCTION("""COMPUTED_VALUE"""),"S025 unlocks S014")</f>
        <v>S025 unlocks S014</v>
      </c>
    </row>
    <row r="140">
      <c r="A140" s="7" t="str">
        <f>IFERROR(__xludf.DUMMYFUNCTION("""COMPUTED_VALUE"""),"PE0139")</f>
        <v>PE0139</v>
      </c>
      <c r="B140" s="7" t="str">
        <f>IFERROR(__xludf.DUMMYFUNCTION("""COMPUTED_VALUE"""),"S025")</f>
        <v>S025</v>
      </c>
      <c r="C140" s="7" t="str">
        <f>IFERROR(__xludf.DUMMYFUNCTION("""COMPUTED_VALUE"""),"Regular Expressions (Regex)")</f>
        <v>Regular Expressions (Regex)</v>
      </c>
      <c r="D140" s="7" t="str">
        <f>IFERROR(__xludf.DUMMYFUNCTION("""COMPUTED_VALUE"""),"S016")</f>
        <v>S016</v>
      </c>
      <c r="E140" s="7" t="str">
        <f>IFERROR(__xludf.DUMMYFUNCTION("""COMPUTED_VALUE"""),"SOLID Principles &amp; Clean Code")</f>
        <v>SOLID Principles &amp; Clean Code</v>
      </c>
      <c r="F140" s="7" t="str">
        <f>IFERROR(__xludf.DUMMYFUNCTION("""COMPUTED_VALUE"""),"S025 unlocks S016")</f>
        <v>S025 unlocks S016</v>
      </c>
    </row>
    <row r="141">
      <c r="A141" s="7" t="str">
        <f>IFERROR(__xludf.DUMMYFUNCTION("""COMPUTED_VALUE"""),"PE0140")</f>
        <v>PE0140</v>
      </c>
      <c r="B141" s="7" t="str">
        <f>IFERROR(__xludf.DUMMYFUNCTION("""COMPUTED_VALUE"""),"S025")</f>
        <v>S025</v>
      </c>
      <c r="C141" s="7" t="str">
        <f>IFERROR(__xludf.DUMMYFUNCTION("""COMPUTED_VALUE"""),"Regular Expressions (Regex)")</f>
        <v>Regular Expressions (Regex)</v>
      </c>
      <c r="D141" s="7" t="str">
        <f>IFERROR(__xludf.DUMMYFUNCTION("""COMPUTED_VALUE"""),"S020")</f>
        <v>S020</v>
      </c>
      <c r="E141" s="7" t="str">
        <f>IFERROR(__xludf.DUMMYFUNCTION("""COMPUTED_VALUE"""),"Bash &amp; Shell Scripting")</f>
        <v>Bash &amp; Shell Scripting</v>
      </c>
      <c r="F141" s="7" t="str">
        <f>IFERROR(__xludf.DUMMYFUNCTION("""COMPUTED_VALUE"""),"S025 unlocks S020")</f>
        <v>S025 unlocks S020</v>
      </c>
    </row>
    <row r="142">
      <c r="A142" s="7" t="str">
        <f>IFERROR(__xludf.DUMMYFUNCTION("""COMPUTED_VALUE"""),"PE0141")</f>
        <v>PE0141</v>
      </c>
      <c r="B142" s="7" t="str">
        <f>IFERROR(__xludf.DUMMYFUNCTION("""COMPUTED_VALUE"""),"S025")</f>
        <v>S025</v>
      </c>
      <c r="C142" s="7" t="str">
        <f>IFERROR(__xludf.DUMMYFUNCTION("""COMPUTED_VALUE"""),"Regular Expressions (Regex)")</f>
        <v>Regular Expressions (Regex)</v>
      </c>
      <c r="D142" s="7" t="str">
        <f>IFERROR(__xludf.DUMMYFUNCTION("""COMPUTED_VALUE"""),"S021")</f>
        <v>S021</v>
      </c>
      <c r="E142" s="7" t="str">
        <f>IFERROR(__xludf.DUMMYFUNCTION("""COMPUTED_VALUE"""),"PowerShell Scripting")</f>
        <v>PowerShell Scripting</v>
      </c>
      <c r="F142" s="7" t="str">
        <f>IFERROR(__xludf.DUMMYFUNCTION("""COMPUTED_VALUE"""),"S025 unlocks S021")</f>
        <v>S025 unlocks S021</v>
      </c>
    </row>
    <row r="143">
      <c r="A143" s="7" t="str">
        <f>IFERROR(__xludf.DUMMYFUNCTION("""COMPUTED_VALUE"""),"PE0142")</f>
        <v>PE0142</v>
      </c>
      <c r="B143" s="7" t="str">
        <f>IFERROR(__xludf.DUMMYFUNCTION("""COMPUTED_VALUE"""),"S025")</f>
        <v>S025</v>
      </c>
      <c r="C143" s="7" t="str">
        <f>IFERROR(__xludf.DUMMYFUNCTION("""COMPUTED_VALUE"""),"Regular Expressions (Regex)")</f>
        <v>Regular Expressions (Regex)</v>
      </c>
      <c r="D143" s="7" t="str">
        <f>IFERROR(__xludf.DUMMYFUNCTION("""COMPUTED_VALUE"""),"S024")</f>
        <v>S024</v>
      </c>
      <c r="E143" s="7" t="str">
        <f>IFERROR(__xludf.DUMMYFUNCTION("""COMPUTED_VALUE"""),"DNS, Domain Routing &amp; SSL/TLS")</f>
        <v>DNS, Domain Routing &amp; SSL/TLS</v>
      </c>
      <c r="F143" s="7" t="str">
        <f>IFERROR(__xludf.DUMMYFUNCTION("""COMPUTED_VALUE"""),"S025 unlocks S024")</f>
        <v>S025 unlocks S024</v>
      </c>
    </row>
    <row r="144">
      <c r="A144" s="7" t="str">
        <f>IFERROR(__xludf.DUMMYFUNCTION("""COMPUTED_VALUE"""),"PE0143")</f>
        <v>PE0143</v>
      </c>
      <c r="B144" s="7" t="str">
        <f>IFERROR(__xludf.DUMMYFUNCTION("""COMPUTED_VALUE"""),"S025")</f>
        <v>S025</v>
      </c>
      <c r="C144" s="7" t="str">
        <f>IFERROR(__xludf.DUMMYFUNCTION("""COMPUTED_VALUE"""),"Regular Expressions (Regex)")</f>
        <v>Regular Expressions (Regex)</v>
      </c>
      <c r="D144" s="7" t="str">
        <f>IFERROR(__xludf.DUMMYFUNCTION("""COMPUTED_VALUE"""),"S029")</f>
        <v>S029</v>
      </c>
      <c r="E144" s="7" t="str">
        <f>IFERROR(__xludf.DUMMYFUNCTION("""COMPUTED_VALUE"""),"Debugging, Profiling &amp; Root Cause Analysis")</f>
        <v>Debugging, Profiling &amp; Root Cause Analysis</v>
      </c>
      <c r="F144" s="7" t="str">
        <f>IFERROR(__xludf.DUMMYFUNCTION("""COMPUTED_VALUE"""),"S025 unlocks S029")</f>
        <v>S025 unlocks S029</v>
      </c>
    </row>
    <row r="145">
      <c r="A145" s="7" t="str">
        <f>IFERROR(__xludf.DUMMYFUNCTION("""COMPUTED_VALUE"""),"PE0144")</f>
        <v>PE0144</v>
      </c>
      <c r="B145" s="7" t="str">
        <f>IFERROR(__xludf.DUMMYFUNCTION("""COMPUTED_VALUE"""),"S026")</f>
        <v>S026</v>
      </c>
      <c r="C145" s="7" t="str">
        <f>IFERROR(__xludf.DUMMYFUNCTION("""COMPUTED_VALUE"""),"Data Serialization (JSON, XML, YAML, Protobuf)")</f>
        <v>Data Serialization (JSON, XML, YAML, Protobuf)</v>
      </c>
      <c r="D145" s="7" t="str">
        <f>IFERROR(__xludf.DUMMYFUNCTION("""COMPUTED_VALUE"""),"S003")</f>
        <v>S003</v>
      </c>
      <c r="E145" s="7" t="str">
        <f>IFERROR(__xludf.DUMMYFUNCTION("""COMPUTED_VALUE"""),"Process &amp; Thread Management")</f>
        <v>Process &amp; Thread Management</v>
      </c>
      <c r="F145" s="7" t="str">
        <f>IFERROR(__xludf.DUMMYFUNCTION("""COMPUTED_VALUE"""),"S026 unlocks S003")</f>
        <v>S026 unlocks S003</v>
      </c>
    </row>
    <row r="146">
      <c r="A146" s="7" t="str">
        <f>IFERROR(__xludf.DUMMYFUNCTION("""COMPUTED_VALUE"""),"PE0145")</f>
        <v>PE0145</v>
      </c>
      <c r="B146" s="7" t="str">
        <f>IFERROR(__xludf.DUMMYFUNCTION("""COMPUTED_VALUE"""),"S026")</f>
        <v>S026</v>
      </c>
      <c r="C146" s="7" t="str">
        <f>IFERROR(__xludf.DUMMYFUNCTION("""COMPUTED_VALUE"""),"Data Serialization (JSON, XML, YAML, Protobuf)")</f>
        <v>Data Serialization (JSON, XML, YAML, Protobuf)</v>
      </c>
      <c r="D146" s="7" t="str">
        <f>IFERROR(__xludf.DUMMYFUNCTION("""COMPUTED_VALUE"""),"S004")</f>
        <v>S004</v>
      </c>
      <c r="E146" s="7" t="str">
        <f>IFERROR(__xludf.DUMMYFUNCTION("""COMPUTED_VALUE"""),"Memory Management &amp; Paging")</f>
        <v>Memory Management &amp; Paging</v>
      </c>
      <c r="F146" s="7" t="str">
        <f>IFERROR(__xludf.DUMMYFUNCTION("""COMPUTED_VALUE"""),"S026 unlocks S004")</f>
        <v>S026 unlocks S004</v>
      </c>
    </row>
    <row r="147">
      <c r="A147" s="7" t="str">
        <f>IFERROR(__xludf.DUMMYFUNCTION("""COMPUTED_VALUE"""),"PE0146")</f>
        <v>PE0146</v>
      </c>
      <c r="B147" s="7" t="str">
        <f>IFERROR(__xludf.DUMMYFUNCTION("""COMPUTED_VALUE"""),"S026")</f>
        <v>S026</v>
      </c>
      <c r="C147" s="7" t="str">
        <f>IFERROR(__xludf.DUMMYFUNCTION("""COMPUTED_VALUE"""),"Data Serialization (JSON, XML, YAML, Protobuf)")</f>
        <v>Data Serialization (JSON, XML, YAML, Protobuf)</v>
      </c>
      <c r="D147" s="7" t="str">
        <f>IFERROR(__xludf.DUMMYFUNCTION("""COMPUTED_VALUE"""),"S007")</f>
        <v>S007</v>
      </c>
      <c r="E147" s="7" t="str">
        <f>IFERROR(__xludf.DUMMYFUNCTION("""COMPUTED_VALUE"""),"Trees &amp; Binary Search Trees")</f>
        <v>Trees &amp; Binary Search Trees</v>
      </c>
      <c r="F147" s="7" t="str">
        <f>IFERROR(__xludf.DUMMYFUNCTION("""COMPUTED_VALUE"""),"S026 unlocks S007")</f>
        <v>S026 unlocks S007</v>
      </c>
    </row>
    <row r="148">
      <c r="A148" s="7" t="str">
        <f>IFERROR(__xludf.DUMMYFUNCTION("""COMPUTED_VALUE"""),"PE0147")</f>
        <v>PE0147</v>
      </c>
      <c r="B148" s="7" t="str">
        <f>IFERROR(__xludf.DUMMYFUNCTION("""COMPUTED_VALUE"""),"S026")</f>
        <v>S026</v>
      </c>
      <c r="C148" s="7" t="str">
        <f>IFERROR(__xludf.DUMMYFUNCTION("""COMPUTED_VALUE"""),"Data Serialization (JSON, XML, YAML, Protobuf)")</f>
        <v>Data Serialization (JSON, XML, YAML, Protobuf)</v>
      </c>
      <c r="D148" s="7" t="str">
        <f>IFERROR(__xludf.DUMMYFUNCTION("""COMPUTED_VALUE"""),"S008")</f>
        <v>S008</v>
      </c>
      <c r="E148" s="7" t="str">
        <f>IFERROR(__xludf.DUMMYFUNCTION("""COMPUTED_VALUE"""),"Heaps, Priority Queues &amp; Hashing")</f>
        <v>Heaps, Priority Queues &amp; Hashing</v>
      </c>
      <c r="F148" s="7" t="str">
        <f>IFERROR(__xludf.DUMMYFUNCTION("""COMPUTED_VALUE"""),"S026 unlocks S008")</f>
        <v>S026 unlocks S008</v>
      </c>
    </row>
    <row r="149">
      <c r="A149" s="7" t="str">
        <f>IFERROR(__xludf.DUMMYFUNCTION("""COMPUTED_VALUE"""),"PE0148")</f>
        <v>PE0148</v>
      </c>
      <c r="B149" s="7" t="str">
        <f>IFERROR(__xludf.DUMMYFUNCTION("""COMPUTED_VALUE"""),"S026")</f>
        <v>S026</v>
      </c>
      <c r="C149" s="7" t="str">
        <f>IFERROR(__xludf.DUMMYFUNCTION("""COMPUTED_VALUE"""),"Data Serialization (JSON, XML, YAML, Protobuf)")</f>
        <v>Data Serialization (JSON, XML, YAML, Protobuf)</v>
      </c>
      <c r="D149" s="7" t="str">
        <f>IFERROR(__xludf.DUMMYFUNCTION("""COMPUTED_VALUE"""),"S009")</f>
        <v>S009</v>
      </c>
      <c r="E149" s="7" t="str">
        <f>IFERROR(__xludf.DUMMYFUNCTION("""COMPUTED_VALUE"""),"Graphs &amp; Graph Traversal (BFS/DFS)")</f>
        <v>Graphs &amp; Graph Traversal (BFS/DFS)</v>
      </c>
      <c r="F149" s="7" t="str">
        <f>IFERROR(__xludf.DUMMYFUNCTION("""COMPUTED_VALUE"""),"S026 unlocks S009")</f>
        <v>S026 unlocks S009</v>
      </c>
    </row>
    <row r="150">
      <c r="A150" s="7" t="str">
        <f>IFERROR(__xludf.DUMMYFUNCTION("""COMPUTED_VALUE"""),"PE0149")</f>
        <v>PE0149</v>
      </c>
      <c r="B150" s="7" t="str">
        <f>IFERROR(__xludf.DUMMYFUNCTION("""COMPUTED_VALUE"""),"S026")</f>
        <v>S026</v>
      </c>
      <c r="C150" s="7" t="str">
        <f>IFERROR(__xludf.DUMMYFUNCTION("""COMPUTED_VALUE"""),"Data Serialization (JSON, XML, YAML, Protobuf)")</f>
        <v>Data Serialization (JSON, XML, YAML, Protobuf)</v>
      </c>
      <c r="D150" s="7" t="str">
        <f>IFERROR(__xludf.DUMMYFUNCTION("""COMPUTED_VALUE"""),"S014")</f>
        <v>S014</v>
      </c>
      <c r="E150" s="7" t="str">
        <f>IFERROR(__xludf.DUMMYFUNCTION("""COMPUTED_VALUE"""),"Functional Programming Concepts")</f>
        <v>Functional Programming Concepts</v>
      </c>
      <c r="F150" s="7" t="str">
        <f>IFERROR(__xludf.DUMMYFUNCTION("""COMPUTED_VALUE"""),"S026 unlocks S014")</f>
        <v>S026 unlocks S014</v>
      </c>
    </row>
    <row r="151">
      <c r="A151" s="7" t="str">
        <f>IFERROR(__xludf.DUMMYFUNCTION("""COMPUTED_VALUE"""),"PE0150")</f>
        <v>PE0150</v>
      </c>
      <c r="B151" s="7" t="str">
        <f>IFERROR(__xludf.DUMMYFUNCTION("""COMPUTED_VALUE"""),"S026")</f>
        <v>S026</v>
      </c>
      <c r="C151" s="7" t="str">
        <f>IFERROR(__xludf.DUMMYFUNCTION("""COMPUTED_VALUE"""),"Data Serialization (JSON, XML, YAML, Protobuf)")</f>
        <v>Data Serialization (JSON, XML, YAML, Protobuf)</v>
      </c>
      <c r="D151" s="7" t="str">
        <f>IFERROR(__xludf.DUMMYFUNCTION("""COMPUTED_VALUE"""),"S016")</f>
        <v>S016</v>
      </c>
      <c r="E151" s="7" t="str">
        <f>IFERROR(__xludf.DUMMYFUNCTION("""COMPUTED_VALUE"""),"SOLID Principles &amp; Clean Code")</f>
        <v>SOLID Principles &amp; Clean Code</v>
      </c>
      <c r="F151" s="7" t="str">
        <f>IFERROR(__xludf.DUMMYFUNCTION("""COMPUTED_VALUE"""),"S026 unlocks S016")</f>
        <v>S026 unlocks S016</v>
      </c>
    </row>
    <row r="152">
      <c r="A152" s="7" t="str">
        <f>IFERROR(__xludf.DUMMYFUNCTION("""COMPUTED_VALUE"""),"PE0151")</f>
        <v>PE0151</v>
      </c>
      <c r="B152" s="7" t="str">
        <f>IFERROR(__xludf.DUMMYFUNCTION("""COMPUTED_VALUE"""),"S026")</f>
        <v>S026</v>
      </c>
      <c r="C152" s="7" t="str">
        <f>IFERROR(__xludf.DUMMYFUNCTION("""COMPUTED_VALUE"""),"Data Serialization (JSON, XML, YAML, Protobuf)")</f>
        <v>Data Serialization (JSON, XML, YAML, Protobuf)</v>
      </c>
      <c r="D152" s="7" t="str">
        <f>IFERROR(__xludf.DUMMYFUNCTION("""COMPUTED_VALUE"""),"S020")</f>
        <v>S020</v>
      </c>
      <c r="E152" s="7" t="str">
        <f>IFERROR(__xludf.DUMMYFUNCTION("""COMPUTED_VALUE"""),"Bash &amp; Shell Scripting")</f>
        <v>Bash &amp; Shell Scripting</v>
      </c>
      <c r="F152" s="7" t="str">
        <f>IFERROR(__xludf.DUMMYFUNCTION("""COMPUTED_VALUE"""),"S026 unlocks S020")</f>
        <v>S026 unlocks S020</v>
      </c>
    </row>
    <row r="153">
      <c r="A153" s="7" t="str">
        <f>IFERROR(__xludf.DUMMYFUNCTION("""COMPUTED_VALUE"""),"PE0152")</f>
        <v>PE0152</v>
      </c>
      <c r="B153" s="7" t="str">
        <f>IFERROR(__xludf.DUMMYFUNCTION("""COMPUTED_VALUE"""),"S026")</f>
        <v>S026</v>
      </c>
      <c r="C153" s="7" t="str">
        <f>IFERROR(__xludf.DUMMYFUNCTION("""COMPUTED_VALUE"""),"Data Serialization (JSON, XML, YAML, Protobuf)")</f>
        <v>Data Serialization (JSON, XML, YAML, Protobuf)</v>
      </c>
      <c r="D153" s="7" t="str">
        <f>IFERROR(__xludf.DUMMYFUNCTION("""COMPUTED_VALUE"""),"S021")</f>
        <v>S021</v>
      </c>
      <c r="E153" s="7" t="str">
        <f>IFERROR(__xludf.DUMMYFUNCTION("""COMPUTED_VALUE"""),"PowerShell Scripting")</f>
        <v>PowerShell Scripting</v>
      </c>
      <c r="F153" s="7" t="str">
        <f>IFERROR(__xludf.DUMMYFUNCTION("""COMPUTED_VALUE"""),"S026 unlocks S021")</f>
        <v>S026 unlocks S021</v>
      </c>
    </row>
    <row r="154">
      <c r="A154" s="7" t="str">
        <f>IFERROR(__xludf.DUMMYFUNCTION("""COMPUTED_VALUE"""),"PE0153")</f>
        <v>PE0153</v>
      </c>
      <c r="B154" s="7" t="str">
        <f>IFERROR(__xludf.DUMMYFUNCTION("""COMPUTED_VALUE"""),"S026")</f>
        <v>S026</v>
      </c>
      <c r="C154" s="7" t="str">
        <f>IFERROR(__xludf.DUMMYFUNCTION("""COMPUTED_VALUE"""),"Data Serialization (JSON, XML, YAML, Protobuf)")</f>
        <v>Data Serialization (JSON, XML, YAML, Protobuf)</v>
      </c>
      <c r="D154" s="7" t="str">
        <f>IFERROR(__xludf.DUMMYFUNCTION("""COMPUTED_VALUE"""),"S024")</f>
        <v>S024</v>
      </c>
      <c r="E154" s="7" t="str">
        <f>IFERROR(__xludf.DUMMYFUNCTION("""COMPUTED_VALUE"""),"DNS, Domain Routing &amp; SSL/TLS")</f>
        <v>DNS, Domain Routing &amp; SSL/TLS</v>
      </c>
      <c r="F154" s="7" t="str">
        <f>IFERROR(__xludf.DUMMYFUNCTION("""COMPUTED_VALUE"""),"S026 unlocks S024")</f>
        <v>S026 unlocks S024</v>
      </c>
    </row>
    <row r="155">
      <c r="A155" s="7" t="str">
        <f>IFERROR(__xludf.DUMMYFUNCTION("""COMPUTED_VALUE"""),"PE0154")</f>
        <v>PE0154</v>
      </c>
      <c r="B155" s="7" t="str">
        <f>IFERROR(__xludf.DUMMYFUNCTION("""COMPUTED_VALUE"""),"S026")</f>
        <v>S026</v>
      </c>
      <c r="C155" s="7" t="str">
        <f>IFERROR(__xludf.DUMMYFUNCTION("""COMPUTED_VALUE"""),"Data Serialization (JSON, XML, YAML, Protobuf)")</f>
        <v>Data Serialization (JSON, XML, YAML, Protobuf)</v>
      </c>
      <c r="D155" s="7" t="str">
        <f>IFERROR(__xludf.DUMMYFUNCTION("""COMPUTED_VALUE"""),"S029")</f>
        <v>S029</v>
      </c>
      <c r="E155" s="7" t="str">
        <f>IFERROR(__xludf.DUMMYFUNCTION("""COMPUTED_VALUE"""),"Debugging, Profiling &amp; Root Cause Analysis")</f>
        <v>Debugging, Profiling &amp; Root Cause Analysis</v>
      </c>
      <c r="F155" s="7" t="str">
        <f>IFERROR(__xludf.DUMMYFUNCTION("""COMPUTED_VALUE"""),"S026 unlocks S029")</f>
        <v>S026 unlocks S029</v>
      </c>
    </row>
    <row r="156">
      <c r="A156" s="7" t="str">
        <f>IFERROR(__xludf.DUMMYFUNCTION("""COMPUTED_VALUE"""),"PE0155")</f>
        <v>PE0155</v>
      </c>
      <c r="B156" s="7" t="str">
        <f>IFERROR(__xludf.DUMMYFUNCTION("""COMPUTED_VALUE"""),"S027")</f>
        <v>S027</v>
      </c>
      <c r="C156" s="7" t="str">
        <f>IFERROR(__xludf.DUMMYFUNCTION("""COMPUTED_VALUE"""),"Character Encoding &amp; Unicode (UTF-8)")</f>
        <v>Character Encoding &amp; Unicode (UTF-8)</v>
      </c>
      <c r="D156" s="7" t="str">
        <f>IFERROR(__xludf.DUMMYFUNCTION("""COMPUTED_VALUE"""),"S003")</f>
        <v>S003</v>
      </c>
      <c r="E156" s="7" t="str">
        <f>IFERROR(__xludf.DUMMYFUNCTION("""COMPUTED_VALUE"""),"Process &amp; Thread Management")</f>
        <v>Process &amp; Thread Management</v>
      </c>
      <c r="F156" s="7" t="str">
        <f>IFERROR(__xludf.DUMMYFUNCTION("""COMPUTED_VALUE"""),"S027 unlocks S003")</f>
        <v>S027 unlocks S003</v>
      </c>
    </row>
    <row r="157">
      <c r="A157" s="7" t="str">
        <f>IFERROR(__xludf.DUMMYFUNCTION("""COMPUTED_VALUE"""),"PE0156")</f>
        <v>PE0156</v>
      </c>
      <c r="B157" s="7" t="str">
        <f>IFERROR(__xludf.DUMMYFUNCTION("""COMPUTED_VALUE"""),"S027")</f>
        <v>S027</v>
      </c>
      <c r="C157" s="7" t="str">
        <f>IFERROR(__xludf.DUMMYFUNCTION("""COMPUTED_VALUE"""),"Character Encoding &amp; Unicode (UTF-8)")</f>
        <v>Character Encoding &amp; Unicode (UTF-8)</v>
      </c>
      <c r="D157" s="7" t="str">
        <f>IFERROR(__xludf.DUMMYFUNCTION("""COMPUTED_VALUE"""),"S004")</f>
        <v>S004</v>
      </c>
      <c r="E157" s="7" t="str">
        <f>IFERROR(__xludf.DUMMYFUNCTION("""COMPUTED_VALUE"""),"Memory Management &amp; Paging")</f>
        <v>Memory Management &amp; Paging</v>
      </c>
      <c r="F157" s="7" t="str">
        <f>IFERROR(__xludf.DUMMYFUNCTION("""COMPUTED_VALUE"""),"S027 unlocks S004")</f>
        <v>S027 unlocks S004</v>
      </c>
    </row>
    <row r="158">
      <c r="A158" s="7" t="str">
        <f>IFERROR(__xludf.DUMMYFUNCTION("""COMPUTED_VALUE"""),"PE0157")</f>
        <v>PE0157</v>
      </c>
      <c r="B158" s="7" t="str">
        <f>IFERROR(__xludf.DUMMYFUNCTION("""COMPUTED_VALUE"""),"S027")</f>
        <v>S027</v>
      </c>
      <c r="C158" s="7" t="str">
        <f>IFERROR(__xludf.DUMMYFUNCTION("""COMPUTED_VALUE"""),"Character Encoding &amp; Unicode (UTF-8)")</f>
        <v>Character Encoding &amp; Unicode (UTF-8)</v>
      </c>
      <c r="D158" s="7" t="str">
        <f>IFERROR(__xludf.DUMMYFUNCTION("""COMPUTED_VALUE"""),"S007")</f>
        <v>S007</v>
      </c>
      <c r="E158" s="7" t="str">
        <f>IFERROR(__xludf.DUMMYFUNCTION("""COMPUTED_VALUE"""),"Trees &amp; Binary Search Trees")</f>
        <v>Trees &amp; Binary Search Trees</v>
      </c>
      <c r="F158" s="7" t="str">
        <f>IFERROR(__xludf.DUMMYFUNCTION("""COMPUTED_VALUE"""),"S027 unlocks S007")</f>
        <v>S027 unlocks S007</v>
      </c>
    </row>
    <row r="159">
      <c r="A159" s="7" t="str">
        <f>IFERROR(__xludf.DUMMYFUNCTION("""COMPUTED_VALUE"""),"PE0158")</f>
        <v>PE0158</v>
      </c>
      <c r="B159" s="7" t="str">
        <f>IFERROR(__xludf.DUMMYFUNCTION("""COMPUTED_VALUE"""),"S027")</f>
        <v>S027</v>
      </c>
      <c r="C159" s="7" t="str">
        <f>IFERROR(__xludf.DUMMYFUNCTION("""COMPUTED_VALUE"""),"Character Encoding &amp; Unicode (UTF-8)")</f>
        <v>Character Encoding &amp; Unicode (UTF-8)</v>
      </c>
      <c r="D159" s="7" t="str">
        <f>IFERROR(__xludf.DUMMYFUNCTION("""COMPUTED_VALUE"""),"S008")</f>
        <v>S008</v>
      </c>
      <c r="E159" s="7" t="str">
        <f>IFERROR(__xludf.DUMMYFUNCTION("""COMPUTED_VALUE"""),"Heaps, Priority Queues &amp; Hashing")</f>
        <v>Heaps, Priority Queues &amp; Hashing</v>
      </c>
      <c r="F159" s="7" t="str">
        <f>IFERROR(__xludf.DUMMYFUNCTION("""COMPUTED_VALUE"""),"S027 unlocks S008")</f>
        <v>S027 unlocks S008</v>
      </c>
    </row>
    <row r="160">
      <c r="A160" s="7" t="str">
        <f>IFERROR(__xludf.DUMMYFUNCTION("""COMPUTED_VALUE"""),"PE0159")</f>
        <v>PE0159</v>
      </c>
      <c r="B160" s="7" t="str">
        <f>IFERROR(__xludf.DUMMYFUNCTION("""COMPUTED_VALUE"""),"S027")</f>
        <v>S027</v>
      </c>
      <c r="C160" s="7" t="str">
        <f>IFERROR(__xludf.DUMMYFUNCTION("""COMPUTED_VALUE"""),"Character Encoding &amp; Unicode (UTF-8)")</f>
        <v>Character Encoding &amp; Unicode (UTF-8)</v>
      </c>
      <c r="D160" s="7" t="str">
        <f>IFERROR(__xludf.DUMMYFUNCTION("""COMPUTED_VALUE"""),"S009")</f>
        <v>S009</v>
      </c>
      <c r="E160" s="7" t="str">
        <f>IFERROR(__xludf.DUMMYFUNCTION("""COMPUTED_VALUE"""),"Graphs &amp; Graph Traversal (BFS/DFS)")</f>
        <v>Graphs &amp; Graph Traversal (BFS/DFS)</v>
      </c>
      <c r="F160" s="7" t="str">
        <f>IFERROR(__xludf.DUMMYFUNCTION("""COMPUTED_VALUE"""),"S027 unlocks S009")</f>
        <v>S027 unlocks S009</v>
      </c>
    </row>
    <row r="161">
      <c r="A161" s="7" t="str">
        <f>IFERROR(__xludf.DUMMYFUNCTION("""COMPUTED_VALUE"""),"PE0160")</f>
        <v>PE0160</v>
      </c>
      <c r="B161" s="7" t="str">
        <f>IFERROR(__xludf.DUMMYFUNCTION("""COMPUTED_VALUE"""),"S027")</f>
        <v>S027</v>
      </c>
      <c r="C161" s="7" t="str">
        <f>IFERROR(__xludf.DUMMYFUNCTION("""COMPUTED_VALUE"""),"Character Encoding &amp; Unicode (UTF-8)")</f>
        <v>Character Encoding &amp; Unicode (UTF-8)</v>
      </c>
      <c r="D161" s="7" t="str">
        <f>IFERROR(__xludf.DUMMYFUNCTION("""COMPUTED_VALUE"""),"S014")</f>
        <v>S014</v>
      </c>
      <c r="E161" s="7" t="str">
        <f>IFERROR(__xludf.DUMMYFUNCTION("""COMPUTED_VALUE"""),"Functional Programming Concepts")</f>
        <v>Functional Programming Concepts</v>
      </c>
      <c r="F161" s="7" t="str">
        <f>IFERROR(__xludf.DUMMYFUNCTION("""COMPUTED_VALUE"""),"S027 unlocks S014")</f>
        <v>S027 unlocks S014</v>
      </c>
    </row>
    <row r="162">
      <c r="A162" s="7" t="str">
        <f>IFERROR(__xludf.DUMMYFUNCTION("""COMPUTED_VALUE"""),"PE0161")</f>
        <v>PE0161</v>
      </c>
      <c r="B162" s="7" t="str">
        <f>IFERROR(__xludf.DUMMYFUNCTION("""COMPUTED_VALUE"""),"S027")</f>
        <v>S027</v>
      </c>
      <c r="C162" s="7" t="str">
        <f>IFERROR(__xludf.DUMMYFUNCTION("""COMPUTED_VALUE"""),"Character Encoding &amp; Unicode (UTF-8)")</f>
        <v>Character Encoding &amp; Unicode (UTF-8)</v>
      </c>
      <c r="D162" s="7" t="str">
        <f>IFERROR(__xludf.DUMMYFUNCTION("""COMPUTED_VALUE"""),"S016")</f>
        <v>S016</v>
      </c>
      <c r="E162" s="7" t="str">
        <f>IFERROR(__xludf.DUMMYFUNCTION("""COMPUTED_VALUE"""),"SOLID Principles &amp; Clean Code")</f>
        <v>SOLID Principles &amp; Clean Code</v>
      </c>
      <c r="F162" s="7" t="str">
        <f>IFERROR(__xludf.DUMMYFUNCTION("""COMPUTED_VALUE"""),"S027 unlocks S016")</f>
        <v>S027 unlocks S016</v>
      </c>
    </row>
    <row r="163">
      <c r="A163" s="7" t="str">
        <f>IFERROR(__xludf.DUMMYFUNCTION("""COMPUTED_VALUE"""),"PE0162")</f>
        <v>PE0162</v>
      </c>
      <c r="B163" s="7" t="str">
        <f>IFERROR(__xludf.DUMMYFUNCTION("""COMPUTED_VALUE"""),"S027")</f>
        <v>S027</v>
      </c>
      <c r="C163" s="7" t="str">
        <f>IFERROR(__xludf.DUMMYFUNCTION("""COMPUTED_VALUE"""),"Character Encoding &amp; Unicode (UTF-8)")</f>
        <v>Character Encoding &amp; Unicode (UTF-8)</v>
      </c>
      <c r="D163" s="7" t="str">
        <f>IFERROR(__xludf.DUMMYFUNCTION("""COMPUTED_VALUE"""),"S020")</f>
        <v>S020</v>
      </c>
      <c r="E163" s="7" t="str">
        <f>IFERROR(__xludf.DUMMYFUNCTION("""COMPUTED_VALUE"""),"Bash &amp; Shell Scripting")</f>
        <v>Bash &amp; Shell Scripting</v>
      </c>
      <c r="F163" s="7" t="str">
        <f>IFERROR(__xludf.DUMMYFUNCTION("""COMPUTED_VALUE"""),"S027 unlocks S020")</f>
        <v>S027 unlocks S020</v>
      </c>
    </row>
    <row r="164">
      <c r="A164" s="7" t="str">
        <f>IFERROR(__xludf.DUMMYFUNCTION("""COMPUTED_VALUE"""),"PE0163")</f>
        <v>PE0163</v>
      </c>
      <c r="B164" s="7" t="str">
        <f>IFERROR(__xludf.DUMMYFUNCTION("""COMPUTED_VALUE"""),"S027")</f>
        <v>S027</v>
      </c>
      <c r="C164" s="7" t="str">
        <f>IFERROR(__xludf.DUMMYFUNCTION("""COMPUTED_VALUE"""),"Character Encoding &amp; Unicode (UTF-8)")</f>
        <v>Character Encoding &amp; Unicode (UTF-8)</v>
      </c>
      <c r="D164" s="7" t="str">
        <f>IFERROR(__xludf.DUMMYFUNCTION("""COMPUTED_VALUE"""),"S021")</f>
        <v>S021</v>
      </c>
      <c r="E164" s="7" t="str">
        <f>IFERROR(__xludf.DUMMYFUNCTION("""COMPUTED_VALUE"""),"PowerShell Scripting")</f>
        <v>PowerShell Scripting</v>
      </c>
      <c r="F164" s="7" t="str">
        <f>IFERROR(__xludf.DUMMYFUNCTION("""COMPUTED_VALUE"""),"S027 unlocks S021")</f>
        <v>S027 unlocks S021</v>
      </c>
    </row>
    <row r="165">
      <c r="A165" s="7" t="str">
        <f>IFERROR(__xludf.DUMMYFUNCTION("""COMPUTED_VALUE"""),"PE0164")</f>
        <v>PE0164</v>
      </c>
      <c r="B165" s="7" t="str">
        <f>IFERROR(__xludf.DUMMYFUNCTION("""COMPUTED_VALUE"""),"S027")</f>
        <v>S027</v>
      </c>
      <c r="C165" s="7" t="str">
        <f>IFERROR(__xludf.DUMMYFUNCTION("""COMPUTED_VALUE"""),"Character Encoding &amp; Unicode (UTF-8)")</f>
        <v>Character Encoding &amp; Unicode (UTF-8)</v>
      </c>
      <c r="D165" s="7" t="str">
        <f>IFERROR(__xludf.DUMMYFUNCTION("""COMPUTED_VALUE"""),"S024")</f>
        <v>S024</v>
      </c>
      <c r="E165" s="7" t="str">
        <f>IFERROR(__xludf.DUMMYFUNCTION("""COMPUTED_VALUE"""),"DNS, Domain Routing &amp; SSL/TLS")</f>
        <v>DNS, Domain Routing &amp; SSL/TLS</v>
      </c>
      <c r="F165" s="7" t="str">
        <f>IFERROR(__xludf.DUMMYFUNCTION("""COMPUTED_VALUE"""),"S027 unlocks S024")</f>
        <v>S027 unlocks S024</v>
      </c>
    </row>
    <row r="166">
      <c r="A166" s="7" t="str">
        <f>IFERROR(__xludf.DUMMYFUNCTION("""COMPUTED_VALUE"""),"PE0165")</f>
        <v>PE0165</v>
      </c>
      <c r="B166" s="7" t="str">
        <f>IFERROR(__xludf.DUMMYFUNCTION("""COMPUTED_VALUE"""),"S027")</f>
        <v>S027</v>
      </c>
      <c r="C166" s="7" t="str">
        <f>IFERROR(__xludf.DUMMYFUNCTION("""COMPUTED_VALUE"""),"Character Encoding &amp; Unicode (UTF-8)")</f>
        <v>Character Encoding &amp; Unicode (UTF-8)</v>
      </c>
      <c r="D166" s="7" t="str">
        <f>IFERROR(__xludf.DUMMYFUNCTION("""COMPUTED_VALUE"""),"S029")</f>
        <v>S029</v>
      </c>
      <c r="E166" s="7" t="str">
        <f>IFERROR(__xludf.DUMMYFUNCTION("""COMPUTED_VALUE"""),"Debugging, Profiling &amp; Root Cause Analysis")</f>
        <v>Debugging, Profiling &amp; Root Cause Analysis</v>
      </c>
      <c r="F166" s="7" t="str">
        <f>IFERROR(__xludf.DUMMYFUNCTION("""COMPUTED_VALUE"""),"S027 unlocks S029")</f>
        <v>S027 unlocks S029</v>
      </c>
    </row>
    <row r="167">
      <c r="A167" s="7" t="str">
        <f>IFERROR(__xludf.DUMMYFUNCTION("""COMPUTED_VALUE"""),"PE0166")</f>
        <v>PE0166</v>
      </c>
      <c r="B167" s="7" t="str">
        <f>IFERROR(__xludf.DUMMYFUNCTION("""COMPUTED_VALUE"""),"S028")</f>
        <v>S028</v>
      </c>
      <c r="C167" s="7" t="str">
        <f>IFERROR(__xludf.DUMMYFUNCTION("""COMPUTED_VALUE"""),"Technical Writing &amp; Markdown Documentation")</f>
        <v>Technical Writing &amp; Markdown Documentation</v>
      </c>
      <c r="D167" s="7" t="str">
        <f>IFERROR(__xludf.DUMMYFUNCTION("""COMPUTED_VALUE"""),"S003")</f>
        <v>S003</v>
      </c>
      <c r="E167" s="7" t="str">
        <f>IFERROR(__xludf.DUMMYFUNCTION("""COMPUTED_VALUE"""),"Process &amp; Thread Management")</f>
        <v>Process &amp; Thread Management</v>
      </c>
      <c r="F167" s="7" t="str">
        <f>IFERROR(__xludf.DUMMYFUNCTION("""COMPUTED_VALUE"""),"S028 unlocks S003")</f>
        <v>S028 unlocks S003</v>
      </c>
    </row>
    <row r="168">
      <c r="A168" s="7" t="str">
        <f>IFERROR(__xludf.DUMMYFUNCTION("""COMPUTED_VALUE"""),"PE0167")</f>
        <v>PE0167</v>
      </c>
      <c r="B168" s="7" t="str">
        <f>IFERROR(__xludf.DUMMYFUNCTION("""COMPUTED_VALUE"""),"S028")</f>
        <v>S028</v>
      </c>
      <c r="C168" s="7" t="str">
        <f>IFERROR(__xludf.DUMMYFUNCTION("""COMPUTED_VALUE"""),"Technical Writing &amp; Markdown Documentation")</f>
        <v>Technical Writing &amp; Markdown Documentation</v>
      </c>
      <c r="D168" s="7" t="str">
        <f>IFERROR(__xludf.DUMMYFUNCTION("""COMPUTED_VALUE"""),"S004")</f>
        <v>S004</v>
      </c>
      <c r="E168" s="7" t="str">
        <f>IFERROR(__xludf.DUMMYFUNCTION("""COMPUTED_VALUE"""),"Memory Management &amp; Paging")</f>
        <v>Memory Management &amp; Paging</v>
      </c>
      <c r="F168" s="7" t="str">
        <f>IFERROR(__xludf.DUMMYFUNCTION("""COMPUTED_VALUE"""),"S028 unlocks S004")</f>
        <v>S028 unlocks S004</v>
      </c>
    </row>
    <row r="169">
      <c r="A169" s="7" t="str">
        <f>IFERROR(__xludf.DUMMYFUNCTION("""COMPUTED_VALUE"""),"PE0168")</f>
        <v>PE0168</v>
      </c>
      <c r="B169" s="7" t="str">
        <f>IFERROR(__xludf.DUMMYFUNCTION("""COMPUTED_VALUE"""),"S028")</f>
        <v>S028</v>
      </c>
      <c r="C169" s="7" t="str">
        <f>IFERROR(__xludf.DUMMYFUNCTION("""COMPUTED_VALUE"""),"Technical Writing &amp; Markdown Documentation")</f>
        <v>Technical Writing &amp; Markdown Documentation</v>
      </c>
      <c r="D169" s="7" t="str">
        <f>IFERROR(__xludf.DUMMYFUNCTION("""COMPUTED_VALUE"""),"S007")</f>
        <v>S007</v>
      </c>
      <c r="E169" s="7" t="str">
        <f>IFERROR(__xludf.DUMMYFUNCTION("""COMPUTED_VALUE"""),"Trees &amp; Binary Search Trees")</f>
        <v>Trees &amp; Binary Search Trees</v>
      </c>
      <c r="F169" s="7" t="str">
        <f>IFERROR(__xludf.DUMMYFUNCTION("""COMPUTED_VALUE"""),"S028 unlocks S007")</f>
        <v>S028 unlocks S007</v>
      </c>
    </row>
    <row r="170">
      <c r="A170" s="7" t="str">
        <f>IFERROR(__xludf.DUMMYFUNCTION("""COMPUTED_VALUE"""),"PE0169")</f>
        <v>PE0169</v>
      </c>
      <c r="B170" s="7" t="str">
        <f>IFERROR(__xludf.DUMMYFUNCTION("""COMPUTED_VALUE"""),"S028")</f>
        <v>S028</v>
      </c>
      <c r="C170" s="7" t="str">
        <f>IFERROR(__xludf.DUMMYFUNCTION("""COMPUTED_VALUE"""),"Technical Writing &amp; Markdown Documentation")</f>
        <v>Technical Writing &amp; Markdown Documentation</v>
      </c>
      <c r="D170" s="7" t="str">
        <f>IFERROR(__xludf.DUMMYFUNCTION("""COMPUTED_VALUE"""),"S008")</f>
        <v>S008</v>
      </c>
      <c r="E170" s="7" t="str">
        <f>IFERROR(__xludf.DUMMYFUNCTION("""COMPUTED_VALUE"""),"Heaps, Priority Queues &amp; Hashing")</f>
        <v>Heaps, Priority Queues &amp; Hashing</v>
      </c>
      <c r="F170" s="7" t="str">
        <f>IFERROR(__xludf.DUMMYFUNCTION("""COMPUTED_VALUE"""),"S028 unlocks S008")</f>
        <v>S028 unlocks S008</v>
      </c>
    </row>
    <row r="171">
      <c r="A171" s="7" t="str">
        <f>IFERROR(__xludf.DUMMYFUNCTION("""COMPUTED_VALUE"""),"PE0170")</f>
        <v>PE0170</v>
      </c>
      <c r="B171" s="7" t="str">
        <f>IFERROR(__xludf.DUMMYFUNCTION("""COMPUTED_VALUE"""),"S028")</f>
        <v>S028</v>
      </c>
      <c r="C171" s="7" t="str">
        <f>IFERROR(__xludf.DUMMYFUNCTION("""COMPUTED_VALUE"""),"Technical Writing &amp; Markdown Documentation")</f>
        <v>Technical Writing &amp; Markdown Documentation</v>
      </c>
      <c r="D171" s="7" t="str">
        <f>IFERROR(__xludf.DUMMYFUNCTION("""COMPUTED_VALUE"""),"S009")</f>
        <v>S009</v>
      </c>
      <c r="E171" s="7" t="str">
        <f>IFERROR(__xludf.DUMMYFUNCTION("""COMPUTED_VALUE"""),"Graphs &amp; Graph Traversal (BFS/DFS)")</f>
        <v>Graphs &amp; Graph Traversal (BFS/DFS)</v>
      </c>
      <c r="F171" s="7" t="str">
        <f>IFERROR(__xludf.DUMMYFUNCTION("""COMPUTED_VALUE"""),"S028 unlocks S009")</f>
        <v>S028 unlocks S009</v>
      </c>
    </row>
    <row r="172">
      <c r="A172" s="7" t="str">
        <f>IFERROR(__xludf.DUMMYFUNCTION("""COMPUTED_VALUE"""),"PE0171")</f>
        <v>PE0171</v>
      </c>
      <c r="B172" s="7" t="str">
        <f>IFERROR(__xludf.DUMMYFUNCTION("""COMPUTED_VALUE"""),"S028")</f>
        <v>S028</v>
      </c>
      <c r="C172" s="7" t="str">
        <f>IFERROR(__xludf.DUMMYFUNCTION("""COMPUTED_VALUE"""),"Technical Writing &amp; Markdown Documentation")</f>
        <v>Technical Writing &amp; Markdown Documentation</v>
      </c>
      <c r="D172" s="7" t="str">
        <f>IFERROR(__xludf.DUMMYFUNCTION("""COMPUTED_VALUE"""),"S014")</f>
        <v>S014</v>
      </c>
      <c r="E172" s="7" t="str">
        <f>IFERROR(__xludf.DUMMYFUNCTION("""COMPUTED_VALUE"""),"Functional Programming Concepts")</f>
        <v>Functional Programming Concepts</v>
      </c>
      <c r="F172" s="7" t="str">
        <f>IFERROR(__xludf.DUMMYFUNCTION("""COMPUTED_VALUE"""),"S028 unlocks S014")</f>
        <v>S028 unlocks S014</v>
      </c>
    </row>
    <row r="173">
      <c r="A173" s="7" t="str">
        <f>IFERROR(__xludf.DUMMYFUNCTION("""COMPUTED_VALUE"""),"PE0172")</f>
        <v>PE0172</v>
      </c>
      <c r="B173" s="7" t="str">
        <f>IFERROR(__xludf.DUMMYFUNCTION("""COMPUTED_VALUE"""),"S028")</f>
        <v>S028</v>
      </c>
      <c r="C173" s="7" t="str">
        <f>IFERROR(__xludf.DUMMYFUNCTION("""COMPUTED_VALUE"""),"Technical Writing &amp; Markdown Documentation")</f>
        <v>Technical Writing &amp; Markdown Documentation</v>
      </c>
      <c r="D173" s="7" t="str">
        <f>IFERROR(__xludf.DUMMYFUNCTION("""COMPUTED_VALUE"""),"S016")</f>
        <v>S016</v>
      </c>
      <c r="E173" s="7" t="str">
        <f>IFERROR(__xludf.DUMMYFUNCTION("""COMPUTED_VALUE"""),"SOLID Principles &amp; Clean Code")</f>
        <v>SOLID Principles &amp; Clean Code</v>
      </c>
      <c r="F173" s="7" t="str">
        <f>IFERROR(__xludf.DUMMYFUNCTION("""COMPUTED_VALUE"""),"S028 unlocks S016")</f>
        <v>S028 unlocks S016</v>
      </c>
    </row>
    <row r="174">
      <c r="A174" s="7" t="str">
        <f>IFERROR(__xludf.DUMMYFUNCTION("""COMPUTED_VALUE"""),"PE0173")</f>
        <v>PE0173</v>
      </c>
      <c r="B174" s="7" t="str">
        <f>IFERROR(__xludf.DUMMYFUNCTION("""COMPUTED_VALUE"""),"S028")</f>
        <v>S028</v>
      </c>
      <c r="C174" s="7" t="str">
        <f>IFERROR(__xludf.DUMMYFUNCTION("""COMPUTED_VALUE"""),"Technical Writing &amp; Markdown Documentation")</f>
        <v>Technical Writing &amp; Markdown Documentation</v>
      </c>
      <c r="D174" s="7" t="str">
        <f>IFERROR(__xludf.DUMMYFUNCTION("""COMPUTED_VALUE"""),"S020")</f>
        <v>S020</v>
      </c>
      <c r="E174" s="7" t="str">
        <f>IFERROR(__xludf.DUMMYFUNCTION("""COMPUTED_VALUE"""),"Bash &amp; Shell Scripting")</f>
        <v>Bash &amp; Shell Scripting</v>
      </c>
      <c r="F174" s="7" t="str">
        <f>IFERROR(__xludf.DUMMYFUNCTION("""COMPUTED_VALUE"""),"S028 unlocks S020")</f>
        <v>S028 unlocks S020</v>
      </c>
    </row>
    <row r="175">
      <c r="A175" s="7" t="str">
        <f>IFERROR(__xludf.DUMMYFUNCTION("""COMPUTED_VALUE"""),"PE0174")</f>
        <v>PE0174</v>
      </c>
      <c r="B175" s="7" t="str">
        <f>IFERROR(__xludf.DUMMYFUNCTION("""COMPUTED_VALUE"""),"S028")</f>
        <v>S028</v>
      </c>
      <c r="C175" s="7" t="str">
        <f>IFERROR(__xludf.DUMMYFUNCTION("""COMPUTED_VALUE"""),"Technical Writing &amp; Markdown Documentation")</f>
        <v>Technical Writing &amp; Markdown Documentation</v>
      </c>
      <c r="D175" s="7" t="str">
        <f>IFERROR(__xludf.DUMMYFUNCTION("""COMPUTED_VALUE"""),"S021")</f>
        <v>S021</v>
      </c>
      <c r="E175" s="7" t="str">
        <f>IFERROR(__xludf.DUMMYFUNCTION("""COMPUTED_VALUE"""),"PowerShell Scripting")</f>
        <v>PowerShell Scripting</v>
      </c>
      <c r="F175" s="7" t="str">
        <f>IFERROR(__xludf.DUMMYFUNCTION("""COMPUTED_VALUE"""),"S028 unlocks S021")</f>
        <v>S028 unlocks S021</v>
      </c>
    </row>
    <row r="176">
      <c r="A176" s="7" t="str">
        <f>IFERROR(__xludf.DUMMYFUNCTION("""COMPUTED_VALUE"""),"PE0175")</f>
        <v>PE0175</v>
      </c>
      <c r="B176" s="7" t="str">
        <f>IFERROR(__xludf.DUMMYFUNCTION("""COMPUTED_VALUE"""),"S028")</f>
        <v>S028</v>
      </c>
      <c r="C176" s="7" t="str">
        <f>IFERROR(__xludf.DUMMYFUNCTION("""COMPUTED_VALUE"""),"Technical Writing &amp; Markdown Documentation")</f>
        <v>Technical Writing &amp; Markdown Documentation</v>
      </c>
      <c r="D176" s="7" t="str">
        <f>IFERROR(__xludf.DUMMYFUNCTION("""COMPUTED_VALUE"""),"S024")</f>
        <v>S024</v>
      </c>
      <c r="E176" s="7" t="str">
        <f>IFERROR(__xludf.DUMMYFUNCTION("""COMPUTED_VALUE"""),"DNS, Domain Routing &amp; SSL/TLS")</f>
        <v>DNS, Domain Routing &amp; SSL/TLS</v>
      </c>
      <c r="F176" s="7" t="str">
        <f>IFERROR(__xludf.DUMMYFUNCTION("""COMPUTED_VALUE"""),"S028 unlocks S024")</f>
        <v>S028 unlocks S024</v>
      </c>
    </row>
    <row r="177">
      <c r="A177" s="7" t="str">
        <f>IFERROR(__xludf.DUMMYFUNCTION("""COMPUTED_VALUE"""),"PE0176")</f>
        <v>PE0176</v>
      </c>
      <c r="B177" s="7" t="str">
        <f>IFERROR(__xludf.DUMMYFUNCTION("""COMPUTED_VALUE"""),"S028")</f>
        <v>S028</v>
      </c>
      <c r="C177" s="7" t="str">
        <f>IFERROR(__xludf.DUMMYFUNCTION("""COMPUTED_VALUE"""),"Technical Writing &amp; Markdown Documentation")</f>
        <v>Technical Writing &amp; Markdown Documentation</v>
      </c>
      <c r="D177" s="7" t="str">
        <f>IFERROR(__xludf.DUMMYFUNCTION("""COMPUTED_VALUE"""),"S029")</f>
        <v>S029</v>
      </c>
      <c r="E177" s="7" t="str">
        <f>IFERROR(__xludf.DUMMYFUNCTION("""COMPUTED_VALUE"""),"Debugging, Profiling &amp; Root Cause Analysis")</f>
        <v>Debugging, Profiling &amp; Root Cause Analysis</v>
      </c>
      <c r="F177" s="7" t="str">
        <f>IFERROR(__xludf.DUMMYFUNCTION("""COMPUTED_VALUE"""),"S028 unlocks S029")</f>
        <v>S028 unlocks S029</v>
      </c>
    </row>
    <row r="178">
      <c r="A178" s="7" t="str">
        <f>IFERROR(__xludf.DUMMYFUNCTION("""COMPUTED_VALUE"""),"PE0177")</f>
        <v>PE0177</v>
      </c>
      <c r="B178" s="7" t="str">
        <f>IFERROR(__xludf.DUMMYFUNCTION("""COMPUTED_VALUE"""),"S030")</f>
        <v>S030</v>
      </c>
      <c r="C178" s="7" t="str">
        <f>IFERROR(__xludf.DUMMYFUNCTION("""COMPUTED_VALUE"""),"Discrete Mathematics &amp; Boolean Logic")</f>
        <v>Discrete Mathematics &amp; Boolean Logic</v>
      </c>
      <c r="D178" s="7" t="str">
        <f>IFERROR(__xludf.DUMMYFUNCTION("""COMPUTED_VALUE"""),"S003")</f>
        <v>S003</v>
      </c>
      <c r="E178" s="7" t="str">
        <f>IFERROR(__xludf.DUMMYFUNCTION("""COMPUTED_VALUE"""),"Process &amp; Thread Management")</f>
        <v>Process &amp; Thread Management</v>
      </c>
      <c r="F178" s="7" t="str">
        <f>IFERROR(__xludf.DUMMYFUNCTION("""COMPUTED_VALUE"""),"S030 unlocks S003")</f>
        <v>S030 unlocks S003</v>
      </c>
    </row>
    <row r="179">
      <c r="A179" s="7" t="str">
        <f>IFERROR(__xludf.DUMMYFUNCTION("""COMPUTED_VALUE"""),"PE0178")</f>
        <v>PE0178</v>
      </c>
      <c r="B179" s="7" t="str">
        <f>IFERROR(__xludf.DUMMYFUNCTION("""COMPUTED_VALUE"""),"S030")</f>
        <v>S030</v>
      </c>
      <c r="C179" s="7" t="str">
        <f>IFERROR(__xludf.DUMMYFUNCTION("""COMPUTED_VALUE"""),"Discrete Mathematics &amp; Boolean Logic")</f>
        <v>Discrete Mathematics &amp; Boolean Logic</v>
      </c>
      <c r="D179" s="7" t="str">
        <f>IFERROR(__xludf.DUMMYFUNCTION("""COMPUTED_VALUE"""),"S004")</f>
        <v>S004</v>
      </c>
      <c r="E179" s="7" t="str">
        <f>IFERROR(__xludf.DUMMYFUNCTION("""COMPUTED_VALUE"""),"Memory Management &amp; Paging")</f>
        <v>Memory Management &amp; Paging</v>
      </c>
      <c r="F179" s="7" t="str">
        <f>IFERROR(__xludf.DUMMYFUNCTION("""COMPUTED_VALUE"""),"S030 unlocks S004")</f>
        <v>S030 unlocks S004</v>
      </c>
    </row>
    <row r="180">
      <c r="A180" s="7" t="str">
        <f>IFERROR(__xludf.DUMMYFUNCTION("""COMPUTED_VALUE"""),"PE0179")</f>
        <v>PE0179</v>
      </c>
      <c r="B180" s="7" t="str">
        <f>IFERROR(__xludf.DUMMYFUNCTION("""COMPUTED_VALUE"""),"S030")</f>
        <v>S030</v>
      </c>
      <c r="C180" s="7" t="str">
        <f>IFERROR(__xludf.DUMMYFUNCTION("""COMPUTED_VALUE"""),"Discrete Mathematics &amp; Boolean Logic")</f>
        <v>Discrete Mathematics &amp; Boolean Logic</v>
      </c>
      <c r="D180" s="7" t="str">
        <f>IFERROR(__xludf.DUMMYFUNCTION("""COMPUTED_VALUE"""),"S007")</f>
        <v>S007</v>
      </c>
      <c r="E180" s="7" t="str">
        <f>IFERROR(__xludf.DUMMYFUNCTION("""COMPUTED_VALUE"""),"Trees &amp; Binary Search Trees")</f>
        <v>Trees &amp; Binary Search Trees</v>
      </c>
      <c r="F180" s="7" t="str">
        <f>IFERROR(__xludf.DUMMYFUNCTION("""COMPUTED_VALUE"""),"S030 unlocks S007")</f>
        <v>S030 unlocks S007</v>
      </c>
    </row>
    <row r="181">
      <c r="A181" s="7" t="str">
        <f>IFERROR(__xludf.DUMMYFUNCTION("""COMPUTED_VALUE"""),"PE0180")</f>
        <v>PE0180</v>
      </c>
      <c r="B181" s="7" t="str">
        <f>IFERROR(__xludf.DUMMYFUNCTION("""COMPUTED_VALUE"""),"S030")</f>
        <v>S030</v>
      </c>
      <c r="C181" s="7" t="str">
        <f>IFERROR(__xludf.DUMMYFUNCTION("""COMPUTED_VALUE"""),"Discrete Mathematics &amp; Boolean Logic")</f>
        <v>Discrete Mathematics &amp; Boolean Logic</v>
      </c>
      <c r="D181" s="7" t="str">
        <f>IFERROR(__xludf.DUMMYFUNCTION("""COMPUTED_VALUE"""),"S008")</f>
        <v>S008</v>
      </c>
      <c r="E181" s="7" t="str">
        <f>IFERROR(__xludf.DUMMYFUNCTION("""COMPUTED_VALUE"""),"Heaps, Priority Queues &amp; Hashing")</f>
        <v>Heaps, Priority Queues &amp; Hashing</v>
      </c>
      <c r="F181" s="7" t="str">
        <f>IFERROR(__xludf.DUMMYFUNCTION("""COMPUTED_VALUE"""),"S030 unlocks S008")</f>
        <v>S030 unlocks S008</v>
      </c>
    </row>
    <row r="182">
      <c r="A182" s="7" t="str">
        <f>IFERROR(__xludf.DUMMYFUNCTION("""COMPUTED_VALUE"""),"PE0181")</f>
        <v>PE0181</v>
      </c>
      <c r="B182" s="7" t="str">
        <f>IFERROR(__xludf.DUMMYFUNCTION("""COMPUTED_VALUE"""),"S030")</f>
        <v>S030</v>
      </c>
      <c r="C182" s="7" t="str">
        <f>IFERROR(__xludf.DUMMYFUNCTION("""COMPUTED_VALUE"""),"Discrete Mathematics &amp; Boolean Logic")</f>
        <v>Discrete Mathematics &amp; Boolean Logic</v>
      </c>
      <c r="D182" s="7" t="str">
        <f>IFERROR(__xludf.DUMMYFUNCTION("""COMPUTED_VALUE"""),"S009")</f>
        <v>S009</v>
      </c>
      <c r="E182" s="7" t="str">
        <f>IFERROR(__xludf.DUMMYFUNCTION("""COMPUTED_VALUE"""),"Graphs &amp; Graph Traversal (BFS/DFS)")</f>
        <v>Graphs &amp; Graph Traversal (BFS/DFS)</v>
      </c>
      <c r="F182" s="7" t="str">
        <f>IFERROR(__xludf.DUMMYFUNCTION("""COMPUTED_VALUE"""),"S030 unlocks S009")</f>
        <v>S030 unlocks S009</v>
      </c>
    </row>
    <row r="183">
      <c r="A183" s="7" t="str">
        <f>IFERROR(__xludf.DUMMYFUNCTION("""COMPUTED_VALUE"""),"PE0182")</f>
        <v>PE0182</v>
      </c>
      <c r="B183" s="7" t="str">
        <f>IFERROR(__xludf.DUMMYFUNCTION("""COMPUTED_VALUE"""),"S030")</f>
        <v>S030</v>
      </c>
      <c r="C183" s="7" t="str">
        <f>IFERROR(__xludf.DUMMYFUNCTION("""COMPUTED_VALUE"""),"Discrete Mathematics &amp; Boolean Logic")</f>
        <v>Discrete Mathematics &amp; Boolean Logic</v>
      </c>
      <c r="D183" s="7" t="str">
        <f>IFERROR(__xludf.DUMMYFUNCTION("""COMPUTED_VALUE"""),"S014")</f>
        <v>S014</v>
      </c>
      <c r="E183" s="7" t="str">
        <f>IFERROR(__xludf.DUMMYFUNCTION("""COMPUTED_VALUE"""),"Functional Programming Concepts")</f>
        <v>Functional Programming Concepts</v>
      </c>
      <c r="F183" s="7" t="str">
        <f>IFERROR(__xludf.DUMMYFUNCTION("""COMPUTED_VALUE"""),"S030 unlocks S014")</f>
        <v>S030 unlocks S014</v>
      </c>
    </row>
    <row r="184">
      <c r="A184" s="7" t="str">
        <f>IFERROR(__xludf.DUMMYFUNCTION("""COMPUTED_VALUE"""),"PE0183")</f>
        <v>PE0183</v>
      </c>
      <c r="B184" s="7" t="str">
        <f>IFERROR(__xludf.DUMMYFUNCTION("""COMPUTED_VALUE"""),"S030")</f>
        <v>S030</v>
      </c>
      <c r="C184" s="7" t="str">
        <f>IFERROR(__xludf.DUMMYFUNCTION("""COMPUTED_VALUE"""),"Discrete Mathematics &amp; Boolean Logic")</f>
        <v>Discrete Mathematics &amp; Boolean Logic</v>
      </c>
      <c r="D184" s="7" t="str">
        <f>IFERROR(__xludf.DUMMYFUNCTION("""COMPUTED_VALUE"""),"S016")</f>
        <v>S016</v>
      </c>
      <c r="E184" s="7" t="str">
        <f>IFERROR(__xludf.DUMMYFUNCTION("""COMPUTED_VALUE"""),"SOLID Principles &amp; Clean Code")</f>
        <v>SOLID Principles &amp; Clean Code</v>
      </c>
      <c r="F184" s="7" t="str">
        <f>IFERROR(__xludf.DUMMYFUNCTION("""COMPUTED_VALUE"""),"S030 unlocks S016")</f>
        <v>S030 unlocks S016</v>
      </c>
    </row>
    <row r="185">
      <c r="A185" s="7" t="str">
        <f>IFERROR(__xludf.DUMMYFUNCTION("""COMPUTED_VALUE"""),"PE0184")</f>
        <v>PE0184</v>
      </c>
      <c r="B185" s="7" t="str">
        <f>IFERROR(__xludf.DUMMYFUNCTION("""COMPUTED_VALUE"""),"S030")</f>
        <v>S030</v>
      </c>
      <c r="C185" s="7" t="str">
        <f>IFERROR(__xludf.DUMMYFUNCTION("""COMPUTED_VALUE"""),"Discrete Mathematics &amp; Boolean Logic")</f>
        <v>Discrete Mathematics &amp; Boolean Logic</v>
      </c>
      <c r="D185" s="7" t="str">
        <f>IFERROR(__xludf.DUMMYFUNCTION("""COMPUTED_VALUE"""),"S020")</f>
        <v>S020</v>
      </c>
      <c r="E185" s="7" t="str">
        <f>IFERROR(__xludf.DUMMYFUNCTION("""COMPUTED_VALUE"""),"Bash &amp; Shell Scripting")</f>
        <v>Bash &amp; Shell Scripting</v>
      </c>
      <c r="F185" s="7" t="str">
        <f>IFERROR(__xludf.DUMMYFUNCTION("""COMPUTED_VALUE"""),"S030 unlocks S020")</f>
        <v>S030 unlocks S020</v>
      </c>
    </row>
    <row r="186">
      <c r="A186" s="7" t="str">
        <f>IFERROR(__xludf.DUMMYFUNCTION("""COMPUTED_VALUE"""),"PE0185")</f>
        <v>PE0185</v>
      </c>
      <c r="B186" s="7" t="str">
        <f>IFERROR(__xludf.DUMMYFUNCTION("""COMPUTED_VALUE"""),"S030")</f>
        <v>S030</v>
      </c>
      <c r="C186" s="7" t="str">
        <f>IFERROR(__xludf.DUMMYFUNCTION("""COMPUTED_VALUE"""),"Discrete Mathematics &amp; Boolean Logic")</f>
        <v>Discrete Mathematics &amp; Boolean Logic</v>
      </c>
      <c r="D186" s="7" t="str">
        <f>IFERROR(__xludf.DUMMYFUNCTION("""COMPUTED_VALUE"""),"S021")</f>
        <v>S021</v>
      </c>
      <c r="E186" s="7" t="str">
        <f>IFERROR(__xludf.DUMMYFUNCTION("""COMPUTED_VALUE"""),"PowerShell Scripting")</f>
        <v>PowerShell Scripting</v>
      </c>
      <c r="F186" s="7" t="str">
        <f>IFERROR(__xludf.DUMMYFUNCTION("""COMPUTED_VALUE"""),"S030 unlocks S021")</f>
        <v>S030 unlocks S021</v>
      </c>
    </row>
    <row r="187">
      <c r="A187" s="7" t="str">
        <f>IFERROR(__xludf.DUMMYFUNCTION("""COMPUTED_VALUE"""),"PE0186")</f>
        <v>PE0186</v>
      </c>
      <c r="B187" s="7" t="str">
        <f>IFERROR(__xludf.DUMMYFUNCTION("""COMPUTED_VALUE"""),"S030")</f>
        <v>S030</v>
      </c>
      <c r="C187" s="7" t="str">
        <f>IFERROR(__xludf.DUMMYFUNCTION("""COMPUTED_VALUE"""),"Discrete Mathematics &amp; Boolean Logic")</f>
        <v>Discrete Mathematics &amp; Boolean Logic</v>
      </c>
      <c r="D187" s="7" t="str">
        <f>IFERROR(__xludf.DUMMYFUNCTION("""COMPUTED_VALUE"""),"S024")</f>
        <v>S024</v>
      </c>
      <c r="E187" s="7" t="str">
        <f>IFERROR(__xludf.DUMMYFUNCTION("""COMPUTED_VALUE"""),"DNS, Domain Routing &amp; SSL/TLS")</f>
        <v>DNS, Domain Routing &amp; SSL/TLS</v>
      </c>
      <c r="F187" s="7" t="str">
        <f>IFERROR(__xludf.DUMMYFUNCTION("""COMPUTED_VALUE"""),"S030 unlocks S024")</f>
        <v>S030 unlocks S024</v>
      </c>
    </row>
    <row r="188">
      <c r="A188" s="7" t="str">
        <f>IFERROR(__xludf.DUMMYFUNCTION("""COMPUTED_VALUE"""),"PE0187")</f>
        <v>PE0187</v>
      </c>
      <c r="B188" s="7" t="str">
        <f>IFERROR(__xludf.DUMMYFUNCTION("""COMPUTED_VALUE"""),"S030")</f>
        <v>S030</v>
      </c>
      <c r="C188" s="7" t="str">
        <f>IFERROR(__xludf.DUMMYFUNCTION("""COMPUTED_VALUE"""),"Discrete Mathematics &amp; Boolean Logic")</f>
        <v>Discrete Mathematics &amp; Boolean Logic</v>
      </c>
      <c r="D188" s="7" t="str">
        <f>IFERROR(__xludf.DUMMYFUNCTION("""COMPUTED_VALUE"""),"S029")</f>
        <v>S029</v>
      </c>
      <c r="E188" s="7" t="str">
        <f>IFERROR(__xludf.DUMMYFUNCTION("""COMPUTED_VALUE"""),"Debugging, Profiling &amp; Root Cause Analysis")</f>
        <v>Debugging, Profiling &amp; Root Cause Analysis</v>
      </c>
      <c r="F188" s="7" t="str">
        <f>IFERROR(__xludf.DUMMYFUNCTION("""COMPUTED_VALUE"""),"S030 unlocks S029")</f>
        <v>S030 unlocks S029</v>
      </c>
    </row>
    <row r="189">
      <c r="A189" s="7" t="str">
        <f>IFERROR(__xludf.DUMMYFUNCTION("""COMPUTED_VALUE"""),"PE0188")</f>
        <v>PE0188</v>
      </c>
      <c r="B189" s="7" t="str">
        <f>IFERROR(__xludf.DUMMYFUNCTION("""COMPUTED_VALUE"""),"S031")</f>
        <v>S031</v>
      </c>
      <c r="C189" s="7" t="str">
        <f>IFERROR(__xludf.DUMMYFUNCTION("""COMPUTED_VALUE"""),"Semantic HTML5")</f>
        <v>Semantic HTML5</v>
      </c>
      <c r="D189" s="7" t="str">
        <f>IFERROR(__xludf.DUMMYFUNCTION("""COMPUTED_VALUE"""),"S035")</f>
        <v>S035</v>
      </c>
      <c r="E189" s="7" t="str">
        <f>IFERROR(__xludf.DUMMYFUNCTION("""COMPUTED_VALUE"""),"Asynchronous JavaScript (Promises, Async/Await)")</f>
        <v>Asynchronous JavaScript (Promises, Async/Await)</v>
      </c>
      <c r="F189" s="7" t="str">
        <f>IFERROR(__xludf.DUMMYFUNCTION("""COMPUTED_VALUE"""),"S031 unlocks S035")</f>
        <v>S031 unlocks S035</v>
      </c>
    </row>
    <row r="190">
      <c r="A190" s="7" t="str">
        <f>IFERROR(__xludf.DUMMYFUNCTION("""COMPUTED_VALUE"""),"PE0189")</f>
        <v>PE0189</v>
      </c>
      <c r="B190" s="7" t="str">
        <f>IFERROR(__xludf.DUMMYFUNCTION("""COMPUTED_VALUE"""),"S031")</f>
        <v>S031</v>
      </c>
      <c r="C190" s="7" t="str">
        <f>IFERROR(__xludf.DUMMYFUNCTION("""COMPUTED_VALUE"""),"Semantic HTML5")</f>
        <v>Semantic HTML5</v>
      </c>
      <c r="D190" s="7" t="str">
        <f>IFERROR(__xludf.DUMMYFUNCTION("""COMPUTED_VALUE"""),"S038")</f>
        <v>S038</v>
      </c>
      <c r="E190" s="7" t="str">
        <f>IFERROR(__xludf.DUMMYFUNCTION("""COMPUTED_VALUE"""),"TypeScript &amp; Static Typing")</f>
        <v>TypeScript &amp; Static Typing</v>
      </c>
      <c r="F190" s="7" t="str">
        <f>IFERROR(__xludf.DUMMYFUNCTION("""COMPUTED_VALUE"""),"S031 unlocks S038")</f>
        <v>S031 unlocks S038</v>
      </c>
    </row>
    <row r="191">
      <c r="A191" s="7" t="str">
        <f>IFERROR(__xludf.DUMMYFUNCTION("""COMPUTED_VALUE"""),"PE0190")</f>
        <v>PE0190</v>
      </c>
      <c r="B191" s="7" t="str">
        <f>IFERROR(__xludf.DUMMYFUNCTION("""COMPUTED_VALUE"""),"S031")</f>
        <v>S031</v>
      </c>
      <c r="C191" s="7" t="str">
        <f>IFERROR(__xludf.DUMMYFUNCTION("""COMPUTED_VALUE"""),"Semantic HTML5")</f>
        <v>Semantic HTML5</v>
      </c>
      <c r="D191" s="7" t="str">
        <f>IFERROR(__xludf.DUMMYFUNCTION("""COMPUTED_VALUE"""),"S039")</f>
        <v>S039</v>
      </c>
      <c r="E191" s="7" t="str">
        <f>IFERROR(__xludf.DUMMYFUNCTION("""COMPUTED_VALUE"""),"React.js &amp; Hooks Architecture")</f>
        <v>React.js &amp; Hooks Architecture</v>
      </c>
      <c r="F191" s="7" t="str">
        <f>IFERROR(__xludf.DUMMYFUNCTION("""COMPUTED_VALUE"""),"S031 unlocks S039")</f>
        <v>S031 unlocks S039</v>
      </c>
    </row>
    <row r="192">
      <c r="A192" s="7" t="str">
        <f>IFERROR(__xludf.DUMMYFUNCTION("""COMPUTED_VALUE"""),"PE0191")</f>
        <v>PE0191</v>
      </c>
      <c r="B192" s="7" t="str">
        <f>IFERROR(__xludf.DUMMYFUNCTION("""COMPUTED_VALUE"""),"S031")</f>
        <v>S031</v>
      </c>
      <c r="C192" s="7" t="str">
        <f>IFERROR(__xludf.DUMMYFUNCTION("""COMPUTED_VALUE"""),"Semantic HTML5")</f>
        <v>Semantic HTML5</v>
      </c>
      <c r="D192" s="7" t="str">
        <f>IFERROR(__xludf.DUMMYFUNCTION("""COMPUTED_VALUE"""),"S040")</f>
        <v>S040</v>
      </c>
      <c r="E192" s="7" t="str">
        <f>IFERROR(__xludf.DUMMYFUNCTION("""COMPUTED_VALUE"""),"Angular Framework &amp; RxJS")</f>
        <v>Angular Framework &amp; RxJS</v>
      </c>
      <c r="F192" s="7" t="str">
        <f>IFERROR(__xludf.DUMMYFUNCTION("""COMPUTED_VALUE"""),"S031 unlocks S040")</f>
        <v>S031 unlocks S040</v>
      </c>
    </row>
    <row r="193">
      <c r="A193" s="7" t="str">
        <f>IFERROR(__xludf.DUMMYFUNCTION("""COMPUTED_VALUE"""),"PE0192")</f>
        <v>PE0192</v>
      </c>
      <c r="B193" s="7" t="str">
        <f>IFERROR(__xludf.DUMMYFUNCTION("""COMPUTED_VALUE"""),"S031")</f>
        <v>S031</v>
      </c>
      <c r="C193" s="7" t="str">
        <f>IFERROR(__xludf.DUMMYFUNCTION("""COMPUTED_VALUE"""),"Semantic HTML5")</f>
        <v>Semantic HTML5</v>
      </c>
      <c r="D193" s="7" t="str">
        <f>IFERROR(__xludf.DUMMYFUNCTION("""COMPUTED_VALUE"""),"S041")</f>
        <v>S041</v>
      </c>
      <c r="E193" s="7" t="str">
        <f>IFERROR(__xludf.DUMMYFUNCTION("""COMPUTED_VALUE"""),"Vue.js &amp; Composition API")</f>
        <v>Vue.js &amp; Composition API</v>
      </c>
      <c r="F193" s="7" t="str">
        <f>IFERROR(__xludf.DUMMYFUNCTION("""COMPUTED_VALUE"""),"S031 unlocks S041")</f>
        <v>S031 unlocks S041</v>
      </c>
    </row>
    <row r="194">
      <c r="A194" s="7" t="str">
        <f>IFERROR(__xludf.DUMMYFUNCTION("""COMPUTED_VALUE"""),"PE0193")</f>
        <v>PE0193</v>
      </c>
      <c r="B194" s="7" t="str">
        <f>IFERROR(__xludf.DUMMYFUNCTION("""COMPUTED_VALUE"""),"S031")</f>
        <v>S031</v>
      </c>
      <c r="C194" s="7" t="str">
        <f>IFERROR(__xludf.DUMMYFUNCTION("""COMPUTED_VALUE"""),"Semantic HTML5")</f>
        <v>Semantic HTML5</v>
      </c>
      <c r="D194" s="7" t="str">
        <f>IFERROR(__xludf.DUMMYFUNCTION("""COMPUTED_VALUE"""),"S042")</f>
        <v>S042</v>
      </c>
      <c r="E194" s="7" t="str">
        <f>IFERROR(__xludf.DUMMYFUNCTION("""COMPUTED_VALUE"""),"Svelte &amp; SvelteKit")</f>
        <v>Svelte &amp; SvelteKit</v>
      </c>
      <c r="F194" s="7" t="str">
        <f>IFERROR(__xludf.DUMMYFUNCTION("""COMPUTED_VALUE"""),"S031 unlocks S042")</f>
        <v>S031 unlocks S042</v>
      </c>
    </row>
    <row r="195">
      <c r="A195" s="7" t="str">
        <f>IFERROR(__xludf.DUMMYFUNCTION("""COMPUTED_VALUE"""),"PE0194")</f>
        <v>PE0194</v>
      </c>
      <c r="B195" s="7" t="str">
        <f>IFERROR(__xludf.DUMMYFUNCTION("""COMPUTED_VALUE"""),"S031")</f>
        <v>S031</v>
      </c>
      <c r="C195" s="7" t="str">
        <f>IFERROR(__xludf.DUMMYFUNCTION("""COMPUTED_VALUE"""),"Semantic HTML5")</f>
        <v>Semantic HTML5</v>
      </c>
      <c r="D195" s="7" t="str">
        <f>IFERROR(__xludf.DUMMYFUNCTION("""COMPUTED_VALUE"""),"S046")</f>
        <v>S046</v>
      </c>
      <c r="E195" s="7" t="str">
        <f>IFERROR(__xludf.DUMMYFUNCTION("""COMPUTED_VALUE"""),"Data Fetching &amp; Caching (TanStack React Query, SWR)")</f>
        <v>Data Fetching &amp; Caching (TanStack React Query, SWR)</v>
      </c>
      <c r="F195" s="7" t="str">
        <f>IFERROR(__xludf.DUMMYFUNCTION("""COMPUTED_VALUE"""),"S031 unlocks S046")</f>
        <v>S031 unlocks S046</v>
      </c>
    </row>
    <row r="196">
      <c r="A196" s="7" t="str">
        <f>IFERROR(__xludf.DUMMYFUNCTION("""COMPUTED_VALUE"""),"PE0195")</f>
        <v>PE0195</v>
      </c>
      <c r="B196" s="7" t="str">
        <f>IFERROR(__xludf.DUMMYFUNCTION("""COMPUTED_VALUE"""),"S031")</f>
        <v>S031</v>
      </c>
      <c r="C196" s="7" t="str">
        <f>IFERROR(__xludf.DUMMYFUNCTION("""COMPUTED_VALUE"""),"Semantic HTML5")</f>
        <v>Semantic HTML5</v>
      </c>
      <c r="D196" s="7" t="str">
        <f>IFERROR(__xludf.DUMMYFUNCTION("""COMPUTED_VALUE"""),"S047")</f>
        <v>S047</v>
      </c>
      <c r="E196" s="7" t="str">
        <f>IFERROR(__xludf.DUMMYFUNCTION("""COMPUTED_VALUE"""),"Tailwind CSS Utility Styling")</f>
        <v>Tailwind CSS Utility Styling</v>
      </c>
      <c r="F196" s="7" t="str">
        <f>IFERROR(__xludf.DUMMYFUNCTION("""COMPUTED_VALUE"""),"S031 unlocks S047")</f>
        <v>S031 unlocks S047</v>
      </c>
    </row>
    <row r="197">
      <c r="A197" s="7" t="str">
        <f>IFERROR(__xludf.DUMMYFUNCTION("""COMPUTED_VALUE"""),"PE0196")</f>
        <v>PE0196</v>
      </c>
      <c r="B197" s="7" t="str">
        <f>IFERROR(__xludf.DUMMYFUNCTION("""COMPUTED_VALUE"""),"S031")</f>
        <v>S031</v>
      </c>
      <c r="C197" s="7" t="str">
        <f>IFERROR(__xludf.DUMMYFUNCTION("""COMPUTED_VALUE"""),"Semantic HTML5")</f>
        <v>Semantic HTML5</v>
      </c>
      <c r="D197" s="7" t="str">
        <f>IFERROR(__xludf.DUMMYFUNCTION("""COMPUTED_VALUE"""),"S048")</f>
        <v>S048</v>
      </c>
      <c r="E197" s="7" t="str">
        <f>IFERROR(__xludf.DUMMYFUNCTION("""COMPUTED_VALUE"""),"CSS Preprocessors (Sass / SCSS)")</f>
        <v>CSS Preprocessors (Sass / SCSS)</v>
      </c>
      <c r="F197" s="7" t="str">
        <f>IFERROR(__xludf.DUMMYFUNCTION("""COMPUTED_VALUE"""),"S031 unlocks S048")</f>
        <v>S031 unlocks S048</v>
      </c>
    </row>
    <row r="198">
      <c r="A198" s="7" t="str">
        <f>IFERROR(__xludf.DUMMYFUNCTION("""COMPUTED_VALUE"""),"PE0197")</f>
        <v>PE0197</v>
      </c>
      <c r="B198" s="7" t="str">
        <f>IFERROR(__xludf.DUMMYFUNCTION("""COMPUTED_VALUE"""),"S031")</f>
        <v>S031</v>
      </c>
      <c r="C198" s="7" t="str">
        <f>IFERROR(__xludf.DUMMYFUNCTION("""COMPUTED_VALUE"""),"Semantic HTML5")</f>
        <v>Semantic HTML5</v>
      </c>
      <c r="D198" s="7" t="str">
        <f>IFERROR(__xludf.DUMMYFUNCTION("""COMPUTED_VALUE"""),"S050")</f>
        <v>S050</v>
      </c>
      <c r="E198" s="7" t="str">
        <f>IFERROR(__xludf.DUMMYFUNCTION("""COMPUTED_VALUE"""),"Module Bundlers &amp; Build Tools (Vite, Webpack, Rollup)")</f>
        <v>Module Bundlers &amp; Build Tools (Vite, Webpack, Rollup)</v>
      </c>
      <c r="F198" s="7" t="str">
        <f>IFERROR(__xludf.DUMMYFUNCTION("""COMPUTED_VALUE"""),"S031 unlocks S050")</f>
        <v>S031 unlocks S050</v>
      </c>
    </row>
    <row r="199">
      <c r="A199" s="7" t="str">
        <f>IFERROR(__xludf.DUMMYFUNCTION("""COMPUTED_VALUE"""),"PE0198")</f>
        <v>PE0198</v>
      </c>
      <c r="B199" s="7" t="str">
        <f>IFERROR(__xludf.DUMMYFUNCTION("""COMPUTED_VALUE"""),"S031")</f>
        <v>S031</v>
      </c>
      <c r="C199" s="7" t="str">
        <f>IFERROR(__xludf.DUMMYFUNCTION("""COMPUTED_VALUE"""),"Semantic HTML5")</f>
        <v>Semantic HTML5</v>
      </c>
      <c r="D199" s="7" t="str">
        <f>IFERROR(__xludf.DUMMYFUNCTION("""COMPUTED_VALUE"""),"S053")</f>
        <v>S053</v>
      </c>
      <c r="E199" s="7" t="str">
        <f>IFERROR(__xludf.DUMMYFUNCTION("""COMPUTED_VALUE"""),"Web Accessibility (WCAG / ARIA / a11y)")</f>
        <v>Web Accessibility (WCAG / ARIA / a11y)</v>
      </c>
      <c r="F199" s="7" t="str">
        <f>IFERROR(__xludf.DUMMYFUNCTION("""COMPUTED_VALUE"""),"S031 unlocks S053")</f>
        <v>S031 unlocks S053</v>
      </c>
    </row>
    <row r="200">
      <c r="A200" s="7" t="str">
        <f>IFERROR(__xludf.DUMMYFUNCTION("""COMPUTED_VALUE"""),"PE0199")</f>
        <v>PE0199</v>
      </c>
      <c r="B200" s="7" t="str">
        <f>IFERROR(__xludf.DUMMYFUNCTION("""COMPUTED_VALUE"""),"S031")</f>
        <v>S031</v>
      </c>
      <c r="C200" s="7" t="str">
        <f>IFERROR(__xludf.DUMMYFUNCTION("""COMPUTED_VALUE"""),"Semantic HTML5")</f>
        <v>Semantic HTML5</v>
      </c>
      <c r="D200" s="7" t="str">
        <f>IFERROR(__xludf.DUMMYFUNCTION("""COMPUTED_VALUE"""),"S057")</f>
        <v>S057</v>
      </c>
      <c r="E200" s="7" t="str">
        <f>IFERROR(__xludf.DUMMYFUNCTION("""COMPUTED_VALUE"""),"Data Visualization &amp; Charting (D3.js, Recharts, Chart.js)")</f>
        <v>Data Visualization &amp; Charting (D3.js, Recharts, Chart.js)</v>
      </c>
      <c r="F200" s="7" t="str">
        <f>IFERROR(__xludf.DUMMYFUNCTION("""COMPUTED_VALUE"""),"S031 unlocks S057")</f>
        <v>S031 unlocks S057</v>
      </c>
    </row>
    <row r="201">
      <c r="A201" s="7" t="str">
        <f>IFERROR(__xludf.DUMMYFUNCTION("""COMPUTED_VALUE"""),"PE0200")</f>
        <v>PE0200</v>
      </c>
      <c r="B201" s="7" t="str">
        <f>IFERROR(__xludf.DUMMYFUNCTION("""COMPUTED_VALUE"""),"S031")</f>
        <v>S031</v>
      </c>
      <c r="C201" s="7" t="str">
        <f>IFERROR(__xludf.DUMMYFUNCTION("""COMPUTED_VALUE"""),"Semantic HTML5")</f>
        <v>Semantic HTML5</v>
      </c>
      <c r="D201" s="7" t="str">
        <f>IFERROR(__xludf.DUMMYFUNCTION("""COMPUTED_VALUE"""),"S059")</f>
        <v>S059</v>
      </c>
      <c r="E201" s="7" t="str">
        <f>IFERROR(__xludf.DUMMYFUNCTION("""COMPUTED_VALUE"""),"Frontend Unit &amp; Component Testing (Jest, Vitest, RTL)")</f>
        <v>Frontend Unit &amp; Component Testing (Jest, Vitest, RTL)</v>
      </c>
      <c r="F201" s="7" t="str">
        <f>IFERROR(__xludf.DUMMYFUNCTION("""COMPUTED_VALUE"""),"S031 unlocks S059")</f>
        <v>S031 unlocks S059</v>
      </c>
    </row>
    <row r="202">
      <c r="A202" s="7" t="str">
        <f>IFERROR(__xludf.DUMMYFUNCTION("""COMPUTED_VALUE"""),"PE0201")</f>
        <v>PE0201</v>
      </c>
      <c r="B202" s="7" t="str">
        <f>IFERROR(__xludf.DUMMYFUNCTION("""COMPUTED_VALUE"""),"S031")</f>
        <v>S031</v>
      </c>
      <c r="C202" s="7" t="str">
        <f>IFERROR(__xludf.DUMMYFUNCTION("""COMPUTED_VALUE"""),"Semantic HTML5")</f>
        <v>Semantic HTML5</v>
      </c>
      <c r="D202" s="7" t="str">
        <f>IFERROR(__xludf.DUMMYFUNCTION("""COMPUTED_VALUE"""),"S060")</f>
        <v>S060</v>
      </c>
      <c r="E202" s="7" t="str">
        <f>IFERROR(__xludf.DUMMYFUNCTION("""COMPUTED_VALUE"""),"End-to-End Browser Testing (Cypress, Playwright)")</f>
        <v>End-to-End Browser Testing (Cypress, Playwright)</v>
      </c>
      <c r="F202" s="7" t="str">
        <f>IFERROR(__xludf.DUMMYFUNCTION("""COMPUTED_VALUE"""),"S031 unlocks S060")</f>
        <v>S031 unlocks S060</v>
      </c>
    </row>
    <row r="203">
      <c r="A203" s="7" t="str">
        <f>IFERROR(__xludf.DUMMYFUNCTION("""COMPUTED_VALUE"""),"PE0202")</f>
        <v>PE0202</v>
      </c>
      <c r="B203" s="7" t="str">
        <f>IFERROR(__xludf.DUMMYFUNCTION("""COMPUTED_VALUE"""),"S031")</f>
        <v>S031</v>
      </c>
      <c r="C203" s="7" t="str">
        <f>IFERROR(__xludf.DUMMYFUNCTION("""COMPUTED_VALUE"""),"Semantic HTML5")</f>
        <v>Semantic HTML5</v>
      </c>
      <c r="D203" s="7" t="str">
        <f>IFERROR(__xludf.DUMMYFUNCTION("""COMPUTED_VALUE"""),"S063")</f>
        <v>S063</v>
      </c>
      <c r="E203" s="7" t="str">
        <f>IFERROR(__xludf.DUMMYFUNCTION("""COMPUTED_VALUE"""),"User Research, Personas &amp; Usability Testing")</f>
        <v>User Research, Personas &amp; Usability Testing</v>
      </c>
      <c r="F203" s="7" t="str">
        <f>IFERROR(__xludf.DUMMYFUNCTION("""COMPUTED_VALUE"""),"S031 unlocks S063")</f>
        <v>S031 unlocks S063</v>
      </c>
    </row>
    <row r="204">
      <c r="A204" s="7" t="str">
        <f>IFERROR(__xludf.DUMMYFUNCTION("""COMPUTED_VALUE"""),"PE0203")</f>
        <v>PE0203</v>
      </c>
      <c r="B204" s="7" t="str">
        <f>IFERROR(__xludf.DUMMYFUNCTION("""COMPUTED_VALUE"""),"S031")</f>
        <v>S031</v>
      </c>
      <c r="C204" s="7" t="str">
        <f>IFERROR(__xludf.DUMMYFUNCTION("""COMPUTED_VALUE"""),"Semantic HTML5")</f>
        <v>Semantic HTML5</v>
      </c>
      <c r="D204" s="7" t="str">
        <f>IFERROR(__xludf.DUMMYFUNCTION("""COMPUTED_VALUE"""),"S064")</f>
        <v>S064</v>
      </c>
      <c r="E204" s="7" t="str">
        <f>IFERROR(__xludf.DUMMYFUNCTION("""COMPUTED_VALUE"""),"Information Architecture &amp; User Flows")</f>
        <v>Information Architecture &amp; User Flows</v>
      </c>
      <c r="F204" s="7" t="str">
        <f>IFERROR(__xludf.DUMMYFUNCTION("""COMPUTED_VALUE"""),"S031 unlocks S064")</f>
        <v>S031 unlocks S064</v>
      </c>
    </row>
    <row r="205">
      <c r="A205" s="7" t="str">
        <f>IFERROR(__xludf.DUMMYFUNCTION("""COMPUTED_VALUE"""),"PE0204")</f>
        <v>PE0204</v>
      </c>
      <c r="B205" s="7" t="str">
        <f>IFERROR(__xludf.DUMMYFUNCTION("""COMPUTED_VALUE"""),"S032")</f>
        <v>S032</v>
      </c>
      <c r="C205" s="7" t="str">
        <f>IFERROR(__xludf.DUMMYFUNCTION("""COMPUTED_VALUE"""),"CSS3 Fundamentals &amp; Box Model")</f>
        <v>CSS3 Fundamentals &amp; Box Model</v>
      </c>
      <c r="D205" s="7" t="str">
        <f>IFERROR(__xludf.DUMMYFUNCTION("""COMPUTED_VALUE"""),"S035")</f>
        <v>S035</v>
      </c>
      <c r="E205" s="7" t="str">
        <f>IFERROR(__xludf.DUMMYFUNCTION("""COMPUTED_VALUE"""),"Asynchronous JavaScript (Promises, Async/Await)")</f>
        <v>Asynchronous JavaScript (Promises, Async/Await)</v>
      </c>
      <c r="F205" s="7" t="str">
        <f>IFERROR(__xludf.DUMMYFUNCTION("""COMPUTED_VALUE"""),"S032 unlocks S035")</f>
        <v>S032 unlocks S035</v>
      </c>
    </row>
    <row r="206">
      <c r="A206" s="7" t="str">
        <f>IFERROR(__xludf.DUMMYFUNCTION("""COMPUTED_VALUE"""),"PE0205")</f>
        <v>PE0205</v>
      </c>
      <c r="B206" s="7" t="str">
        <f>IFERROR(__xludf.DUMMYFUNCTION("""COMPUTED_VALUE"""),"S032")</f>
        <v>S032</v>
      </c>
      <c r="C206" s="7" t="str">
        <f>IFERROR(__xludf.DUMMYFUNCTION("""COMPUTED_VALUE"""),"CSS3 Fundamentals &amp; Box Model")</f>
        <v>CSS3 Fundamentals &amp; Box Model</v>
      </c>
      <c r="D206" s="7" t="str">
        <f>IFERROR(__xludf.DUMMYFUNCTION("""COMPUTED_VALUE"""),"S038")</f>
        <v>S038</v>
      </c>
      <c r="E206" s="7" t="str">
        <f>IFERROR(__xludf.DUMMYFUNCTION("""COMPUTED_VALUE"""),"TypeScript &amp; Static Typing")</f>
        <v>TypeScript &amp; Static Typing</v>
      </c>
      <c r="F206" s="7" t="str">
        <f>IFERROR(__xludf.DUMMYFUNCTION("""COMPUTED_VALUE"""),"S032 unlocks S038")</f>
        <v>S032 unlocks S038</v>
      </c>
    </row>
    <row r="207">
      <c r="A207" s="7" t="str">
        <f>IFERROR(__xludf.DUMMYFUNCTION("""COMPUTED_VALUE"""),"PE0206")</f>
        <v>PE0206</v>
      </c>
      <c r="B207" s="7" t="str">
        <f>IFERROR(__xludf.DUMMYFUNCTION("""COMPUTED_VALUE"""),"S032")</f>
        <v>S032</v>
      </c>
      <c r="C207" s="7" t="str">
        <f>IFERROR(__xludf.DUMMYFUNCTION("""COMPUTED_VALUE"""),"CSS3 Fundamentals &amp; Box Model")</f>
        <v>CSS3 Fundamentals &amp; Box Model</v>
      </c>
      <c r="D207" s="7" t="str">
        <f>IFERROR(__xludf.DUMMYFUNCTION("""COMPUTED_VALUE"""),"S039")</f>
        <v>S039</v>
      </c>
      <c r="E207" s="7" t="str">
        <f>IFERROR(__xludf.DUMMYFUNCTION("""COMPUTED_VALUE"""),"React.js &amp; Hooks Architecture")</f>
        <v>React.js &amp; Hooks Architecture</v>
      </c>
      <c r="F207" s="7" t="str">
        <f>IFERROR(__xludf.DUMMYFUNCTION("""COMPUTED_VALUE"""),"S032 unlocks S039")</f>
        <v>S032 unlocks S039</v>
      </c>
    </row>
    <row r="208">
      <c r="A208" s="7" t="str">
        <f>IFERROR(__xludf.DUMMYFUNCTION("""COMPUTED_VALUE"""),"PE0207")</f>
        <v>PE0207</v>
      </c>
      <c r="B208" s="7" t="str">
        <f>IFERROR(__xludf.DUMMYFUNCTION("""COMPUTED_VALUE"""),"S032")</f>
        <v>S032</v>
      </c>
      <c r="C208" s="7" t="str">
        <f>IFERROR(__xludf.DUMMYFUNCTION("""COMPUTED_VALUE"""),"CSS3 Fundamentals &amp; Box Model")</f>
        <v>CSS3 Fundamentals &amp; Box Model</v>
      </c>
      <c r="D208" s="7" t="str">
        <f>IFERROR(__xludf.DUMMYFUNCTION("""COMPUTED_VALUE"""),"S040")</f>
        <v>S040</v>
      </c>
      <c r="E208" s="7" t="str">
        <f>IFERROR(__xludf.DUMMYFUNCTION("""COMPUTED_VALUE"""),"Angular Framework &amp; RxJS")</f>
        <v>Angular Framework &amp; RxJS</v>
      </c>
      <c r="F208" s="7" t="str">
        <f>IFERROR(__xludf.DUMMYFUNCTION("""COMPUTED_VALUE"""),"S032 unlocks S040")</f>
        <v>S032 unlocks S040</v>
      </c>
    </row>
    <row r="209">
      <c r="A209" s="7" t="str">
        <f>IFERROR(__xludf.DUMMYFUNCTION("""COMPUTED_VALUE"""),"PE0208")</f>
        <v>PE0208</v>
      </c>
      <c r="B209" s="7" t="str">
        <f>IFERROR(__xludf.DUMMYFUNCTION("""COMPUTED_VALUE"""),"S032")</f>
        <v>S032</v>
      </c>
      <c r="C209" s="7" t="str">
        <f>IFERROR(__xludf.DUMMYFUNCTION("""COMPUTED_VALUE"""),"CSS3 Fundamentals &amp; Box Model")</f>
        <v>CSS3 Fundamentals &amp; Box Model</v>
      </c>
      <c r="D209" s="7" t="str">
        <f>IFERROR(__xludf.DUMMYFUNCTION("""COMPUTED_VALUE"""),"S041")</f>
        <v>S041</v>
      </c>
      <c r="E209" s="7" t="str">
        <f>IFERROR(__xludf.DUMMYFUNCTION("""COMPUTED_VALUE"""),"Vue.js &amp; Composition API")</f>
        <v>Vue.js &amp; Composition API</v>
      </c>
      <c r="F209" s="7" t="str">
        <f>IFERROR(__xludf.DUMMYFUNCTION("""COMPUTED_VALUE"""),"S032 unlocks S041")</f>
        <v>S032 unlocks S041</v>
      </c>
    </row>
    <row r="210">
      <c r="A210" s="7" t="str">
        <f>IFERROR(__xludf.DUMMYFUNCTION("""COMPUTED_VALUE"""),"PE0209")</f>
        <v>PE0209</v>
      </c>
      <c r="B210" s="7" t="str">
        <f>IFERROR(__xludf.DUMMYFUNCTION("""COMPUTED_VALUE"""),"S032")</f>
        <v>S032</v>
      </c>
      <c r="C210" s="7" t="str">
        <f>IFERROR(__xludf.DUMMYFUNCTION("""COMPUTED_VALUE"""),"CSS3 Fundamentals &amp; Box Model")</f>
        <v>CSS3 Fundamentals &amp; Box Model</v>
      </c>
      <c r="D210" s="7" t="str">
        <f>IFERROR(__xludf.DUMMYFUNCTION("""COMPUTED_VALUE"""),"S042")</f>
        <v>S042</v>
      </c>
      <c r="E210" s="7" t="str">
        <f>IFERROR(__xludf.DUMMYFUNCTION("""COMPUTED_VALUE"""),"Svelte &amp; SvelteKit")</f>
        <v>Svelte &amp; SvelteKit</v>
      </c>
      <c r="F210" s="7" t="str">
        <f>IFERROR(__xludf.DUMMYFUNCTION("""COMPUTED_VALUE"""),"S032 unlocks S042")</f>
        <v>S032 unlocks S042</v>
      </c>
    </row>
    <row r="211">
      <c r="A211" s="7" t="str">
        <f>IFERROR(__xludf.DUMMYFUNCTION("""COMPUTED_VALUE"""),"PE0210")</f>
        <v>PE0210</v>
      </c>
      <c r="B211" s="7" t="str">
        <f>IFERROR(__xludf.DUMMYFUNCTION("""COMPUTED_VALUE"""),"S032")</f>
        <v>S032</v>
      </c>
      <c r="C211" s="7" t="str">
        <f>IFERROR(__xludf.DUMMYFUNCTION("""COMPUTED_VALUE"""),"CSS3 Fundamentals &amp; Box Model")</f>
        <v>CSS3 Fundamentals &amp; Box Model</v>
      </c>
      <c r="D211" s="7" t="str">
        <f>IFERROR(__xludf.DUMMYFUNCTION("""COMPUTED_VALUE"""),"S046")</f>
        <v>S046</v>
      </c>
      <c r="E211" s="7" t="str">
        <f>IFERROR(__xludf.DUMMYFUNCTION("""COMPUTED_VALUE"""),"Data Fetching &amp; Caching (TanStack React Query, SWR)")</f>
        <v>Data Fetching &amp; Caching (TanStack React Query, SWR)</v>
      </c>
      <c r="F211" s="7" t="str">
        <f>IFERROR(__xludf.DUMMYFUNCTION("""COMPUTED_VALUE"""),"S032 unlocks S046")</f>
        <v>S032 unlocks S046</v>
      </c>
    </row>
    <row r="212">
      <c r="A212" s="7" t="str">
        <f>IFERROR(__xludf.DUMMYFUNCTION("""COMPUTED_VALUE"""),"PE0211")</f>
        <v>PE0211</v>
      </c>
      <c r="B212" s="7" t="str">
        <f>IFERROR(__xludf.DUMMYFUNCTION("""COMPUTED_VALUE"""),"S032")</f>
        <v>S032</v>
      </c>
      <c r="C212" s="7" t="str">
        <f>IFERROR(__xludf.DUMMYFUNCTION("""COMPUTED_VALUE"""),"CSS3 Fundamentals &amp; Box Model")</f>
        <v>CSS3 Fundamentals &amp; Box Model</v>
      </c>
      <c r="D212" s="7" t="str">
        <f>IFERROR(__xludf.DUMMYFUNCTION("""COMPUTED_VALUE"""),"S047")</f>
        <v>S047</v>
      </c>
      <c r="E212" s="7" t="str">
        <f>IFERROR(__xludf.DUMMYFUNCTION("""COMPUTED_VALUE"""),"Tailwind CSS Utility Styling")</f>
        <v>Tailwind CSS Utility Styling</v>
      </c>
      <c r="F212" s="7" t="str">
        <f>IFERROR(__xludf.DUMMYFUNCTION("""COMPUTED_VALUE"""),"S032 unlocks S047")</f>
        <v>S032 unlocks S047</v>
      </c>
    </row>
    <row r="213">
      <c r="A213" s="7" t="str">
        <f>IFERROR(__xludf.DUMMYFUNCTION("""COMPUTED_VALUE"""),"PE0212")</f>
        <v>PE0212</v>
      </c>
      <c r="B213" s="7" t="str">
        <f>IFERROR(__xludf.DUMMYFUNCTION("""COMPUTED_VALUE"""),"S032")</f>
        <v>S032</v>
      </c>
      <c r="C213" s="7" t="str">
        <f>IFERROR(__xludf.DUMMYFUNCTION("""COMPUTED_VALUE"""),"CSS3 Fundamentals &amp; Box Model")</f>
        <v>CSS3 Fundamentals &amp; Box Model</v>
      </c>
      <c r="D213" s="7" t="str">
        <f>IFERROR(__xludf.DUMMYFUNCTION("""COMPUTED_VALUE"""),"S048")</f>
        <v>S048</v>
      </c>
      <c r="E213" s="7" t="str">
        <f>IFERROR(__xludf.DUMMYFUNCTION("""COMPUTED_VALUE"""),"CSS Preprocessors (Sass / SCSS)")</f>
        <v>CSS Preprocessors (Sass / SCSS)</v>
      </c>
      <c r="F213" s="7" t="str">
        <f>IFERROR(__xludf.DUMMYFUNCTION("""COMPUTED_VALUE"""),"S032 unlocks S048")</f>
        <v>S032 unlocks S048</v>
      </c>
    </row>
    <row r="214">
      <c r="A214" s="7" t="str">
        <f>IFERROR(__xludf.DUMMYFUNCTION("""COMPUTED_VALUE"""),"PE0213")</f>
        <v>PE0213</v>
      </c>
      <c r="B214" s="7" t="str">
        <f>IFERROR(__xludf.DUMMYFUNCTION("""COMPUTED_VALUE"""),"S032")</f>
        <v>S032</v>
      </c>
      <c r="C214" s="7" t="str">
        <f>IFERROR(__xludf.DUMMYFUNCTION("""COMPUTED_VALUE"""),"CSS3 Fundamentals &amp; Box Model")</f>
        <v>CSS3 Fundamentals &amp; Box Model</v>
      </c>
      <c r="D214" s="7" t="str">
        <f>IFERROR(__xludf.DUMMYFUNCTION("""COMPUTED_VALUE"""),"S050")</f>
        <v>S050</v>
      </c>
      <c r="E214" s="7" t="str">
        <f>IFERROR(__xludf.DUMMYFUNCTION("""COMPUTED_VALUE"""),"Module Bundlers &amp; Build Tools (Vite, Webpack, Rollup)")</f>
        <v>Module Bundlers &amp; Build Tools (Vite, Webpack, Rollup)</v>
      </c>
      <c r="F214" s="7" t="str">
        <f>IFERROR(__xludf.DUMMYFUNCTION("""COMPUTED_VALUE"""),"S032 unlocks S050")</f>
        <v>S032 unlocks S050</v>
      </c>
    </row>
    <row r="215">
      <c r="A215" s="7" t="str">
        <f>IFERROR(__xludf.DUMMYFUNCTION("""COMPUTED_VALUE"""),"PE0214")</f>
        <v>PE0214</v>
      </c>
      <c r="B215" s="7" t="str">
        <f>IFERROR(__xludf.DUMMYFUNCTION("""COMPUTED_VALUE"""),"S032")</f>
        <v>S032</v>
      </c>
      <c r="C215" s="7" t="str">
        <f>IFERROR(__xludf.DUMMYFUNCTION("""COMPUTED_VALUE"""),"CSS3 Fundamentals &amp; Box Model")</f>
        <v>CSS3 Fundamentals &amp; Box Model</v>
      </c>
      <c r="D215" s="7" t="str">
        <f>IFERROR(__xludf.DUMMYFUNCTION("""COMPUTED_VALUE"""),"S053")</f>
        <v>S053</v>
      </c>
      <c r="E215" s="7" t="str">
        <f>IFERROR(__xludf.DUMMYFUNCTION("""COMPUTED_VALUE"""),"Web Accessibility (WCAG / ARIA / a11y)")</f>
        <v>Web Accessibility (WCAG / ARIA / a11y)</v>
      </c>
      <c r="F215" s="7" t="str">
        <f>IFERROR(__xludf.DUMMYFUNCTION("""COMPUTED_VALUE"""),"S032 unlocks S053")</f>
        <v>S032 unlocks S053</v>
      </c>
    </row>
    <row r="216">
      <c r="A216" s="7" t="str">
        <f>IFERROR(__xludf.DUMMYFUNCTION("""COMPUTED_VALUE"""),"PE0215")</f>
        <v>PE0215</v>
      </c>
      <c r="B216" s="7" t="str">
        <f>IFERROR(__xludf.DUMMYFUNCTION("""COMPUTED_VALUE"""),"S032")</f>
        <v>S032</v>
      </c>
      <c r="C216" s="7" t="str">
        <f>IFERROR(__xludf.DUMMYFUNCTION("""COMPUTED_VALUE"""),"CSS3 Fundamentals &amp; Box Model")</f>
        <v>CSS3 Fundamentals &amp; Box Model</v>
      </c>
      <c r="D216" s="7" t="str">
        <f>IFERROR(__xludf.DUMMYFUNCTION("""COMPUTED_VALUE"""),"S057")</f>
        <v>S057</v>
      </c>
      <c r="E216" s="7" t="str">
        <f>IFERROR(__xludf.DUMMYFUNCTION("""COMPUTED_VALUE"""),"Data Visualization &amp; Charting (D3.js, Recharts, Chart.js)")</f>
        <v>Data Visualization &amp; Charting (D3.js, Recharts, Chart.js)</v>
      </c>
      <c r="F216" s="7" t="str">
        <f>IFERROR(__xludf.DUMMYFUNCTION("""COMPUTED_VALUE"""),"S032 unlocks S057")</f>
        <v>S032 unlocks S057</v>
      </c>
    </row>
    <row r="217">
      <c r="A217" s="7" t="str">
        <f>IFERROR(__xludf.DUMMYFUNCTION("""COMPUTED_VALUE"""),"PE0216")</f>
        <v>PE0216</v>
      </c>
      <c r="B217" s="7" t="str">
        <f>IFERROR(__xludf.DUMMYFUNCTION("""COMPUTED_VALUE"""),"S032")</f>
        <v>S032</v>
      </c>
      <c r="C217" s="7" t="str">
        <f>IFERROR(__xludf.DUMMYFUNCTION("""COMPUTED_VALUE"""),"CSS3 Fundamentals &amp; Box Model")</f>
        <v>CSS3 Fundamentals &amp; Box Model</v>
      </c>
      <c r="D217" s="7" t="str">
        <f>IFERROR(__xludf.DUMMYFUNCTION("""COMPUTED_VALUE"""),"S059")</f>
        <v>S059</v>
      </c>
      <c r="E217" s="7" t="str">
        <f>IFERROR(__xludf.DUMMYFUNCTION("""COMPUTED_VALUE"""),"Frontend Unit &amp; Component Testing (Jest, Vitest, RTL)")</f>
        <v>Frontend Unit &amp; Component Testing (Jest, Vitest, RTL)</v>
      </c>
      <c r="F217" s="7" t="str">
        <f>IFERROR(__xludf.DUMMYFUNCTION("""COMPUTED_VALUE"""),"S032 unlocks S059")</f>
        <v>S032 unlocks S059</v>
      </c>
    </row>
    <row r="218">
      <c r="A218" s="7" t="str">
        <f>IFERROR(__xludf.DUMMYFUNCTION("""COMPUTED_VALUE"""),"PE0217")</f>
        <v>PE0217</v>
      </c>
      <c r="B218" s="7" t="str">
        <f>IFERROR(__xludf.DUMMYFUNCTION("""COMPUTED_VALUE"""),"S032")</f>
        <v>S032</v>
      </c>
      <c r="C218" s="7" t="str">
        <f>IFERROR(__xludf.DUMMYFUNCTION("""COMPUTED_VALUE"""),"CSS3 Fundamentals &amp; Box Model")</f>
        <v>CSS3 Fundamentals &amp; Box Model</v>
      </c>
      <c r="D218" s="7" t="str">
        <f>IFERROR(__xludf.DUMMYFUNCTION("""COMPUTED_VALUE"""),"S060")</f>
        <v>S060</v>
      </c>
      <c r="E218" s="7" t="str">
        <f>IFERROR(__xludf.DUMMYFUNCTION("""COMPUTED_VALUE"""),"End-to-End Browser Testing (Cypress, Playwright)")</f>
        <v>End-to-End Browser Testing (Cypress, Playwright)</v>
      </c>
      <c r="F218" s="7" t="str">
        <f>IFERROR(__xludf.DUMMYFUNCTION("""COMPUTED_VALUE"""),"S032 unlocks S060")</f>
        <v>S032 unlocks S060</v>
      </c>
    </row>
    <row r="219">
      <c r="A219" s="7" t="str">
        <f>IFERROR(__xludf.DUMMYFUNCTION("""COMPUTED_VALUE"""),"PE0218")</f>
        <v>PE0218</v>
      </c>
      <c r="B219" s="7" t="str">
        <f>IFERROR(__xludf.DUMMYFUNCTION("""COMPUTED_VALUE"""),"S032")</f>
        <v>S032</v>
      </c>
      <c r="C219" s="7" t="str">
        <f>IFERROR(__xludf.DUMMYFUNCTION("""COMPUTED_VALUE"""),"CSS3 Fundamentals &amp; Box Model")</f>
        <v>CSS3 Fundamentals &amp; Box Model</v>
      </c>
      <c r="D219" s="7" t="str">
        <f>IFERROR(__xludf.DUMMYFUNCTION("""COMPUTED_VALUE"""),"S063")</f>
        <v>S063</v>
      </c>
      <c r="E219" s="7" t="str">
        <f>IFERROR(__xludf.DUMMYFUNCTION("""COMPUTED_VALUE"""),"User Research, Personas &amp; Usability Testing")</f>
        <v>User Research, Personas &amp; Usability Testing</v>
      </c>
      <c r="F219" s="7" t="str">
        <f>IFERROR(__xludf.DUMMYFUNCTION("""COMPUTED_VALUE"""),"S032 unlocks S063")</f>
        <v>S032 unlocks S063</v>
      </c>
    </row>
    <row r="220">
      <c r="A220" s="7" t="str">
        <f>IFERROR(__xludf.DUMMYFUNCTION("""COMPUTED_VALUE"""),"PE0219")</f>
        <v>PE0219</v>
      </c>
      <c r="B220" s="7" t="str">
        <f>IFERROR(__xludf.DUMMYFUNCTION("""COMPUTED_VALUE"""),"S032")</f>
        <v>S032</v>
      </c>
      <c r="C220" s="7" t="str">
        <f>IFERROR(__xludf.DUMMYFUNCTION("""COMPUTED_VALUE"""),"CSS3 Fundamentals &amp; Box Model")</f>
        <v>CSS3 Fundamentals &amp; Box Model</v>
      </c>
      <c r="D220" s="7" t="str">
        <f>IFERROR(__xludf.DUMMYFUNCTION("""COMPUTED_VALUE"""),"S064")</f>
        <v>S064</v>
      </c>
      <c r="E220" s="7" t="str">
        <f>IFERROR(__xludf.DUMMYFUNCTION("""COMPUTED_VALUE"""),"Information Architecture &amp; User Flows")</f>
        <v>Information Architecture &amp; User Flows</v>
      </c>
      <c r="F220" s="7" t="str">
        <f>IFERROR(__xludf.DUMMYFUNCTION("""COMPUTED_VALUE"""),"S032 unlocks S064")</f>
        <v>S032 unlocks S064</v>
      </c>
    </row>
    <row r="221">
      <c r="A221" s="7" t="str">
        <f>IFERROR(__xludf.DUMMYFUNCTION("""COMPUTED_VALUE"""),"PE0220")</f>
        <v>PE0220</v>
      </c>
      <c r="B221" s="7" t="str">
        <f>IFERROR(__xludf.DUMMYFUNCTION("""COMPUTED_VALUE"""),"S033")</f>
        <v>S033</v>
      </c>
      <c r="C221" s="7" t="str">
        <f>IFERROR(__xludf.DUMMYFUNCTION("""COMPUTED_VALUE"""),"Responsive Web Design (Flexbox &amp; CSS Grid)")</f>
        <v>Responsive Web Design (Flexbox &amp; CSS Grid)</v>
      </c>
      <c r="D221" s="7" t="str">
        <f>IFERROR(__xludf.DUMMYFUNCTION("""COMPUTED_VALUE"""),"S035")</f>
        <v>S035</v>
      </c>
      <c r="E221" s="7" t="str">
        <f>IFERROR(__xludf.DUMMYFUNCTION("""COMPUTED_VALUE"""),"Asynchronous JavaScript (Promises, Async/Await)")</f>
        <v>Asynchronous JavaScript (Promises, Async/Await)</v>
      </c>
      <c r="F221" s="7" t="str">
        <f>IFERROR(__xludf.DUMMYFUNCTION("""COMPUTED_VALUE"""),"S033 unlocks S035")</f>
        <v>S033 unlocks S035</v>
      </c>
    </row>
    <row r="222">
      <c r="A222" s="7" t="str">
        <f>IFERROR(__xludf.DUMMYFUNCTION("""COMPUTED_VALUE"""),"PE0221")</f>
        <v>PE0221</v>
      </c>
      <c r="B222" s="7" t="str">
        <f>IFERROR(__xludf.DUMMYFUNCTION("""COMPUTED_VALUE"""),"S033")</f>
        <v>S033</v>
      </c>
      <c r="C222" s="7" t="str">
        <f>IFERROR(__xludf.DUMMYFUNCTION("""COMPUTED_VALUE"""),"Responsive Web Design (Flexbox &amp; CSS Grid)")</f>
        <v>Responsive Web Design (Flexbox &amp; CSS Grid)</v>
      </c>
      <c r="D222" s="7" t="str">
        <f>IFERROR(__xludf.DUMMYFUNCTION("""COMPUTED_VALUE"""),"S038")</f>
        <v>S038</v>
      </c>
      <c r="E222" s="7" t="str">
        <f>IFERROR(__xludf.DUMMYFUNCTION("""COMPUTED_VALUE"""),"TypeScript &amp; Static Typing")</f>
        <v>TypeScript &amp; Static Typing</v>
      </c>
      <c r="F222" s="7" t="str">
        <f>IFERROR(__xludf.DUMMYFUNCTION("""COMPUTED_VALUE"""),"S033 unlocks S038")</f>
        <v>S033 unlocks S038</v>
      </c>
    </row>
    <row r="223">
      <c r="A223" s="7" t="str">
        <f>IFERROR(__xludf.DUMMYFUNCTION("""COMPUTED_VALUE"""),"PE0222")</f>
        <v>PE0222</v>
      </c>
      <c r="B223" s="7" t="str">
        <f>IFERROR(__xludf.DUMMYFUNCTION("""COMPUTED_VALUE"""),"S033")</f>
        <v>S033</v>
      </c>
      <c r="C223" s="7" t="str">
        <f>IFERROR(__xludf.DUMMYFUNCTION("""COMPUTED_VALUE"""),"Responsive Web Design (Flexbox &amp; CSS Grid)")</f>
        <v>Responsive Web Design (Flexbox &amp; CSS Grid)</v>
      </c>
      <c r="D223" s="7" t="str">
        <f>IFERROR(__xludf.DUMMYFUNCTION("""COMPUTED_VALUE"""),"S039")</f>
        <v>S039</v>
      </c>
      <c r="E223" s="7" t="str">
        <f>IFERROR(__xludf.DUMMYFUNCTION("""COMPUTED_VALUE"""),"React.js &amp; Hooks Architecture")</f>
        <v>React.js &amp; Hooks Architecture</v>
      </c>
      <c r="F223" s="7" t="str">
        <f>IFERROR(__xludf.DUMMYFUNCTION("""COMPUTED_VALUE"""),"S033 unlocks S039")</f>
        <v>S033 unlocks S039</v>
      </c>
    </row>
    <row r="224">
      <c r="A224" s="7" t="str">
        <f>IFERROR(__xludf.DUMMYFUNCTION("""COMPUTED_VALUE"""),"PE0223")</f>
        <v>PE0223</v>
      </c>
      <c r="B224" s="7" t="str">
        <f>IFERROR(__xludf.DUMMYFUNCTION("""COMPUTED_VALUE"""),"S033")</f>
        <v>S033</v>
      </c>
      <c r="C224" s="7" t="str">
        <f>IFERROR(__xludf.DUMMYFUNCTION("""COMPUTED_VALUE"""),"Responsive Web Design (Flexbox &amp; CSS Grid)")</f>
        <v>Responsive Web Design (Flexbox &amp; CSS Grid)</v>
      </c>
      <c r="D224" s="7" t="str">
        <f>IFERROR(__xludf.DUMMYFUNCTION("""COMPUTED_VALUE"""),"S040")</f>
        <v>S040</v>
      </c>
      <c r="E224" s="7" t="str">
        <f>IFERROR(__xludf.DUMMYFUNCTION("""COMPUTED_VALUE"""),"Angular Framework &amp; RxJS")</f>
        <v>Angular Framework &amp; RxJS</v>
      </c>
      <c r="F224" s="7" t="str">
        <f>IFERROR(__xludf.DUMMYFUNCTION("""COMPUTED_VALUE"""),"S033 unlocks S040")</f>
        <v>S033 unlocks S040</v>
      </c>
    </row>
    <row r="225">
      <c r="A225" s="7" t="str">
        <f>IFERROR(__xludf.DUMMYFUNCTION("""COMPUTED_VALUE"""),"PE0224")</f>
        <v>PE0224</v>
      </c>
      <c r="B225" s="7" t="str">
        <f>IFERROR(__xludf.DUMMYFUNCTION("""COMPUTED_VALUE"""),"S033")</f>
        <v>S033</v>
      </c>
      <c r="C225" s="7" t="str">
        <f>IFERROR(__xludf.DUMMYFUNCTION("""COMPUTED_VALUE"""),"Responsive Web Design (Flexbox &amp; CSS Grid)")</f>
        <v>Responsive Web Design (Flexbox &amp; CSS Grid)</v>
      </c>
      <c r="D225" s="7" t="str">
        <f>IFERROR(__xludf.DUMMYFUNCTION("""COMPUTED_VALUE"""),"S041")</f>
        <v>S041</v>
      </c>
      <c r="E225" s="7" t="str">
        <f>IFERROR(__xludf.DUMMYFUNCTION("""COMPUTED_VALUE"""),"Vue.js &amp; Composition API")</f>
        <v>Vue.js &amp; Composition API</v>
      </c>
      <c r="F225" s="7" t="str">
        <f>IFERROR(__xludf.DUMMYFUNCTION("""COMPUTED_VALUE"""),"S033 unlocks S041")</f>
        <v>S033 unlocks S041</v>
      </c>
    </row>
    <row r="226">
      <c r="A226" s="7" t="str">
        <f>IFERROR(__xludf.DUMMYFUNCTION("""COMPUTED_VALUE"""),"PE0225")</f>
        <v>PE0225</v>
      </c>
      <c r="B226" s="7" t="str">
        <f>IFERROR(__xludf.DUMMYFUNCTION("""COMPUTED_VALUE"""),"S033")</f>
        <v>S033</v>
      </c>
      <c r="C226" s="7" t="str">
        <f>IFERROR(__xludf.DUMMYFUNCTION("""COMPUTED_VALUE"""),"Responsive Web Design (Flexbox &amp; CSS Grid)")</f>
        <v>Responsive Web Design (Flexbox &amp; CSS Grid)</v>
      </c>
      <c r="D226" s="7" t="str">
        <f>IFERROR(__xludf.DUMMYFUNCTION("""COMPUTED_VALUE"""),"S042")</f>
        <v>S042</v>
      </c>
      <c r="E226" s="7" t="str">
        <f>IFERROR(__xludf.DUMMYFUNCTION("""COMPUTED_VALUE"""),"Svelte &amp; SvelteKit")</f>
        <v>Svelte &amp; SvelteKit</v>
      </c>
      <c r="F226" s="7" t="str">
        <f>IFERROR(__xludf.DUMMYFUNCTION("""COMPUTED_VALUE"""),"S033 unlocks S042")</f>
        <v>S033 unlocks S042</v>
      </c>
    </row>
    <row r="227">
      <c r="A227" s="7" t="str">
        <f>IFERROR(__xludf.DUMMYFUNCTION("""COMPUTED_VALUE"""),"PE0226")</f>
        <v>PE0226</v>
      </c>
      <c r="B227" s="7" t="str">
        <f>IFERROR(__xludf.DUMMYFUNCTION("""COMPUTED_VALUE"""),"S033")</f>
        <v>S033</v>
      </c>
      <c r="C227" s="7" t="str">
        <f>IFERROR(__xludf.DUMMYFUNCTION("""COMPUTED_VALUE"""),"Responsive Web Design (Flexbox &amp; CSS Grid)")</f>
        <v>Responsive Web Design (Flexbox &amp; CSS Grid)</v>
      </c>
      <c r="D227" s="7" t="str">
        <f>IFERROR(__xludf.DUMMYFUNCTION("""COMPUTED_VALUE"""),"S046")</f>
        <v>S046</v>
      </c>
      <c r="E227" s="7" t="str">
        <f>IFERROR(__xludf.DUMMYFUNCTION("""COMPUTED_VALUE"""),"Data Fetching &amp; Caching (TanStack React Query, SWR)")</f>
        <v>Data Fetching &amp; Caching (TanStack React Query, SWR)</v>
      </c>
      <c r="F227" s="7" t="str">
        <f>IFERROR(__xludf.DUMMYFUNCTION("""COMPUTED_VALUE"""),"S033 unlocks S046")</f>
        <v>S033 unlocks S046</v>
      </c>
    </row>
    <row r="228">
      <c r="A228" s="7" t="str">
        <f>IFERROR(__xludf.DUMMYFUNCTION("""COMPUTED_VALUE"""),"PE0227")</f>
        <v>PE0227</v>
      </c>
      <c r="B228" s="7" t="str">
        <f>IFERROR(__xludf.DUMMYFUNCTION("""COMPUTED_VALUE"""),"S033")</f>
        <v>S033</v>
      </c>
      <c r="C228" s="7" t="str">
        <f>IFERROR(__xludf.DUMMYFUNCTION("""COMPUTED_VALUE"""),"Responsive Web Design (Flexbox &amp; CSS Grid)")</f>
        <v>Responsive Web Design (Flexbox &amp; CSS Grid)</v>
      </c>
      <c r="D228" s="7" t="str">
        <f>IFERROR(__xludf.DUMMYFUNCTION("""COMPUTED_VALUE"""),"S047")</f>
        <v>S047</v>
      </c>
      <c r="E228" s="7" t="str">
        <f>IFERROR(__xludf.DUMMYFUNCTION("""COMPUTED_VALUE"""),"Tailwind CSS Utility Styling")</f>
        <v>Tailwind CSS Utility Styling</v>
      </c>
      <c r="F228" s="7" t="str">
        <f>IFERROR(__xludf.DUMMYFUNCTION("""COMPUTED_VALUE"""),"S033 unlocks S047")</f>
        <v>S033 unlocks S047</v>
      </c>
    </row>
    <row r="229">
      <c r="A229" s="7" t="str">
        <f>IFERROR(__xludf.DUMMYFUNCTION("""COMPUTED_VALUE"""),"PE0228")</f>
        <v>PE0228</v>
      </c>
      <c r="B229" s="7" t="str">
        <f>IFERROR(__xludf.DUMMYFUNCTION("""COMPUTED_VALUE"""),"S033")</f>
        <v>S033</v>
      </c>
      <c r="C229" s="7" t="str">
        <f>IFERROR(__xludf.DUMMYFUNCTION("""COMPUTED_VALUE"""),"Responsive Web Design (Flexbox &amp; CSS Grid)")</f>
        <v>Responsive Web Design (Flexbox &amp; CSS Grid)</v>
      </c>
      <c r="D229" s="7" t="str">
        <f>IFERROR(__xludf.DUMMYFUNCTION("""COMPUTED_VALUE"""),"S048")</f>
        <v>S048</v>
      </c>
      <c r="E229" s="7" t="str">
        <f>IFERROR(__xludf.DUMMYFUNCTION("""COMPUTED_VALUE"""),"CSS Preprocessors (Sass / SCSS)")</f>
        <v>CSS Preprocessors (Sass / SCSS)</v>
      </c>
      <c r="F229" s="7" t="str">
        <f>IFERROR(__xludf.DUMMYFUNCTION("""COMPUTED_VALUE"""),"S033 unlocks S048")</f>
        <v>S033 unlocks S048</v>
      </c>
    </row>
    <row r="230">
      <c r="A230" s="7" t="str">
        <f>IFERROR(__xludf.DUMMYFUNCTION("""COMPUTED_VALUE"""),"PE0229")</f>
        <v>PE0229</v>
      </c>
      <c r="B230" s="7" t="str">
        <f>IFERROR(__xludf.DUMMYFUNCTION("""COMPUTED_VALUE"""),"S033")</f>
        <v>S033</v>
      </c>
      <c r="C230" s="7" t="str">
        <f>IFERROR(__xludf.DUMMYFUNCTION("""COMPUTED_VALUE"""),"Responsive Web Design (Flexbox &amp; CSS Grid)")</f>
        <v>Responsive Web Design (Flexbox &amp; CSS Grid)</v>
      </c>
      <c r="D230" s="7" t="str">
        <f>IFERROR(__xludf.DUMMYFUNCTION("""COMPUTED_VALUE"""),"S050")</f>
        <v>S050</v>
      </c>
      <c r="E230" s="7" t="str">
        <f>IFERROR(__xludf.DUMMYFUNCTION("""COMPUTED_VALUE"""),"Module Bundlers &amp; Build Tools (Vite, Webpack, Rollup)")</f>
        <v>Module Bundlers &amp; Build Tools (Vite, Webpack, Rollup)</v>
      </c>
      <c r="F230" s="7" t="str">
        <f>IFERROR(__xludf.DUMMYFUNCTION("""COMPUTED_VALUE"""),"S033 unlocks S050")</f>
        <v>S033 unlocks S050</v>
      </c>
    </row>
    <row r="231">
      <c r="A231" s="7" t="str">
        <f>IFERROR(__xludf.DUMMYFUNCTION("""COMPUTED_VALUE"""),"PE0230")</f>
        <v>PE0230</v>
      </c>
      <c r="B231" s="7" t="str">
        <f>IFERROR(__xludf.DUMMYFUNCTION("""COMPUTED_VALUE"""),"S033")</f>
        <v>S033</v>
      </c>
      <c r="C231" s="7" t="str">
        <f>IFERROR(__xludf.DUMMYFUNCTION("""COMPUTED_VALUE"""),"Responsive Web Design (Flexbox &amp; CSS Grid)")</f>
        <v>Responsive Web Design (Flexbox &amp; CSS Grid)</v>
      </c>
      <c r="D231" s="7" t="str">
        <f>IFERROR(__xludf.DUMMYFUNCTION("""COMPUTED_VALUE"""),"S053")</f>
        <v>S053</v>
      </c>
      <c r="E231" s="7" t="str">
        <f>IFERROR(__xludf.DUMMYFUNCTION("""COMPUTED_VALUE"""),"Web Accessibility (WCAG / ARIA / a11y)")</f>
        <v>Web Accessibility (WCAG / ARIA / a11y)</v>
      </c>
      <c r="F231" s="7" t="str">
        <f>IFERROR(__xludf.DUMMYFUNCTION("""COMPUTED_VALUE"""),"S033 unlocks S053")</f>
        <v>S033 unlocks S053</v>
      </c>
    </row>
    <row r="232">
      <c r="A232" s="7" t="str">
        <f>IFERROR(__xludf.DUMMYFUNCTION("""COMPUTED_VALUE"""),"PE0231")</f>
        <v>PE0231</v>
      </c>
      <c r="B232" s="7" t="str">
        <f>IFERROR(__xludf.DUMMYFUNCTION("""COMPUTED_VALUE"""),"S033")</f>
        <v>S033</v>
      </c>
      <c r="C232" s="7" t="str">
        <f>IFERROR(__xludf.DUMMYFUNCTION("""COMPUTED_VALUE"""),"Responsive Web Design (Flexbox &amp; CSS Grid)")</f>
        <v>Responsive Web Design (Flexbox &amp; CSS Grid)</v>
      </c>
      <c r="D232" s="7" t="str">
        <f>IFERROR(__xludf.DUMMYFUNCTION("""COMPUTED_VALUE"""),"S057")</f>
        <v>S057</v>
      </c>
      <c r="E232" s="7" t="str">
        <f>IFERROR(__xludf.DUMMYFUNCTION("""COMPUTED_VALUE"""),"Data Visualization &amp; Charting (D3.js, Recharts, Chart.js)")</f>
        <v>Data Visualization &amp; Charting (D3.js, Recharts, Chart.js)</v>
      </c>
      <c r="F232" s="7" t="str">
        <f>IFERROR(__xludf.DUMMYFUNCTION("""COMPUTED_VALUE"""),"S033 unlocks S057")</f>
        <v>S033 unlocks S057</v>
      </c>
    </row>
    <row r="233">
      <c r="A233" s="7" t="str">
        <f>IFERROR(__xludf.DUMMYFUNCTION("""COMPUTED_VALUE"""),"PE0232")</f>
        <v>PE0232</v>
      </c>
      <c r="B233" s="7" t="str">
        <f>IFERROR(__xludf.DUMMYFUNCTION("""COMPUTED_VALUE"""),"S033")</f>
        <v>S033</v>
      </c>
      <c r="C233" s="7" t="str">
        <f>IFERROR(__xludf.DUMMYFUNCTION("""COMPUTED_VALUE"""),"Responsive Web Design (Flexbox &amp; CSS Grid)")</f>
        <v>Responsive Web Design (Flexbox &amp; CSS Grid)</v>
      </c>
      <c r="D233" s="7" t="str">
        <f>IFERROR(__xludf.DUMMYFUNCTION("""COMPUTED_VALUE"""),"S059")</f>
        <v>S059</v>
      </c>
      <c r="E233" s="7" t="str">
        <f>IFERROR(__xludf.DUMMYFUNCTION("""COMPUTED_VALUE"""),"Frontend Unit &amp; Component Testing (Jest, Vitest, RTL)")</f>
        <v>Frontend Unit &amp; Component Testing (Jest, Vitest, RTL)</v>
      </c>
      <c r="F233" s="7" t="str">
        <f>IFERROR(__xludf.DUMMYFUNCTION("""COMPUTED_VALUE"""),"S033 unlocks S059")</f>
        <v>S033 unlocks S059</v>
      </c>
    </row>
    <row r="234">
      <c r="A234" s="7" t="str">
        <f>IFERROR(__xludf.DUMMYFUNCTION("""COMPUTED_VALUE"""),"PE0233")</f>
        <v>PE0233</v>
      </c>
      <c r="B234" s="7" t="str">
        <f>IFERROR(__xludf.DUMMYFUNCTION("""COMPUTED_VALUE"""),"S033")</f>
        <v>S033</v>
      </c>
      <c r="C234" s="7" t="str">
        <f>IFERROR(__xludf.DUMMYFUNCTION("""COMPUTED_VALUE"""),"Responsive Web Design (Flexbox &amp; CSS Grid)")</f>
        <v>Responsive Web Design (Flexbox &amp; CSS Grid)</v>
      </c>
      <c r="D234" s="7" t="str">
        <f>IFERROR(__xludf.DUMMYFUNCTION("""COMPUTED_VALUE"""),"S060")</f>
        <v>S060</v>
      </c>
      <c r="E234" s="7" t="str">
        <f>IFERROR(__xludf.DUMMYFUNCTION("""COMPUTED_VALUE"""),"End-to-End Browser Testing (Cypress, Playwright)")</f>
        <v>End-to-End Browser Testing (Cypress, Playwright)</v>
      </c>
      <c r="F234" s="7" t="str">
        <f>IFERROR(__xludf.DUMMYFUNCTION("""COMPUTED_VALUE"""),"S033 unlocks S060")</f>
        <v>S033 unlocks S060</v>
      </c>
    </row>
    <row r="235">
      <c r="A235" s="7" t="str">
        <f>IFERROR(__xludf.DUMMYFUNCTION("""COMPUTED_VALUE"""),"PE0234")</f>
        <v>PE0234</v>
      </c>
      <c r="B235" s="7" t="str">
        <f>IFERROR(__xludf.DUMMYFUNCTION("""COMPUTED_VALUE"""),"S033")</f>
        <v>S033</v>
      </c>
      <c r="C235" s="7" t="str">
        <f>IFERROR(__xludf.DUMMYFUNCTION("""COMPUTED_VALUE"""),"Responsive Web Design (Flexbox &amp; CSS Grid)")</f>
        <v>Responsive Web Design (Flexbox &amp; CSS Grid)</v>
      </c>
      <c r="D235" s="7" t="str">
        <f>IFERROR(__xludf.DUMMYFUNCTION("""COMPUTED_VALUE"""),"S063")</f>
        <v>S063</v>
      </c>
      <c r="E235" s="7" t="str">
        <f>IFERROR(__xludf.DUMMYFUNCTION("""COMPUTED_VALUE"""),"User Research, Personas &amp; Usability Testing")</f>
        <v>User Research, Personas &amp; Usability Testing</v>
      </c>
      <c r="F235" s="7" t="str">
        <f>IFERROR(__xludf.DUMMYFUNCTION("""COMPUTED_VALUE"""),"S033 unlocks S063")</f>
        <v>S033 unlocks S063</v>
      </c>
    </row>
    <row r="236">
      <c r="A236" s="7" t="str">
        <f>IFERROR(__xludf.DUMMYFUNCTION("""COMPUTED_VALUE"""),"PE0235")</f>
        <v>PE0235</v>
      </c>
      <c r="B236" s="7" t="str">
        <f>IFERROR(__xludf.DUMMYFUNCTION("""COMPUTED_VALUE"""),"S033")</f>
        <v>S033</v>
      </c>
      <c r="C236" s="7" t="str">
        <f>IFERROR(__xludf.DUMMYFUNCTION("""COMPUTED_VALUE"""),"Responsive Web Design (Flexbox &amp; CSS Grid)")</f>
        <v>Responsive Web Design (Flexbox &amp; CSS Grid)</v>
      </c>
      <c r="D236" s="7" t="str">
        <f>IFERROR(__xludf.DUMMYFUNCTION("""COMPUTED_VALUE"""),"S064")</f>
        <v>S064</v>
      </c>
      <c r="E236" s="7" t="str">
        <f>IFERROR(__xludf.DUMMYFUNCTION("""COMPUTED_VALUE"""),"Information Architecture &amp; User Flows")</f>
        <v>Information Architecture &amp; User Flows</v>
      </c>
      <c r="F236" s="7" t="str">
        <f>IFERROR(__xludf.DUMMYFUNCTION("""COMPUTED_VALUE"""),"S033 unlocks S064")</f>
        <v>S033 unlocks S064</v>
      </c>
    </row>
    <row r="237">
      <c r="A237" s="7" t="str">
        <f>IFERROR(__xludf.DUMMYFUNCTION("""COMPUTED_VALUE"""),"PE0236")</f>
        <v>PE0236</v>
      </c>
      <c r="B237" s="7" t="str">
        <f>IFERROR(__xludf.DUMMYFUNCTION("""COMPUTED_VALUE"""),"S034")</f>
        <v>S034</v>
      </c>
      <c r="C237" s="7" t="str">
        <f>IFERROR(__xludf.DUMMYFUNCTION("""COMPUTED_VALUE"""),"JavaScript Fundamentals (ES6+)")</f>
        <v>JavaScript Fundamentals (ES6+)</v>
      </c>
      <c r="D237" s="7" t="str">
        <f>IFERROR(__xludf.DUMMYFUNCTION("""COMPUTED_VALUE"""),"S035")</f>
        <v>S035</v>
      </c>
      <c r="E237" s="7" t="str">
        <f>IFERROR(__xludf.DUMMYFUNCTION("""COMPUTED_VALUE"""),"Asynchronous JavaScript (Promises, Async/Await)")</f>
        <v>Asynchronous JavaScript (Promises, Async/Await)</v>
      </c>
      <c r="F237" s="7" t="str">
        <f>IFERROR(__xludf.DUMMYFUNCTION("""COMPUTED_VALUE"""),"S034 unlocks S035")</f>
        <v>S034 unlocks S035</v>
      </c>
    </row>
    <row r="238">
      <c r="A238" s="7" t="str">
        <f>IFERROR(__xludf.DUMMYFUNCTION("""COMPUTED_VALUE"""),"PE0237")</f>
        <v>PE0237</v>
      </c>
      <c r="B238" s="7" t="str">
        <f>IFERROR(__xludf.DUMMYFUNCTION("""COMPUTED_VALUE"""),"S034")</f>
        <v>S034</v>
      </c>
      <c r="C238" s="7" t="str">
        <f>IFERROR(__xludf.DUMMYFUNCTION("""COMPUTED_VALUE"""),"JavaScript Fundamentals (ES6+)")</f>
        <v>JavaScript Fundamentals (ES6+)</v>
      </c>
      <c r="D238" s="7" t="str">
        <f>IFERROR(__xludf.DUMMYFUNCTION("""COMPUTED_VALUE"""),"S038")</f>
        <v>S038</v>
      </c>
      <c r="E238" s="7" t="str">
        <f>IFERROR(__xludf.DUMMYFUNCTION("""COMPUTED_VALUE"""),"TypeScript &amp; Static Typing")</f>
        <v>TypeScript &amp; Static Typing</v>
      </c>
      <c r="F238" s="7" t="str">
        <f>IFERROR(__xludf.DUMMYFUNCTION("""COMPUTED_VALUE"""),"S034 unlocks S038")</f>
        <v>S034 unlocks S038</v>
      </c>
    </row>
    <row r="239">
      <c r="A239" s="7" t="str">
        <f>IFERROR(__xludf.DUMMYFUNCTION("""COMPUTED_VALUE"""),"PE0238")</f>
        <v>PE0238</v>
      </c>
      <c r="B239" s="7" t="str">
        <f>IFERROR(__xludf.DUMMYFUNCTION("""COMPUTED_VALUE"""),"S034")</f>
        <v>S034</v>
      </c>
      <c r="C239" s="7" t="str">
        <f>IFERROR(__xludf.DUMMYFUNCTION("""COMPUTED_VALUE"""),"JavaScript Fundamentals (ES6+)")</f>
        <v>JavaScript Fundamentals (ES6+)</v>
      </c>
      <c r="D239" s="7" t="str">
        <f>IFERROR(__xludf.DUMMYFUNCTION("""COMPUTED_VALUE"""),"S039")</f>
        <v>S039</v>
      </c>
      <c r="E239" s="7" t="str">
        <f>IFERROR(__xludf.DUMMYFUNCTION("""COMPUTED_VALUE"""),"React.js &amp; Hooks Architecture")</f>
        <v>React.js &amp; Hooks Architecture</v>
      </c>
      <c r="F239" s="7" t="str">
        <f>IFERROR(__xludf.DUMMYFUNCTION("""COMPUTED_VALUE"""),"S034 unlocks S039")</f>
        <v>S034 unlocks S039</v>
      </c>
    </row>
    <row r="240">
      <c r="A240" s="7" t="str">
        <f>IFERROR(__xludf.DUMMYFUNCTION("""COMPUTED_VALUE"""),"PE0239")</f>
        <v>PE0239</v>
      </c>
      <c r="B240" s="7" t="str">
        <f>IFERROR(__xludf.DUMMYFUNCTION("""COMPUTED_VALUE"""),"S034")</f>
        <v>S034</v>
      </c>
      <c r="C240" s="7" t="str">
        <f>IFERROR(__xludf.DUMMYFUNCTION("""COMPUTED_VALUE"""),"JavaScript Fundamentals (ES6+)")</f>
        <v>JavaScript Fundamentals (ES6+)</v>
      </c>
      <c r="D240" s="7" t="str">
        <f>IFERROR(__xludf.DUMMYFUNCTION("""COMPUTED_VALUE"""),"S040")</f>
        <v>S040</v>
      </c>
      <c r="E240" s="7" t="str">
        <f>IFERROR(__xludf.DUMMYFUNCTION("""COMPUTED_VALUE"""),"Angular Framework &amp; RxJS")</f>
        <v>Angular Framework &amp; RxJS</v>
      </c>
      <c r="F240" s="7" t="str">
        <f>IFERROR(__xludf.DUMMYFUNCTION("""COMPUTED_VALUE"""),"S034 unlocks S040")</f>
        <v>S034 unlocks S040</v>
      </c>
    </row>
    <row r="241">
      <c r="A241" s="7" t="str">
        <f>IFERROR(__xludf.DUMMYFUNCTION("""COMPUTED_VALUE"""),"PE0240")</f>
        <v>PE0240</v>
      </c>
      <c r="B241" s="7" t="str">
        <f>IFERROR(__xludf.DUMMYFUNCTION("""COMPUTED_VALUE"""),"S034")</f>
        <v>S034</v>
      </c>
      <c r="C241" s="7" t="str">
        <f>IFERROR(__xludf.DUMMYFUNCTION("""COMPUTED_VALUE"""),"JavaScript Fundamentals (ES6+)")</f>
        <v>JavaScript Fundamentals (ES6+)</v>
      </c>
      <c r="D241" s="7" t="str">
        <f>IFERROR(__xludf.DUMMYFUNCTION("""COMPUTED_VALUE"""),"S041")</f>
        <v>S041</v>
      </c>
      <c r="E241" s="7" t="str">
        <f>IFERROR(__xludf.DUMMYFUNCTION("""COMPUTED_VALUE"""),"Vue.js &amp; Composition API")</f>
        <v>Vue.js &amp; Composition API</v>
      </c>
      <c r="F241" s="7" t="str">
        <f>IFERROR(__xludf.DUMMYFUNCTION("""COMPUTED_VALUE"""),"S034 unlocks S041")</f>
        <v>S034 unlocks S041</v>
      </c>
    </row>
    <row r="242">
      <c r="A242" s="7" t="str">
        <f>IFERROR(__xludf.DUMMYFUNCTION("""COMPUTED_VALUE"""),"PE0241")</f>
        <v>PE0241</v>
      </c>
      <c r="B242" s="7" t="str">
        <f>IFERROR(__xludf.DUMMYFUNCTION("""COMPUTED_VALUE"""),"S034")</f>
        <v>S034</v>
      </c>
      <c r="C242" s="7" t="str">
        <f>IFERROR(__xludf.DUMMYFUNCTION("""COMPUTED_VALUE"""),"JavaScript Fundamentals (ES6+)")</f>
        <v>JavaScript Fundamentals (ES6+)</v>
      </c>
      <c r="D242" s="7" t="str">
        <f>IFERROR(__xludf.DUMMYFUNCTION("""COMPUTED_VALUE"""),"S042")</f>
        <v>S042</v>
      </c>
      <c r="E242" s="7" t="str">
        <f>IFERROR(__xludf.DUMMYFUNCTION("""COMPUTED_VALUE"""),"Svelte &amp; SvelteKit")</f>
        <v>Svelte &amp; SvelteKit</v>
      </c>
      <c r="F242" s="7" t="str">
        <f>IFERROR(__xludf.DUMMYFUNCTION("""COMPUTED_VALUE"""),"S034 unlocks S042")</f>
        <v>S034 unlocks S042</v>
      </c>
    </row>
    <row r="243">
      <c r="A243" s="7" t="str">
        <f>IFERROR(__xludf.DUMMYFUNCTION("""COMPUTED_VALUE"""),"PE0242")</f>
        <v>PE0242</v>
      </c>
      <c r="B243" s="7" t="str">
        <f>IFERROR(__xludf.DUMMYFUNCTION("""COMPUTED_VALUE"""),"S034")</f>
        <v>S034</v>
      </c>
      <c r="C243" s="7" t="str">
        <f>IFERROR(__xludf.DUMMYFUNCTION("""COMPUTED_VALUE"""),"JavaScript Fundamentals (ES6+)")</f>
        <v>JavaScript Fundamentals (ES6+)</v>
      </c>
      <c r="D243" s="7" t="str">
        <f>IFERROR(__xludf.DUMMYFUNCTION("""COMPUTED_VALUE"""),"S046")</f>
        <v>S046</v>
      </c>
      <c r="E243" s="7" t="str">
        <f>IFERROR(__xludf.DUMMYFUNCTION("""COMPUTED_VALUE"""),"Data Fetching &amp; Caching (TanStack React Query, SWR)")</f>
        <v>Data Fetching &amp; Caching (TanStack React Query, SWR)</v>
      </c>
      <c r="F243" s="7" t="str">
        <f>IFERROR(__xludf.DUMMYFUNCTION("""COMPUTED_VALUE"""),"S034 unlocks S046")</f>
        <v>S034 unlocks S046</v>
      </c>
    </row>
    <row r="244">
      <c r="A244" s="7" t="str">
        <f>IFERROR(__xludf.DUMMYFUNCTION("""COMPUTED_VALUE"""),"PE0243")</f>
        <v>PE0243</v>
      </c>
      <c r="B244" s="7" t="str">
        <f>IFERROR(__xludf.DUMMYFUNCTION("""COMPUTED_VALUE"""),"S034")</f>
        <v>S034</v>
      </c>
      <c r="C244" s="7" t="str">
        <f>IFERROR(__xludf.DUMMYFUNCTION("""COMPUTED_VALUE"""),"JavaScript Fundamentals (ES6+)")</f>
        <v>JavaScript Fundamentals (ES6+)</v>
      </c>
      <c r="D244" s="7" t="str">
        <f>IFERROR(__xludf.DUMMYFUNCTION("""COMPUTED_VALUE"""),"S047")</f>
        <v>S047</v>
      </c>
      <c r="E244" s="7" t="str">
        <f>IFERROR(__xludf.DUMMYFUNCTION("""COMPUTED_VALUE"""),"Tailwind CSS Utility Styling")</f>
        <v>Tailwind CSS Utility Styling</v>
      </c>
      <c r="F244" s="7" t="str">
        <f>IFERROR(__xludf.DUMMYFUNCTION("""COMPUTED_VALUE"""),"S034 unlocks S047")</f>
        <v>S034 unlocks S047</v>
      </c>
    </row>
    <row r="245">
      <c r="A245" s="7" t="str">
        <f>IFERROR(__xludf.DUMMYFUNCTION("""COMPUTED_VALUE"""),"PE0244")</f>
        <v>PE0244</v>
      </c>
      <c r="B245" s="7" t="str">
        <f>IFERROR(__xludf.DUMMYFUNCTION("""COMPUTED_VALUE"""),"S034")</f>
        <v>S034</v>
      </c>
      <c r="C245" s="7" t="str">
        <f>IFERROR(__xludf.DUMMYFUNCTION("""COMPUTED_VALUE"""),"JavaScript Fundamentals (ES6+)")</f>
        <v>JavaScript Fundamentals (ES6+)</v>
      </c>
      <c r="D245" s="7" t="str">
        <f>IFERROR(__xludf.DUMMYFUNCTION("""COMPUTED_VALUE"""),"S048")</f>
        <v>S048</v>
      </c>
      <c r="E245" s="7" t="str">
        <f>IFERROR(__xludf.DUMMYFUNCTION("""COMPUTED_VALUE"""),"CSS Preprocessors (Sass / SCSS)")</f>
        <v>CSS Preprocessors (Sass / SCSS)</v>
      </c>
      <c r="F245" s="7" t="str">
        <f>IFERROR(__xludf.DUMMYFUNCTION("""COMPUTED_VALUE"""),"S034 unlocks S048")</f>
        <v>S034 unlocks S048</v>
      </c>
    </row>
    <row r="246">
      <c r="A246" s="7" t="str">
        <f>IFERROR(__xludf.DUMMYFUNCTION("""COMPUTED_VALUE"""),"PE0245")</f>
        <v>PE0245</v>
      </c>
      <c r="B246" s="7" t="str">
        <f>IFERROR(__xludf.DUMMYFUNCTION("""COMPUTED_VALUE"""),"S034")</f>
        <v>S034</v>
      </c>
      <c r="C246" s="7" t="str">
        <f>IFERROR(__xludf.DUMMYFUNCTION("""COMPUTED_VALUE"""),"JavaScript Fundamentals (ES6+)")</f>
        <v>JavaScript Fundamentals (ES6+)</v>
      </c>
      <c r="D246" s="7" t="str">
        <f>IFERROR(__xludf.DUMMYFUNCTION("""COMPUTED_VALUE"""),"S050")</f>
        <v>S050</v>
      </c>
      <c r="E246" s="7" t="str">
        <f>IFERROR(__xludf.DUMMYFUNCTION("""COMPUTED_VALUE"""),"Module Bundlers &amp; Build Tools (Vite, Webpack, Rollup)")</f>
        <v>Module Bundlers &amp; Build Tools (Vite, Webpack, Rollup)</v>
      </c>
      <c r="F246" s="7" t="str">
        <f>IFERROR(__xludf.DUMMYFUNCTION("""COMPUTED_VALUE"""),"S034 unlocks S050")</f>
        <v>S034 unlocks S050</v>
      </c>
    </row>
    <row r="247">
      <c r="A247" s="7" t="str">
        <f>IFERROR(__xludf.DUMMYFUNCTION("""COMPUTED_VALUE"""),"PE0246")</f>
        <v>PE0246</v>
      </c>
      <c r="B247" s="7" t="str">
        <f>IFERROR(__xludf.DUMMYFUNCTION("""COMPUTED_VALUE"""),"S034")</f>
        <v>S034</v>
      </c>
      <c r="C247" s="7" t="str">
        <f>IFERROR(__xludf.DUMMYFUNCTION("""COMPUTED_VALUE"""),"JavaScript Fundamentals (ES6+)")</f>
        <v>JavaScript Fundamentals (ES6+)</v>
      </c>
      <c r="D247" s="7" t="str">
        <f>IFERROR(__xludf.DUMMYFUNCTION("""COMPUTED_VALUE"""),"S053")</f>
        <v>S053</v>
      </c>
      <c r="E247" s="7" t="str">
        <f>IFERROR(__xludf.DUMMYFUNCTION("""COMPUTED_VALUE"""),"Web Accessibility (WCAG / ARIA / a11y)")</f>
        <v>Web Accessibility (WCAG / ARIA / a11y)</v>
      </c>
      <c r="F247" s="7" t="str">
        <f>IFERROR(__xludf.DUMMYFUNCTION("""COMPUTED_VALUE"""),"S034 unlocks S053")</f>
        <v>S034 unlocks S053</v>
      </c>
    </row>
    <row r="248">
      <c r="A248" s="7" t="str">
        <f>IFERROR(__xludf.DUMMYFUNCTION("""COMPUTED_VALUE"""),"PE0247")</f>
        <v>PE0247</v>
      </c>
      <c r="B248" s="7" t="str">
        <f>IFERROR(__xludf.DUMMYFUNCTION("""COMPUTED_VALUE"""),"S034")</f>
        <v>S034</v>
      </c>
      <c r="C248" s="7" t="str">
        <f>IFERROR(__xludf.DUMMYFUNCTION("""COMPUTED_VALUE"""),"JavaScript Fundamentals (ES6+)")</f>
        <v>JavaScript Fundamentals (ES6+)</v>
      </c>
      <c r="D248" s="7" t="str">
        <f>IFERROR(__xludf.DUMMYFUNCTION("""COMPUTED_VALUE"""),"S057")</f>
        <v>S057</v>
      </c>
      <c r="E248" s="7" t="str">
        <f>IFERROR(__xludf.DUMMYFUNCTION("""COMPUTED_VALUE"""),"Data Visualization &amp; Charting (D3.js, Recharts, Chart.js)")</f>
        <v>Data Visualization &amp; Charting (D3.js, Recharts, Chart.js)</v>
      </c>
      <c r="F248" s="7" t="str">
        <f>IFERROR(__xludf.DUMMYFUNCTION("""COMPUTED_VALUE"""),"S034 unlocks S057")</f>
        <v>S034 unlocks S057</v>
      </c>
    </row>
    <row r="249">
      <c r="A249" s="7" t="str">
        <f>IFERROR(__xludf.DUMMYFUNCTION("""COMPUTED_VALUE"""),"PE0248")</f>
        <v>PE0248</v>
      </c>
      <c r="B249" s="7" t="str">
        <f>IFERROR(__xludf.DUMMYFUNCTION("""COMPUTED_VALUE"""),"S034")</f>
        <v>S034</v>
      </c>
      <c r="C249" s="7" t="str">
        <f>IFERROR(__xludf.DUMMYFUNCTION("""COMPUTED_VALUE"""),"JavaScript Fundamentals (ES6+)")</f>
        <v>JavaScript Fundamentals (ES6+)</v>
      </c>
      <c r="D249" s="7" t="str">
        <f>IFERROR(__xludf.DUMMYFUNCTION("""COMPUTED_VALUE"""),"S059")</f>
        <v>S059</v>
      </c>
      <c r="E249" s="7" t="str">
        <f>IFERROR(__xludf.DUMMYFUNCTION("""COMPUTED_VALUE"""),"Frontend Unit &amp; Component Testing (Jest, Vitest, RTL)")</f>
        <v>Frontend Unit &amp; Component Testing (Jest, Vitest, RTL)</v>
      </c>
      <c r="F249" s="7" t="str">
        <f>IFERROR(__xludf.DUMMYFUNCTION("""COMPUTED_VALUE"""),"S034 unlocks S059")</f>
        <v>S034 unlocks S059</v>
      </c>
    </row>
    <row r="250">
      <c r="A250" s="7" t="str">
        <f>IFERROR(__xludf.DUMMYFUNCTION("""COMPUTED_VALUE"""),"PE0249")</f>
        <v>PE0249</v>
      </c>
      <c r="B250" s="7" t="str">
        <f>IFERROR(__xludf.DUMMYFUNCTION("""COMPUTED_VALUE"""),"S034")</f>
        <v>S034</v>
      </c>
      <c r="C250" s="7" t="str">
        <f>IFERROR(__xludf.DUMMYFUNCTION("""COMPUTED_VALUE"""),"JavaScript Fundamentals (ES6+)")</f>
        <v>JavaScript Fundamentals (ES6+)</v>
      </c>
      <c r="D250" s="7" t="str">
        <f>IFERROR(__xludf.DUMMYFUNCTION("""COMPUTED_VALUE"""),"S060")</f>
        <v>S060</v>
      </c>
      <c r="E250" s="7" t="str">
        <f>IFERROR(__xludf.DUMMYFUNCTION("""COMPUTED_VALUE"""),"End-to-End Browser Testing (Cypress, Playwright)")</f>
        <v>End-to-End Browser Testing (Cypress, Playwright)</v>
      </c>
      <c r="F250" s="7" t="str">
        <f>IFERROR(__xludf.DUMMYFUNCTION("""COMPUTED_VALUE"""),"S034 unlocks S060")</f>
        <v>S034 unlocks S060</v>
      </c>
    </row>
    <row r="251">
      <c r="A251" s="7" t="str">
        <f>IFERROR(__xludf.DUMMYFUNCTION("""COMPUTED_VALUE"""),"PE0250")</f>
        <v>PE0250</v>
      </c>
      <c r="B251" s="7" t="str">
        <f>IFERROR(__xludf.DUMMYFUNCTION("""COMPUTED_VALUE"""),"S034")</f>
        <v>S034</v>
      </c>
      <c r="C251" s="7" t="str">
        <f>IFERROR(__xludf.DUMMYFUNCTION("""COMPUTED_VALUE"""),"JavaScript Fundamentals (ES6+)")</f>
        <v>JavaScript Fundamentals (ES6+)</v>
      </c>
      <c r="D251" s="7" t="str">
        <f>IFERROR(__xludf.DUMMYFUNCTION("""COMPUTED_VALUE"""),"S063")</f>
        <v>S063</v>
      </c>
      <c r="E251" s="7" t="str">
        <f>IFERROR(__xludf.DUMMYFUNCTION("""COMPUTED_VALUE"""),"User Research, Personas &amp; Usability Testing")</f>
        <v>User Research, Personas &amp; Usability Testing</v>
      </c>
      <c r="F251" s="7" t="str">
        <f>IFERROR(__xludf.DUMMYFUNCTION("""COMPUTED_VALUE"""),"S034 unlocks S063")</f>
        <v>S034 unlocks S063</v>
      </c>
    </row>
    <row r="252">
      <c r="A252" s="7" t="str">
        <f>IFERROR(__xludf.DUMMYFUNCTION("""COMPUTED_VALUE"""),"PE0251")</f>
        <v>PE0251</v>
      </c>
      <c r="B252" s="7" t="str">
        <f>IFERROR(__xludf.DUMMYFUNCTION("""COMPUTED_VALUE"""),"S034")</f>
        <v>S034</v>
      </c>
      <c r="C252" s="7" t="str">
        <f>IFERROR(__xludf.DUMMYFUNCTION("""COMPUTED_VALUE"""),"JavaScript Fundamentals (ES6+)")</f>
        <v>JavaScript Fundamentals (ES6+)</v>
      </c>
      <c r="D252" s="7" t="str">
        <f>IFERROR(__xludf.DUMMYFUNCTION("""COMPUTED_VALUE"""),"S064")</f>
        <v>S064</v>
      </c>
      <c r="E252" s="7" t="str">
        <f>IFERROR(__xludf.DUMMYFUNCTION("""COMPUTED_VALUE"""),"Information Architecture &amp; User Flows")</f>
        <v>Information Architecture &amp; User Flows</v>
      </c>
      <c r="F252" s="7" t="str">
        <f>IFERROR(__xludf.DUMMYFUNCTION("""COMPUTED_VALUE"""),"S034 unlocks S064")</f>
        <v>S034 unlocks S064</v>
      </c>
    </row>
    <row r="253">
      <c r="A253" s="7" t="str">
        <f>IFERROR(__xludf.DUMMYFUNCTION("""COMPUTED_VALUE"""),"PE0252")</f>
        <v>PE0252</v>
      </c>
      <c r="B253" s="7" t="str">
        <f>IFERROR(__xludf.DUMMYFUNCTION("""COMPUTED_VALUE"""),"S036")</f>
        <v>S036</v>
      </c>
      <c r="C253" s="7" t="str">
        <f>IFERROR(__xludf.DUMMYFUNCTION("""COMPUTED_VALUE"""),"DOM Manipulation &amp; Browser Events")</f>
        <v>DOM Manipulation &amp; Browser Events</v>
      </c>
      <c r="D253" s="7" t="str">
        <f>IFERROR(__xludf.DUMMYFUNCTION("""COMPUTED_VALUE"""),"S035")</f>
        <v>S035</v>
      </c>
      <c r="E253" s="7" t="str">
        <f>IFERROR(__xludf.DUMMYFUNCTION("""COMPUTED_VALUE"""),"Asynchronous JavaScript (Promises, Async/Await)")</f>
        <v>Asynchronous JavaScript (Promises, Async/Await)</v>
      </c>
      <c r="F253" s="7" t="str">
        <f>IFERROR(__xludf.DUMMYFUNCTION("""COMPUTED_VALUE"""),"S036 unlocks S035")</f>
        <v>S036 unlocks S035</v>
      </c>
    </row>
    <row r="254">
      <c r="A254" s="7" t="str">
        <f>IFERROR(__xludf.DUMMYFUNCTION("""COMPUTED_VALUE"""),"PE0253")</f>
        <v>PE0253</v>
      </c>
      <c r="B254" s="7" t="str">
        <f>IFERROR(__xludf.DUMMYFUNCTION("""COMPUTED_VALUE"""),"S036")</f>
        <v>S036</v>
      </c>
      <c r="C254" s="7" t="str">
        <f>IFERROR(__xludf.DUMMYFUNCTION("""COMPUTED_VALUE"""),"DOM Manipulation &amp; Browser Events")</f>
        <v>DOM Manipulation &amp; Browser Events</v>
      </c>
      <c r="D254" s="7" t="str">
        <f>IFERROR(__xludf.DUMMYFUNCTION("""COMPUTED_VALUE"""),"S038")</f>
        <v>S038</v>
      </c>
      <c r="E254" s="7" t="str">
        <f>IFERROR(__xludf.DUMMYFUNCTION("""COMPUTED_VALUE"""),"TypeScript &amp; Static Typing")</f>
        <v>TypeScript &amp; Static Typing</v>
      </c>
      <c r="F254" s="7" t="str">
        <f>IFERROR(__xludf.DUMMYFUNCTION("""COMPUTED_VALUE"""),"S036 unlocks S038")</f>
        <v>S036 unlocks S038</v>
      </c>
    </row>
    <row r="255">
      <c r="A255" s="7" t="str">
        <f>IFERROR(__xludf.DUMMYFUNCTION("""COMPUTED_VALUE"""),"PE0254")</f>
        <v>PE0254</v>
      </c>
      <c r="B255" s="7" t="str">
        <f>IFERROR(__xludf.DUMMYFUNCTION("""COMPUTED_VALUE"""),"S036")</f>
        <v>S036</v>
      </c>
      <c r="C255" s="7" t="str">
        <f>IFERROR(__xludf.DUMMYFUNCTION("""COMPUTED_VALUE"""),"DOM Manipulation &amp; Browser Events")</f>
        <v>DOM Manipulation &amp; Browser Events</v>
      </c>
      <c r="D255" s="7" t="str">
        <f>IFERROR(__xludf.DUMMYFUNCTION("""COMPUTED_VALUE"""),"S039")</f>
        <v>S039</v>
      </c>
      <c r="E255" s="7" t="str">
        <f>IFERROR(__xludf.DUMMYFUNCTION("""COMPUTED_VALUE"""),"React.js &amp; Hooks Architecture")</f>
        <v>React.js &amp; Hooks Architecture</v>
      </c>
      <c r="F255" s="7" t="str">
        <f>IFERROR(__xludf.DUMMYFUNCTION("""COMPUTED_VALUE"""),"S036 unlocks S039")</f>
        <v>S036 unlocks S039</v>
      </c>
    </row>
    <row r="256">
      <c r="A256" s="7" t="str">
        <f>IFERROR(__xludf.DUMMYFUNCTION("""COMPUTED_VALUE"""),"PE0255")</f>
        <v>PE0255</v>
      </c>
      <c r="B256" s="7" t="str">
        <f>IFERROR(__xludf.DUMMYFUNCTION("""COMPUTED_VALUE"""),"S036")</f>
        <v>S036</v>
      </c>
      <c r="C256" s="7" t="str">
        <f>IFERROR(__xludf.DUMMYFUNCTION("""COMPUTED_VALUE"""),"DOM Manipulation &amp; Browser Events")</f>
        <v>DOM Manipulation &amp; Browser Events</v>
      </c>
      <c r="D256" s="7" t="str">
        <f>IFERROR(__xludf.DUMMYFUNCTION("""COMPUTED_VALUE"""),"S040")</f>
        <v>S040</v>
      </c>
      <c r="E256" s="7" t="str">
        <f>IFERROR(__xludf.DUMMYFUNCTION("""COMPUTED_VALUE"""),"Angular Framework &amp; RxJS")</f>
        <v>Angular Framework &amp; RxJS</v>
      </c>
      <c r="F256" s="7" t="str">
        <f>IFERROR(__xludf.DUMMYFUNCTION("""COMPUTED_VALUE"""),"S036 unlocks S040")</f>
        <v>S036 unlocks S040</v>
      </c>
    </row>
    <row r="257">
      <c r="A257" s="7" t="str">
        <f>IFERROR(__xludf.DUMMYFUNCTION("""COMPUTED_VALUE"""),"PE0256")</f>
        <v>PE0256</v>
      </c>
      <c r="B257" s="7" t="str">
        <f>IFERROR(__xludf.DUMMYFUNCTION("""COMPUTED_VALUE"""),"S036")</f>
        <v>S036</v>
      </c>
      <c r="C257" s="7" t="str">
        <f>IFERROR(__xludf.DUMMYFUNCTION("""COMPUTED_VALUE"""),"DOM Manipulation &amp; Browser Events")</f>
        <v>DOM Manipulation &amp; Browser Events</v>
      </c>
      <c r="D257" s="7" t="str">
        <f>IFERROR(__xludf.DUMMYFUNCTION("""COMPUTED_VALUE"""),"S041")</f>
        <v>S041</v>
      </c>
      <c r="E257" s="7" t="str">
        <f>IFERROR(__xludf.DUMMYFUNCTION("""COMPUTED_VALUE"""),"Vue.js &amp; Composition API")</f>
        <v>Vue.js &amp; Composition API</v>
      </c>
      <c r="F257" s="7" t="str">
        <f>IFERROR(__xludf.DUMMYFUNCTION("""COMPUTED_VALUE"""),"S036 unlocks S041")</f>
        <v>S036 unlocks S041</v>
      </c>
    </row>
    <row r="258">
      <c r="A258" s="7" t="str">
        <f>IFERROR(__xludf.DUMMYFUNCTION("""COMPUTED_VALUE"""),"PE0257")</f>
        <v>PE0257</v>
      </c>
      <c r="B258" s="7" t="str">
        <f>IFERROR(__xludf.DUMMYFUNCTION("""COMPUTED_VALUE"""),"S036")</f>
        <v>S036</v>
      </c>
      <c r="C258" s="7" t="str">
        <f>IFERROR(__xludf.DUMMYFUNCTION("""COMPUTED_VALUE"""),"DOM Manipulation &amp; Browser Events")</f>
        <v>DOM Manipulation &amp; Browser Events</v>
      </c>
      <c r="D258" s="7" t="str">
        <f>IFERROR(__xludf.DUMMYFUNCTION("""COMPUTED_VALUE"""),"S042")</f>
        <v>S042</v>
      </c>
      <c r="E258" s="7" t="str">
        <f>IFERROR(__xludf.DUMMYFUNCTION("""COMPUTED_VALUE"""),"Svelte &amp; SvelteKit")</f>
        <v>Svelte &amp; SvelteKit</v>
      </c>
      <c r="F258" s="7" t="str">
        <f>IFERROR(__xludf.DUMMYFUNCTION("""COMPUTED_VALUE"""),"S036 unlocks S042")</f>
        <v>S036 unlocks S042</v>
      </c>
    </row>
    <row r="259">
      <c r="A259" s="7" t="str">
        <f>IFERROR(__xludf.DUMMYFUNCTION("""COMPUTED_VALUE"""),"PE0258")</f>
        <v>PE0258</v>
      </c>
      <c r="B259" s="7" t="str">
        <f>IFERROR(__xludf.DUMMYFUNCTION("""COMPUTED_VALUE"""),"S036")</f>
        <v>S036</v>
      </c>
      <c r="C259" s="7" t="str">
        <f>IFERROR(__xludf.DUMMYFUNCTION("""COMPUTED_VALUE"""),"DOM Manipulation &amp; Browser Events")</f>
        <v>DOM Manipulation &amp; Browser Events</v>
      </c>
      <c r="D259" s="7" t="str">
        <f>IFERROR(__xludf.DUMMYFUNCTION("""COMPUTED_VALUE"""),"S046")</f>
        <v>S046</v>
      </c>
      <c r="E259" s="7" t="str">
        <f>IFERROR(__xludf.DUMMYFUNCTION("""COMPUTED_VALUE"""),"Data Fetching &amp; Caching (TanStack React Query, SWR)")</f>
        <v>Data Fetching &amp; Caching (TanStack React Query, SWR)</v>
      </c>
      <c r="F259" s="7" t="str">
        <f>IFERROR(__xludf.DUMMYFUNCTION("""COMPUTED_VALUE"""),"S036 unlocks S046")</f>
        <v>S036 unlocks S046</v>
      </c>
    </row>
    <row r="260">
      <c r="A260" s="7" t="str">
        <f>IFERROR(__xludf.DUMMYFUNCTION("""COMPUTED_VALUE"""),"PE0259")</f>
        <v>PE0259</v>
      </c>
      <c r="B260" s="7" t="str">
        <f>IFERROR(__xludf.DUMMYFUNCTION("""COMPUTED_VALUE"""),"S036")</f>
        <v>S036</v>
      </c>
      <c r="C260" s="7" t="str">
        <f>IFERROR(__xludf.DUMMYFUNCTION("""COMPUTED_VALUE"""),"DOM Manipulation &amp; Browser Events")</f>
        <v>DOM Manipulation &amp; Browser Events</v>
      </c>
      <c r="D260" s="7" t="str">
        <f>IFERROR(__xludf.DUMMYFUNCTION("""COMPUTED_VALUE"""),"S047")</f>
        <v>S047</v>
      </c>
      <c r="E260" s="7" t="str">
        <f>IFERROR(__xludf.DUMMYFUNCTION("""COMPUTED_VALUE"""),"Tailwind CSS Utility Styling")</f>
        <v>Tailwind CSS Utility Styling</v>
      </c>
      <c r="F260" s="7" t="str">
        <f>IFERROR(__xludf.DUMMYFUNCTION("""COMPUTED_VALUE"""),"S036 unlocks S047")</f>
        <v>S036 unlocks S047</v>
      </c>
    </row>
    <row r="261">
      <c r="A261" s="7" t="str">
        <f>IFERROR(__xludf.DUMMYFUNCTION("""COMPUTED_VALUE"""),"PE0260")</f>
        <v>PE0260</v>
      </c>
      <c r="B261" s="7" t="str">
        <f>IFERROR(__xludf.DUMMYFUNCTION("""COMPUTED_VALUE"""),"S036")</f>
        <v>S036</v>
      </c>
      <c r="C261" s="7" t="str">
        <f>IFERROR(__xludf.DUMMYFUNCTION("""COMPUTED_VALUE"""),"DOM Manipulation &amp; Browser Events")</f>
        <v>DOM Manipulation &amp; Browser Events</v>
      </c>
      <c r="D261" s="7" t="str">
        <f>IFERROR(__xludf.DUMMYFUNCTION("""COMPUTED_VALUE"""),"S048")</f>
        <v>S048</v>
      </c>
      <c r="E261" s="7" t="str">
        <f>IFERROR(__xludf.DUMMYFUNCTION("""COMPUTED_VALUE"""),"CSS Preprocessors (Sass / SCSS)")</f>
        <v>CSS Preprocessors (Sass / SCSS)</v>
      </c>
      <c r="F261" s="7" t="str">
        <f>IFERROR(__xludf.DUMMYFUNCTION("""COMPUTED_VALUE"""),"S036 unlocks S048")</f>
        <v>S036 unlocks S048</v>
      </c>
    </row>
    <row r="262">
      <c r="A262" s="7" t="str">
        <f>IFERROR(__xludf.DUMMYFUNCTION("""COMPUTED_VALUE"""),"PE0261")</f>
        <v>PE0261</v>
      </c>
      <c r="B262" s="7" t="str">
        <f>IFERROR(__xludf.DUMMYFUNCTION("""COMPUTED_VALUE"""),"S036")</f>
        <v>S036</v>
      </c>
      <c r="C262" s="7" t="str">
        <f>IFERROR(__xludf.DUMMYFUNCTION("""COMPUTED_VALUE"""),"DOM Manipulation &amp; Browser Events")</f>
        <v>DOM Manipulation &amp; Browser Events</v>
      </c>
      <c r="D262" s="7" t="str">
        <f>IFERROR(__xludf.DUMMYFUNCTION("""COMPUTED_VALUE"""),"S050")</f>
        <v>S050</v>
      </c>
      <c r="E262" s="7" t="str">
        <f>IFERROR(__xludf.DUMMYFUNCTION("""COMPUTED_VALUE"""),"Module Bundlers &amp; Build Tools (Vite, Webpack, Rollup)")</f>
        <v>Module Bundlers &amp; Build Tools (Vite, Webpack, Rollup)</v>
      </c>
      <c r="F262" s="7" t="str">
        <f>IFERROR(__xludf.DUMMYFUNCTION("""COMPUTED_VALUE"""),"S036 unlocks S050")</f>
        <v>S036 unlocks S050</v>
      </c>
    </row>
    <row r="263">
      <c r="A263" s="7" t="str">
        <f>IFERROR(__xludf.DUMMYFUNCTION("""COMPUTED_VALUE"""),"PE0262")</f>
        <v>PE0262</v>
      </c>
      <c r="B263" s="7" t="str">
        <f>IFERROR(__xludf.DUMMYFUNCTION("""COMPUTED_VALUE"""),"S036")</f>
        <v>S036</v>
      </c>
      <c r="C263" s="7" t="str">
        <f>IFERROR(__xludf.DUMMYFUNCTION("""COMPUTED_VALUE"""),"DOM Manipulation &amp; Browser Events")</f>
        <v>DOM Manipulation &amp; Browser Events</v>
      </c>
      <c r="D263" s="7" t="str">
        <f>IFERROR(__xludf.DUMMYFUNCTION("""COMPUTED_VALUE"""),"S053")</f>
        <v>S053</v>
      </c>
      <c r="E263" s="7" t="str">
        <f>IFERROR(__xludf.DUMMYFUNCTION("""COMPUTED_VALUE"""),"Web Accessibility (WCAG / ARIA / a11y)")</f>
        <v>Web Accessibility (WCAG / ARIA / a11y)</v>
      </c>
      <c r="F263" s="7" t="str">
        <f>IFERROR(__xludf.DUMMYFUNCTION("""COMPUTED_VALUE"""),"S036 unlocks S053")</f>
        <v>S036 unlocks S053</v>
      </c>
    </row>
    <row r="264">
      <c r="A264" s="7" t="str">
        <f>IFERROR(__xludf.DUMMYFUNCTION("""COMPUTED_VALUE"""),"PE0263")</f>
        <v>PE0263</v>
      </c>
      <c r="B264" s="7" t="str">
        <f>IFERROR(__xludf.DUMMYFUNCTION("""COMPUTED_VALUE"""),"S036")</f>
        <v>S036</v>
      </c>
      <c r="C264" s="7" t="str">
        <f>IFERROR(__xludf.DUMMYFUNCTION("""COMPUTED_VALUE"""),"DOM Manipulation &amp; Browser Events")</f>
        <v>DOM Manipulation &amp; Browser Events</v>
      </c>
      <c r="D264" s="7" t="str">
        <f>IFERROR(__xludf.DUMMYFUNCTION("""COMPUTED_VALUE"""),"S057")</f>
        <v>S057</v>
      </c>
      <c r="E264" s="7" t="str">
        <f>IFERROR(__xludf.DUMMYFUNCTION("""COMPUTED_VALUE"""),"Data Visualization &amp; Charting (D3.js, Recharts, Chart.js)")</f>
        <v>Data Visualization &amp; Charting (D3.js, Recharts, Chart.js)</v>
      </c>
      <c r="F264" s="7" t="str">
        <f>IFERROR(__xludf.DUMMYFUNCTION("""COMPUTED_VALUE"""),"S036 unlocks S057")</f>
        <v>S036 unlocks S057</v>
      </c>
    </row>
    <row r="265">
      <c r="A265" s="7" t="str">
        <f>IFERROR(__xludf.DUMMYFUNCTION("""COMPUTED_VALUE"""),"PE0264")</f>
        <v>PE0264</v>
      </c>
      <c r="B265" s="7" t="str">
        <f>IFERROR(__xludf.DUMMYFUNCTION("""COMPUTED_VALUE"""),"S036")</f>
        <v>S036</v>
      </c>
      <c r="C265" s="7" t="str">
        <f>IFERROR(__xludf.DUMMYFUNCTION("""COMPUTED_VALUE"""),"DOM Manipulation &amp; Browser Events")</f>
        <v>DOM Manipulation &amp; Browser Events</v>
      </c>
      <c r="D265" s="7" t="str">
        <f>IFERROR(__xludf.DUMMYFUNCTION("""COMPUTED_VALUE"""),"S059")</f>
        <v>S059</v>
      </c>
      <c r="E265" s="7" t="str">
        <f>IFERROR(__xludf.DUMMYFUNCTION("""COMPUTED_VALUE"""),"Frontend Unit &amp; Component Testing (Jest, Vitest, RTL)")</f>
        <v>Frontend Unit &amp; Component Testing (Jest, Vitest, RTL)</v>
      </c>
      <c r="F265" s="7" t="str">
        <f>IFERROR(__xludf.DUMMYFUNCTION("""COMPUTED_VALUE"""),"S036 unlocks S059")</f>
        <v>S036 unlocks S059</v>
      </c>
    </row>
    <row r="266">
      <c r="A266" s="7" t="str">
        <f>IFERROR(__xludf.DUMMYFUNCTION("""COMPUTED_VALUE"""),"PE0265")</f>
        <v>PE0265</v>
      </c>
      <c r="B266" s="7" t="str">
        <f>IFERROR(__xludf.DUMMYFUNCTION("""COMPUTED_VALUE"""),"S036")</f>
        <v>S036</v>
      </c>
      <c r="C266" s="7" t="str">
        <f>IFERROR(__xludf.DUMMYFUNCTION("""COMPUTED_VALUE"""),"DOM Manipulation &amp; Browser Events")</f>
        <v>DOM Manipulation &amp; Browser Events</v>
      </c>
      <c r="D266" s="7" t="str">
        <f>IFERROR(__xludf.DUMMYFUNCTION("""COMPUTED_VALUE"""),"S060")</f>
        <v>S060</v>
      </c>
      <c r="E266" s="7" t="str">
        <f>IFERROR(__xludf.DUMMYFUNCTION("""COMPUTED_VALUE"""),"End-to-End Browser Testing (Cypress, Playwright)")</f>
        <v>End-to-End Browser Testing (Cypress, Playwright)</v>
      </c>
      <c r="F266" s="7" t="str">
        <f>IFERROR(__xludf.DUMMYFUNCTION("""COMPUTED_VALUE"""),"S036 unlocks S060")</f>
        <v>S036 unlocks S060</v>
      </c>
    </row>
    <row r="267">
      <c r="A267" s="7" t="str">
        <f>IFERROR(__xludf.DUMMYFUNCTION("""COMPUTED_VALUE"""),"PE0266")</f>
        <v>PE0266</v>
      </c>
      <c r="B267" s="7" t="str">
        <f>IFERROR(__xludf.DUMMYFUNCTION("""COMPUTED_VALUE"""),"S036")</f>
        <v>S036</v>
      </c>
      <c r="C267" s="7" t="str">
        <f>IFERROR(__xludf.DUMMYFUNCTION("""COMPUTED_VALUE"""),"DOM Manipulation &amp; Browser Events")</f>
        <v>DOM Manipulation &amp; Browser Events</v>
      </c>
      <c r="D267" s="7" t="str">
        <f>IFERROR(__xludf.DUMMYFUNCTION("""COMPUTED_VALUE"""),"S063")</f>
        <v>S063</v>
      </c>
      <c r="E267" s="7" t="str">
        <f>IFERROR(__xludf.DUMMYFUNCTION("""COMPUTED_VALUE"""),"User Research, Personas &amp; Usability Testing")</f>
        <v>User Research, Personas &amp; Usability Testing</v>
      </c>
      <c r="F267" s="7" t="str">
        <f>IFERROR(__xludf.DUMMYFUNCTION("""COMPUTED_VALUE"""),"S036 unlocks S063")</f>
        <v>S036 unlocks S063</v>
      </c>
    </row>
    <row r="268">
      <c r="A268" s="7" t="str">
        <f>IFERROR(__xludf.DUMMYFUNCTION("""COMPUTED_VALUE"""),"PE0267")</f>
        <v>PE0267</v>
      </c>
      <c r="B268" s="7" t="str">
        <f>IFERROR(__xludf.DUMMYFUNCTION("""COMPUTED_VALUE"""),"S036")</f>
        <v>S036</v>
      </c>
      <c r="C268" s="7" t="str">
        <f>IFERROR(__xludf.DUMMYFUNCTION("""COMPUTED_VALUE"""),"DOM Manipulation &amp; Browser Events")</f>
        <v>DOM Manipulation &amp; Browser Events</v>
      </c>
      <c r="D268" s="7" t="str">
        <f>IFERROR(__xludf.DUMMYFUNCTION("""COMPUTED_VALUE"""),"S064")</f>
        <v>S064</v>
      </c>
      <c r="E268" s="7" t="str">
        <f>IFERROR(__xludf.DUMMYFUNCTION("""COMPUTED_VALUE"""),"Information Architecture &amp; User Flows")</f>
        <v>Information Architecture &amp; User Flows</v>
      </c>
      <c r="F268" s="7" t="str">
        <f>IFERROR(__xludf.DUMMYFUNCTION("""COMPUTED_VALUE"""),"S036 unlocks S064")</f>
        <v>S036 unlocks S064</v>
      </c>
    </row>
    <row r="269">
      <c r="A269" s="7" t="str">
        <f>IFERROR(__xludf.DUMMYFUNCTION("""COMPUTED_VALUE"""),"PE0268")</f>
        <v>PE0268</v>
      </c>
      <c r="B269" s="7" t="str">
        <f>IFERROR(__xludf.DUMMYFUNCTION("""COMPUTED_VALUE"""),"S037")</f>
        <v>S037</v>
      </c>
      <c r="C269" s="7" t="str">
        <f>IFERROR(__xludf.DUMMYFUNCTION("""COMPUTED_VALUE"""),"Browser Storage (LocalStorage, SessionStorage, IndexedDB)")</f>
        <v>Browser Storage (LocalStorage, SessionStorage, IndexedDB)</v>
      </c>
      <c r="D269" s="7" t="str">
        <f>IFERROR(__xludf.DUMMYFUNCTION("""COMPUTED_VALUE"""),"S035")</f>
        <v>S035</v>
      </c>
      <c r="E269" s="7" t="str">
        <f>IFERROR(__xludf.DUMMYFUNCTION("""COMPUTED_VALUE"""),"Asynchronous JavaScript (Promises, Async/Await)")</f>
        <v>Asynchronous JavaScript (Promises, Async/Await)</v>
      </c>
      <c r="F269" s="7" t="str">
        <f>IFERROR(__xludf.DUMMYFUNCTION("""COMPUTED_VALUE"""),"S037 unlocks S035")</f>
        <v>S037 unlocks S035</v>
      </c>
    </row>
    <row r="270">
      <c r="A270" s="7" t="str">
        <f>IFERROR(__xludf.DUMMYFUNCTION("""COMPUTED_VALUE"""),"PE0269")</f>
        <v>PE0269</v>
      </c>
      <c r="B270" s="7" t="str">
        <f>IFERROR(__xludf.DUMMYFUNCTION("""COMPUTED_VALUE"""),"S037")</f>
        <v>S037</v>
      </c>
      <c r="C270" s="7" t="str">
        <f>IFERROR(__xludf.DUMMYFUNCTION("""COMPUTED_VALUE"""),"Browser Storage (LocalStorage, SessionStorage, IndexedDB)")</f>
        <v>Browser Storage (LocalStorage, SessionStorage, IndexedDB)</v>
      </c>
      <c r="D270" s="7" t="str">
        <f>IFERROR(__xludf.DUMMYFUNCTION("""COMPUTED_VALUE"""),"S038")</f>
        <v>S038</v>
      </c>
      <c r="E270" s="7" t="str">
        <f>IFERROR(__xludf.DUMMYFUNCTION("""COMPUTED_VALUE"""),"TypeScript &amp; Static Typing")</f>
        <v>TypeScript &amp; Static Typing</v>
      </c>
      <c r="F270" s="7" t="str">
        <f>IFERROR(__xludf.DUMMYFUNCTION("""COMPUTED_VALUE"""),"S037 unlocks S038")</f>
        <v>S037 unlocks S038</v>
      </c>
    </row>
    <row r="271">
      <c r="A271" s="7" t="str">
        <f>IFERROR(__xludf.DUMMYFUNCTION("""COMPUTED_VALUE"""),"PE0270")</f>
        <v>PE0270</v>
      </c>
      <c r="B271" s="7" t="str">
        <f>IFERROR(__xludf.DUMMYFUNCTION("""COMPUTED_VALUE"""),"S037")</f>
        <v>S037</v>
      </c>
      <c r="C271" s="7" t="str">
        <f>IFERROR(__xludf.DUMMYFUNCTION("""COMPUTED_VALUE"""),"Browser Storage (LocalStorage, SessionStorage, IndexedDB)")</f>
        <v>Browser Storage (LocalStorage, SessionStorage, IndexedDB)</v>
      </c>
      <c r="D271" s="7" t="str">
        <f>IFERROR(__xludf.DUMMYFUNCTION("""COMPUTED_VALUE"""),"S039")</f>
        <v>S039</v>
      </c>
      <c r="E271" s="7" t="str">
        <f>IFERROR(__xludf.DUMMYFUNCTION("""COMPUTED_VALUE"""),"React.js &amp; Hooks Architecture")</f>
        <v>React.js &amp; Hooks Architecture</v>
      </c>
      <c r="F271" s="7" t="str">
        <f>IFERROR(__xludf.DUMMYFUNCTION("""COMPUTED_VALUE"""),"S037 unlocks S039")</f>
        <v>S037 unlocks S039</v>
      </c>
    </row>
    <row r="272">
      <c r="A272" s="7" t="str">
        <f>IFERROR(__xludf.DUMMYFUNCTION("""COMPUTED_VALUE"""),"PE0271")</f>
        <v>PE0271</v>
      </c>
      <c r="B272" s="7" t="str">
        <f>IFERROR(__xludf.DUMMYFUNCTION("""COMPUTED_VALUE"""),"S037")</f>
        <v>S037</v>
      </c>
      <c r="C272" s="7" t="str">
        <f>IFERROR(__xludf.DUMMYFUNCTION("""COMPUTED_VALUE"""),"Browser Storage (LocalStorage, SessionStorage, IndexedDB)")</f>
        <v>Browser Storage (LocalStorage, SessionStorage, IndexedDB)</v>
      </c>
      <c r="D272" s="7" t="str">
        <f>IFERROR(__xludf.DUMMYFUNCTION("""COMPUTED_VALUE"""),"S040")</f>
        <v>S040</v>
      </c>
      <c r="E272" s="7" t="str">
        <f>IFERROR(__xludf.DUMMYFUNCTION("""COMPUTED_VALUE"""),"Angular Framework &amp; RxJS")</f>
        <v>Angular Framework &amp; RxJS</v>
      </c>
      <c r="F272" s="7" t="str">
        <f>IFERROR(__xludf.DUMMYFUNCTION("""COMPUTED_VALUE"""),"S037 unlocks S040")</f>
        <v>S037 unlocks S040</v>
      </c>
    </row>
    <row r="273">
      <c r="A273" s="7" t="str">
        <f>IFERROR(__xludf.DUMMYFUNCTION("""COMPUTED_VALUE"""),"PE0272")</f>
        <v>PE0272</v>
      </c>
      <c r="B273" s="7" t="str">
        <f>IFERROR(__xludf.DUMMYFUNCTION("""COMPUTED_VALUE"""),"S037")</f>
        <v>S037</v>
      </c>
      <c r="C273" s="7" t="str">
        <f>IFERROR(__xludf.DUMMYFUNCTION("""COMPUTED_VALUE"""),"Browser Storage (LocalStorage, SessionStorage, IndexedDB)")</f>
        <v>Browser Storage (LocalStorage, SessionStorage, IndexedDB)</v>
      </c>
      <c r="D273" s="7" t="str">
        <f>IFERROR(__xludf.DUMMYFUNCTION("""COMPUTED_VALUE"""),"S041")</f>
        <v>S041</v>
      </c>
      <c r="E273" s="7" t="str">
        <f>IFERROR(__xludf.DUMMYFUNCTION("""COMPUTED_VALUE"""),"Vue.js &amp; Composition API")</f>
        <v>Vue.js &amp; Composition API</v>
      </c>
      <c r="F273" s="7" t="str">
        <f>IFERROR(__xludf.DUMMYFUNCTION("""COMPUTED_VALUE"""),"S037 unlocks S041")</f>
        <v>S037 unlocks S041</v>
      </c>
    </row>
    <row r="274">
      <c r="A274" s="7" t="str">
        <f>IFERROR(__xludf.DUMMYFUNCTION("""COMPUTED_VALUE"""),"PE0273")</f>
        <v>PE0273</v>
      </c>
      <c r="B274" s="7" t="str">
        <f>IFERROR(__xludf.DUMMYFUNCTION("""COMPUTED_VALUE"""),"S037")</f>
        <v>S037</v>
      </c>
      <c r="C274" s="7" t="str">
        <f>IFERROR(__xludf.DUMMYFUNCTION("""COMPUTED_VALUE"""),"Browser Storage (LocalStorage, SessionStorage, IndexedDB)")</f>
        <v>Browser Storage (LocalStorage, SessionStorage, IndexedDB)</v>
      </c>
      <c r="D274" s="7" t="str">
        <f>IFERROR(__xludf.DUMMYFUNCTION("""COMPUTED_VALUE"""),"S042")</f>
        <v>S042</v>
      </c>
      <c r="E274" s="7" t="str">
        <f>IFERROR(__xludf.DUMMYFUNCTION("""COMPUTED_VALUE"""),"Svelte &amp; SvelteKit")</f>
        <v>Svelte &amp; SvelteKit</v>
      </c>
      <c r="F274" s="7" t="str">
        <f>IFERROR(__xludf.DUMMYFUNCTION("""COMPUTED_VALUE"""),"S037 unlocks S042")</f>
        <v>S037 unlocks S042</v>
      </c>
    </row>
    <row r="275">
      <c r="A275" s="7" t="str">
        <f>IFERROR(__xludf.DUMMYFUNCTION("""COMPUTED_VALUE"""),"PE0274")</f>
        <v>PE0274</v>
      </c>
      <c r="B275" s="7" t="str">
        <f>IFERROR(__xludf.DUMMYFUNCTION("""COMPUTED_VALUE"""),"S037")</f>
        <v>S037</v>
      </c>
      <c r="C275" s="7" t="str">
        <f>IFERROR(__xludf.DUMMYFUNCTION("""COMPUTED_VALUE"""),"Browser Storage (LocalStorage, SessionStorage, IndexedDB)")</f>
        <v>Browser Storage (LocalStorage, SessionStorage, IndexedDB)</v>
      </c>
      <c r="D275" s="7" t="str">
        <f>IFERROR(__xludf.DUMMYFUNCTION("""COMPUTED_VALUE"""),"S046")</f>
        <v>S046</v>
      </c>
      <c r="E275" s="7" t="str">
        <f>IFERROR(__xludf.DUMMYFUNCTION("""COMPUTED_VALUE"""),"Data Fetching &amp; Caching (TanStack React Query, SWR)")</f>
        <v>Data Fetching &amp; Caching (TanStack React Query, SWR)</v>
      </c>
      <c r="F275" s="7" t="str">
        <f>IFERROR(__xludf.DUMMYFUNCTION("""COMPUTED_VALUE"""),"S037 unlocks S046")</f>
        <v>S037 unlocks S046</v>
      </c>
    </row>
    <row r="276">
      <c r="A276" s="7" t="str">
        <f>IFERROR(__xludf.DUMMYFUNCTION("""COMPUTED_VALUE"""),"PE0275")</f>
        <v>PE0275</v>
      </c>
      <c r="B276" s="7" t="str">
        <f>IFERROR(__xludf.DUMMYFUNCTION("""COMPUTED_VALUE"""),"S037")</f>
        <v>S037</v>
      </c>
      <c r="C276" s="7" t="str">
        <f>IFERROR(__xludf.DUMMYFUNCTION("""COMPUTED_VALUE"""),"Browser Storage (LocalStorage, SessionStorage, IndexedDB)")</f>
        <v>Browser Storage (LocalStorage, SessionStorage, IndexedDB)</v>
      </c>
      <c r="D276" s="7" t="str">
        <f>IFERROR(__xludf.DUMMYFUNCTION("""COMPUTED_VALUE"""),"S047")</f>
        <v>S047</v>
      </c>
      <c r="E276" s="7" t="str">
        <f>IFERROR(__xludf.DUMMYFUNCTION("""COMPUTED_VALUE"""),"Tailwind CSS Utility Styling")</f>
        <v>Tailwind CSS Utility Styling</v>
      </c>
      <c r="F276" s="7" t="str">
        <f>IFERROR(__xludf.DUMMYFUNCTION("""COMPUTED_VALUE"""),"S037 unlocks S047")</f>
        <v>S037 unlocks S047</v>
      </c>
    </row>
    <row r="277">
      <c r="A277" s="7" t="str">
        <f>IFERROR(__xludf.DUMMYFUNCTION("""COMPUTED_VALUE"""),"PE0276")</f>
        <v>PE0276</v>
      </c>
      <c r="B277" s="7" t="str">
        <f>IFERROR(__xludf.DUMMYFUNCTION("""COMPUTED_VALUE"""),"S037")</f>
        <v>S037</v>
      </c>
      <c r="C277" s="7" t="str">
        <f>IFERROR(__xludf.DUMMYFUNCTION("""COMPUTED_VALUE"""),"Browser Storage (LocalStorage, SessionStorage, IndexedDB)")</f>
        <v>Browser Storage (LocalStorage, SessionStorage, IndexedDB)</v>
      </c>
      <c r="D277" s="7" t="str">
        <f>IFERROR(__xludf.DUMMYFUNCTION("""COMPUTED_VALUE"""),"S048")</f>
        <v>S048</v>
      </c>
      <c r="E277" s="7" t="str">
        <f>IFERROR(__xludf.DUMMYFUNCTION("""COMPUTED_VALUE"""),"CSS Preprocessors (Sass / SCSS)")</f>
        <v>CSS Preprocessors (Sass / SCSS)</v>
      </c>
      <c r="F277" s="7" t="str">
        <f>IFERROR(__xludf.DUMMYFUNCTION("""COMPUTED_VALUE"""),"S037 unlocks S048")</f>
        <v>S037 unlocks S048</v>
      </c>
    </row>
    <row r="278">
      <c r="A278" s="7" t="str">
        <f>IFERROR(__xludf.DUMMYFUNCTION("""COMPUTED_VALUE"""),"PE0277")</f>
        <v>PE0277</v>
      </c>
      <c r="B278" s="7" t="str">
        <f>IFERROR(__xludf.DUMMYFUNCTION("""COMPUTED_VALUE"""),"S037")</f>
        <v>S037</v>
      </c>
      <c r="C278" s="7" t="str">
        <f>IFERROR(__xludf.DUMMYFUNCTION("""COMPUTED_VALUE"""),"Browser Storage (LocalStorage, SessionStorage, IndexedDB)")</f>
        <v>Browser Storage (LocalStorage, SessionStorage, IndexedDB)</v>
      </c>
      <c r="D278" s="7" t="str">
        <f>IFERROR(__xludf.DUMMYFUNCTION("""COMPUTED_VALUE"""),"S050")</f>
        <v>S050</v>
      </c>
      <c r="E278" s="7" t="str">
        <f>IFERROR(__xludf.DUMMYFUNCTION("""COMPUTED_VALUE"""),"Module Bundlers &amp; Build Tools (Vite, Webpack, Rollup)")</f>
        <v>Module Bundlers &amp; Build Tools (Vite, Webpack, Rollup)</v>
      </c>
      <c r="F278" s="7" t="str">
        <f>IFERROR(__xludf.DUMMYFUNCTION("""COMPUTED_VALUE"""),"S037 unlocks S050")</f>
        <v>S037 unlocks S050</v>
      </c>
    </row>
    <row r="279">
      <c r="A279" s="7" t="str">
        <f>IFERROR(__xludf.DUMMYFUNCTION("""COMPUTED_VALUE"""),"PE0278")</f>
        <v>PE0278</v>
      </c>
      <c r="B279" s="7" t="str">
        <f>IFERROR(__xludf.DUMMYFUNCTION("""COMPUTED_VALUE"""),"S037")</f>
        <v>S037</v>
      </c>
      <c r="C279" s="7" t="str">
        <f>IFERROR(__xludf.DUMMYFUNCTION("""COMPUTED_VALUE"""),"Browser Storage (LocalStorage, SessionStorage, IndexedDB)")</f>
        <v>Browser Storage (LocalStorage, SessionStorage, IndexedDB)</v>
      </c>
      <c r="D279" s="7" t="str">
        <f>IFERROR(__xludf.DUMMYFUNCTION("""COMPUTED_VALUE"""),"S053")</f>
        <v>S053</v>
      </c>
      <c r="E279" s="7" t="str">
        <f>IFERROR(__xludf.DUMMYFUNCTION("""COMPUTED_VALUE"""),"Web Accessibility (WCAG / ARIA / a11y)")</f>
        <v>Web Accessibility (WCAG / ARIA / a11y)</v>
      </c>
      <c r="F279" s="7" t="str">
        <f>IFERROR(__xludf.DUMMYFUNCTION("""COMPUTED_VALUE"""),"S037 unlocks S053")</f>
        <v>S037 unlocks S053</v>
      </c>
    </row>
    <row r="280">
      <c r="A280" s="7" t="str">
        <f>IFERROR(__xludf.DUMMYFUNCTION("""COMPUTED_VALUE"""),"PE0279")</f>
        <v>PE0279</v>
      </c>
      <c r="B280" s="7" t="str">
        <f>IFERROR(__xludf.DUMMYFUNCTION("""COMPUTED_VALUE"""),"S037")</f>
        <v>S037</v>
      </c>
      <c r="C280" s="7" t="str">
        <f>IFERROR(__xludf.DUMMYFUNCTION("""COMPUTED_VALUE"""),"Browser Storage (LocalStorage, SessionStorage, IndexedDB)")</f>
        <v>Browser Storage (LocalStorage, SessionStorage, IndexedDB)</v>
      </c>
      <c r="D280" s="7" t="str">
        <f>IFERROR(__xludf.DUMMYFUNCTION("""COMPUTED_VALUE"""),"S057")</f>
        <v>S057</v>
      </c>
      <c r="E280" s="7" t="str">
        <f>IFERROR(__xludf.DUMMYFUNCTION("""COMPUTED_VALUE"""),"Data Visualization &amp; Charting (D3.js, Recharts, Chart.js)")</f>
        <v>Data Visualization &amp; Charting (D3.js, Recharts, Chart.js)</v>
      </c>
      <c r="F280" s="7" t="str">
        <f>IFERROR(__xludf.DUMMYFUNCTION("""COMPUTED_VALUE"""),"S037 unlocks S057")</f>
        <v>S037 unlocks S057</v>
      </c>
    </row>
    <row r="281">
      <c r="A281" s="7" t="str">
        <f>IFERROR(__xludf.DUMMYFUNCTION("""COMPUTED_VALUE"""),"PE0280")</f>
        <v>PE0280</v>
      </c>
      <c r="B281" s="7" t="str">
        <f>IFERROR(__xludf.DUMMYFUNCTION("""COMPUTED_VALUE"""),"S037")</f>
        <v>S037</v>
      </c>
      <c r="C281" s="7" t="str">
        <f>IFERROR(__xludf.DUMMYFUNCTION("""COMPUTED_VALUE"""),"Browser Storage (LocalStorage, SessionStorage, IndexedDB)")</f>
        <v>Browser Storage (LocalStorage, SessionStorage, IndexedDB)</v>
      </c>
      <c r="D281" s="7" t="str">
        <f>IFERROR(__xludf.DUMMYFUNCTION("""COMPUTED_VALUE"""),"S059")</f>
        <v>S059</v>
      </c>
      <c r="E281" s="7" t="str">
        <f>IFERROR(__xludf.DUMMYFUNCTION("""COMPUTED_VALUE"""),"Frontend Unit &amp; Component Testing (Jest, Vitest, RTL)")</f>
        <v>Frontend Unit &amp; Component Testing (Jest, Vitest, RTL)</v>
      </c>
      <c r="F281" s="7" t="str">
        <f>IFERROR(__xludf.DUMMYFUNCTION("""COMPUTED_VALUE"""),"S037 unlocks S059")</f>
        <v>S037 unlocks S059</v>
      </c>
    </row>
    <row r="282">
      <c r="A282" s="7" t="str">
        <f>IFERROR(__xludf.DUMMYFUNCTION("""COMPUTED_VALUE"""),"PE0281")</f>
        <v>PE0281</v>
      </c>
      <c r="B282" s="7" t="str">
        <f>IFERROR(__xludf.DUMMYFUNCTION("""COMPUTED_VALUE"""),"S037")</f>
        <v>S037</v>
      </c>
      <c r="C282" s="7" t="str">
        <f>IFERROR(__xludf.DUMMYFUNCTION("""COMPUTED_VALUE"""),"Browser Storage (LocalStorage, SessionStorage, IndexedDB)")</f>
        <v>Browser Storage (LocalStorage, SessionStorage, IndexedDB)</v>
      </c>
      <c r="D282" s="7" t="str">
        <f>IFERROR(__xludf.DUMMYFUNCTION("""COMPUTED_VALUE"""),"S060")</f>
        <v>S060</v>
      </c>
      <c r="E282" s="7" t="str">
        <f>IFERROR(__xludf.DUMMYFUNCTION("""COMPUTED_VALUE"""),"End-to-End Browser Testing (Cypress, Playwright)")</f>
        <v>End-to-End Browser Testing (Cypress, Playwright)</v>
      </c>
      <c r="F282" s="7" t="str">
        <f>IFERROR(__xludf.DUMMYFUNCTION("""COMPUTED_VALUE"""),"S037 unlocks S060")</f>
        <v>S037 unlocks S060</v>
      </c>
    </row>
    <row r="283">
      <c r="A283" s="7" t="str">
        <f>IFERROR(__xludf.DUMMYFUNCTION("""COMPUTED_VALUE"""),"PE0282")</f>
        <v>PE0282</v>
      </c>
      <c r="B283" s="7" t="str">
        <f>IFERROR(__xludf.DUMMYFUNCTION("""COMPUTED_VALUE"""),"S037")</f>
        <v>S037</v>
      </c>
      <c r="C283" s="7" t="str">
        <f>IFERROR(__xludf.DUMMYFUNCTION("""COMPUTED_VALUE"""),"Browser Storage (LocalStorage, SessionStorage, IndexedDB)")</f>
        <v>Browser Storage (LocalStorage, SessionStorage, IndexedDB)</v>
      </c>
      <c r="D283" s="7" t="str">
        <f>IFERROR(__xludf.DUMMYFUNCTION("""COMPUTED_VALUE"""),"S063")</f>
        <v>S063</v>
      </c>
      <c r="E283" s="7" t="str">
        <f>IFERROR(__xludf.DUMMYFUNCTION("""COMPUTED_VALUE"""),"User Research, Personas &amp; Usability Testing")</f>
        <v>User Research, Personas &amp; Usability Testing</v>
      </c>
      <c r="F283" s="7" t="str">
        <f>IFERROR(__xludf.DUMMYFUNCTION("""COMPUTED_VALUE"""),"S037 unlocks S063")</f>
        <v>S037 unlocks S063</v>
      </c>
    </row>
    <row r="284">
      <c r="A284" s="7" t="str">
        <f>IFERROR(__xludf.DUMMYFUNCTION("""COMPUTED_VALUE"""),"PE0283")</f>
        <v>PE0283</v>
      </c>
      <c r="B284" s="7" t="str">
        <f>IFERROR(__xludf.DUMMYFUNCTION("""COMPUTED_VALUE"""),"S037")</f>
        <v>S037</v>
      </c>
      <c r="C284" s="7" t="str">
        <f>IFERROR(__xludf.DUMMYFUNCTION("""COMPUTED_VALUE"""),"Browser Storage (LocalStorage, SessionStorage, IndexedDB)")</f>
        <v>Browser Storage (LocalStorage, SessionStorage, IndexedDB)</v>
      </c>
      <c r="D284" s="7" t="str">
        <f>IFERROR(__xludf.DUMMYFUNCTION("""COMPUTED_VALUE"""),"S064")</f>
        <v>S064</v>
      </c>
      <c r="E284" s="7" t="str">
        <f>IFERROR(__xludf.DUMMYFUNCTION("""COMPUTED_VALUE"""),"Information Architecture &amp; User Flows")</f>
        <v>Information Architecture &amp; User Flows</v>
      </c>
      <c r="F284" s="7" t="str">
        <f>IFERROR(__xludf.DUMMYFUNCTION("""COMPUTED_VALUE"""),"S037 unlocks S064")</f>
        <v>S037 unlocks S064</v>
      </c>
    </row>
    <row r="285">
      <c r="A285" s="7" t="str">
        <f>IFERROR(__xludf.DUMMYFUNCTION("""COMPUTED_VALUE"""),"PE0284")</f>
        <v>PE0284</v>
      </c>
      <c r="B285" s="7" t="str">
        <f>IFERROR(__xludf.DUMMYFUNCTION("""COMPUTED_VALUE"""),"S049")</f>
        <v>S049</v>
      </c>
      <c r="C285" s="7" t="str">
        <f>IFERROR(__xludf.DUMMYFUNCTION("""COMPUTED_VALUE"""),"Component Libraries (Material UI, Shadcn UI, Bootstrap)")</f>
        <v>Component Libraries (Material UI, Shadcn UI, Bootstrap)</v>
      </c>
      <c r="D285" s="7" t="str">
        <f>IFERROR(__xludf.DUMMYFUNCTION("""COMPUTED_VALUE"""),"S035")</f>
        <v>S035</v>
      </c>
      <c r="E285" s="7" t="str">
        <f>IFERROR(__xludf.DUMMYFUNCTION("""COMPUTED_VALUE"""),"Asynchronous JavaScript (Promises, Async/Await)")</f>
        <v>Asynchronous JavaScript (Promises, Async/Await)</v>
      </c>
      <c r="F285" s="7" t="str">
        <f>IFERROR(__xludf.DUMMYFUNCTION("""COMPUTED_VALUE"""),"S049 unlocks S035")</f>
        <v>S049 unlocks S035</v>
      </c>
    </row>
    <row r="286">
      <c r="A286" s="7" t="str">
        <f>IFERROR(__xludf.DUMMYFUNCTION("""COMPUTED_VALUE"""),"PE0285")</f>
        <v>PE0285</v>
      </c>
      <c r="B286" s="7" t="str">
        <f>IFERROR(__xludf.DUMMYFUNCTION("""COMPUTED_VALUE"""),"S049")</f>
        <v>S049</v>
      </c>
      <c r="C286" s="7" t="str">
        <f>IFERROR(__xludf.DUMMYFUNCTION("""COMPUTED_VALUE"""),"Component Libraries (Material UI, Shadcn UI, Bootstrap)")</f>
        <v>Component Libraries (Material UI, Shadcn UI, Bootstrap)</v>
      </c>
      <c r="D286" s="7" t="str">
        <f>IFERROR(__xludf.DUMMYFUNCTION("""COMPUTED_VALUE"""),"S038")</f>
        <v>S038</v>
      </c>
      <c r="E286" s="7" t="str">
        <f>IFERROR(__xludf.DUMMYFUNCTION("""COMPUTED_VALUE"""),"TypeScript &amp; Static Typing")</f>
        <v>TypeScript &amp; Static Typing</v>
      </c>
      <c r="F286" s="7" t="str">
        <f>IFERROR(__xludf.DUMMYFUNCTION("""COMPUTED_VALUE"""),"S049 unlocks S038")</f>
        <v>S049 unlocks S038</v>
      </c>
    </row>
    <row r="287">
      <c r="A287" s="7" t="str">
        <f>IFERROR(__xludf.DUMMYFUNCTION("""COMPUTED_VALUE"""),"PE0286")</f>
        <v>PE0286</v>
      </c>
      <c r="B287" s="7" t="str">
        <f>IFERROR(__xludf.DUMMYFUNCTION("""COMPUTED_VALUE"""),"S049")</f>
        <v>S049</v>
      </c>
      <c r="C287" s="7" t="str">
        <f>IFERROR(__xludf.DUMMYFUNCTION("""COMPUTED_VALUE"""),"Component Libraries (Material UI, Shadcn UI, Bootstrap)")</f>
        <v>Component Libraries (Material UI, Shadcn UI, Bootstrap)</v>
      </c>
      <c r="D287" s="7" t="str">
        <f>IFERROR(__xludf.DUMMYFUNCTION("""COMPUTED_VALUE"""),"S039")</f>
        <v>S039</v>
      </c>
      <c r="E287" s="7" t="str">
        <f>IFERROR(__xludf.DUMMYFUNCTION("""COMPUTED_VALUE"""),"React.js &amp; Hooks Architecture")</f>
        <v>React.js &amp; Hooks Architecture</v>
      </c>
      <c r="F287" s="7" t="str">
        <f>IFERROR(__xludf.DUMMYFUNCTION("""COMPUTED_VALUE"""),"S049 unlocks S039")</f>
        <v>S049 unlocks S039</v>
      </c>
    </row>
    <row r="288">
      <c r="A288" s="7" t="str">
        <f>IFERROR(__xludf.DUMMYFUNCTION("""COMPUTED_VALUE"""),"PE0287")</f>
        <v>PE0287</v>
      </c>
      <c r="B288" s="7" t="str">
        <f>IFERROR(__xludf.DUMMYFUNCTION("""COMPUTED_VALUE"""),"S049")</f>
        <v>S049</v>
      </c>
      <c r="C288" s="7" t="str">
        <f>IFERROR(__xludf.DUMMYFUNCTION("""COMPUTED_VALUE"""),"Component Libraries (Material UI, Shadcn UI, Bootstrap)")</f>
        <v>Component Libraries (Material UI, Shadcn UI, Bootstrap)</v>
      </c>
      <c r="D288" s="7" t="str">
        <f>IFERROR(__xludf.DUMMYFUNCTION("""COMPUTED_VALUE"""),"S040")</f>
        <v>S040</v>
      </c>
      <c r="E288" s="7" t="str">
        <f>IFERROR(__xludf.DUMMYFUNCTION("""COMPUTED_VALUE"""),"Angular Framework &amp; RxJS")</f>
        <v>Angular Framework &amp; RxJS</v>
      </c>
      <c r="F288" s="7" t="str">
        <f>IFERROR(__xludf.DUMMYFUNCTION("""COMPUTED_VALUE"""),"S049 unlocks S040")</f>
        <v>S049 unlocks S040</v>
      </c>
    </row>
    <row r="289">
      <c r="A289" s="7" t="str">
        <f>IFERROR(__xludf.DUMMYFUNCTION("""COMPUTED_VALUE"""),"PE0288")</f>
        <v>PE0288</v>
      </c>
      <c r="B289" s="7" t="str">
        <f>IFERROR(__xludf.DUMMYFUNCTION("""COMPUTED_VALUE"""),"S049")</f>
        <v>S049</v>
      </c>
      <c r="C289" s="7" t="str">
        <f>IFERROR(__xludf.DUMMYFUNCTION("""COMPUTED_VALUE"""),"Component Libraries (Material UI, Shadcn UI, Bootstrap)")</f>
        <v>Component Libraries (Material UI, Shadcn UI, Bootstrap)</v>
      </c>
      <c r="D289" s="7" t="str">
        <f>IFERROR(__xludf.DUMMYFUNCTION("""COMPUTED_VALUE"""),"S041")</f>
        <v>S041</v>
      </c>
      <c r="E289" s="7" t="str">
        <f>IFERROR(__xludf.DUMMYFUNCTION("""COMPUTED_VALUE"""),"Vue.js &amp; Composition API")</f>
        <v>Vue.js &amp; Composition API</v>
      </c>
      <c r="F289" s="7" t="str">
        <f>IFERROR(__xludf.DUMMYFUNCTION("""COMPUTED_VALUE"""),"S049 unlocks S041")</f>
        <v>S049 unlocks S041</v>
      </c>
    </row>
    <row r="290">
      <c r="A290" s="7" t="str">
        <f>IFERROR(__xludf.DUMMYFUNCTION("""COMPUTED_VALUE"""),"PE0289")</f>
        <v>PE0289</v>
      </c>
      <c r="B290" s="7" t="str">
        <f>IFERROR(__xludf.DUMMYFUNCTION("""COMPUTED_VALUE"""),"S049")</f>
        <v>S049</v>
      </c>
      <c r="C290" s="7" t="str">
        <f>IFERROR(__xludf.DUMMYFUNCTION("""COMPUTED_VALUE"""),"Component Libraries (Material UI, Shadcn UI, Bootstrap)")</f>
        <v>Component Libraries (Material UI, Shadcn UI, Bootstrap)</v>
      </c>
      <c r="D290" s="7" t="str">
        <f>IFERROR(__xludf.DUMMYFUNCTION("""COMPUTED_VALUE"""),"S042")</f>
        <v>S042</v>
      </c>
      <c r="E290" s="7" t="str">
        <f>IFERROR(__xludf.DUMMYFUNCTION("""COMPUTED_VALUE"""),"Svelte &amp; SvelteKit")</f>
        <v>Svelte &amp; SvelteKit</v>
      </c>
      <c r="F290" s="7" t="str">
        <f>IFERROR(__xludf.DUMMYFUNCTION("""COMPUTED_VALUE"""),"S049 unlocks S042")</f>
        <v>S049 unlocks S042</v>
      </c>
    </row>
    <row r="291">
      <c r="A291" s="7" t="str">
        <f>IFERROR(__xludf.DUMMYFUNCTION("""COMPUTED_VALUE"""),"PE0290")</f>
        <v>PE0290</v>
      </c>
      <c r="B291" s="7" t="str">
        <f>IFERROR(__xludf.DUMMYFUNCTION("""COMPUTED_VALUE"""),"S049")</f>
        <v>S049</v>
      </c>
      <c r="C291" s="7" t="str">
        <f>IFERROR(__xludf.DUMMYFUNCTION("""COMPUTED_VALUE"""),"Component Libraries (Material UI, Shadcn UI, Bootstrap)")</f>
        <v>Component Libraries (Material UI, Shadcn UI, Bootstrap)</v>
      </c>
      <c r="D291" s="7" t="str">
        <f>IFERROR(__xludf.DUMMYFUNCTION("""COMPUTED_VALUE"""),"S046")</f>
        <v>S046</v>
      </c>
      <c r="E291" s="7" t="str">
        <f>IFERROR(__xludf.DUMMYFUNCTION("""COMPUTED_VALUE"""),"Data Fetching &amp; Caching (TanStack React Query, SWR)")</f>
        <v>Data Fetching &amp; Caching (TanStack React Query, SWR)</v>
      </c>
      <c r="F291" s="7" t="str">
        <f>IFERROR(__xludf.DUMMYFUNCTION("""COMPUTED_VALUE"""),"S049 unlocks S046")</f>
        <v>S049 unlocks S046</v>
      </c>
    </row>
    <row r="292">
      <c r="A292" s="7" t="str">
        <f>IFERROR(__xludf.DUMMYFUNCTION("""COMPUTED_VALUE"""),"PE0291")</f>
        <v>PE0291</v>
      </c>
      <c r="B292" s="7" t="str">
        <f>IFERROR(__xludf.DUMMYFUNCTION("""COMPUTED_VALUE"""),"S049")</f>
        <v>S049</v>
      </c>
      <c r="C292" s="7" t="str">
        <f>IFERROR(__xludf.DUMMYFUNCTION("""COMPUTED_VALUE"""),"Component Libraries (Material UI, Shadcn UI, Bootstrap)")</f>
        <v>Component Libraries (Material UI, Shadcn UI, Bootstrap)</v>
      </c>
      <c r="D292" s="7" t="str">
        <f>IFERROR(__xludf.DUMMYFUNCTION("""COMPUTED_VALUE"""),"S047")</f>
        <v>S047</v>
      </c>
      <c r="E292" s="7" t="str">
        <f>IFERROR(__xludf.DUMMYFUNCTION("""COMPUTED_VALUE"""),"Tailwind CSS Utility Styling")</f>
        <v>Tailwind CSS Utility Styling</v>
      </c>
      <c r="F292" s="7" t="str">
        <f>IFERROR(__xludf.DUMMYFUNCTION("""COMPUTED_VALUE"""),"S049 unlocks S047")</f>
        <v>S049 unlocks S047</v>
      </c>
    </row>
    <row r="293">
      <c r="A293" s="7" t="str">
        <f>IFERROR(__xludf.DUMMYFUNCTION("""COMPUTED_VALUE"""),"PE0292")</f>
        <v>PE0292</v>
      </c>
      <c r="B293" s="7" t="str">
        <f>IFERROR(__xludf.DUMMYFUNCTION("""COMPUTED_VALUE"""),"S049")</f>
        <v>S049</v>
      </c>
      <c r="C293" s="7" t="str">
        <f>IFERROR(__xludf.DUMMYFUNCTION("""COMPUTED_VALUE"""),"Component Libraries (Material UI, Shadcn UI, Bootstrap)")</f>
        <v>Component Libraries (Material UI, Shadcn UI, Bootstrap)</v>
      </c>
      <c r="D293" s="7" t="str">
        <f>IFERROR(__xludf.DUMMYFUNCTION("""COMPUTED_VALUE"""),"S048")</f>
        <v>S048</v>
      </c>
      <c r="E293" s="7" t="str">
        <f>IFERROR(__xludf.DUMMYFUNCTION("""COMPUTED_VALUE"""),"CSS Preprocessors (Sass / SCSS)")</f>
        <v>CSS Preprocessors (Sass / SCSS)</v>
      </c>
      <c r="F293" s="7" t="str">
        <f>IFERROR(__xludf.DUMMYFUNCTION("""COMPUTED_VALUE"""),"S049 unlocks S048")</f>
        <v>S049 unlocks S048</v>
      </c>
    </row>
    <row r="294">
      <c r="A294" s="7" t="str">
        <f>IFERROR(__xludf.DUMMYFUNCTION("""COMPUTED_VALUE"""),"PE0293")</f>
        <v>PE0293</v>
      </c>
      <c r="B294" s="7" t="str">
        <f>IFERROR(__xludf.DUMMYFUNCTION("""COMPUTED_VALUE"""),"S049")</f>
        <v>S049</v>
      </c>
      <c r="C294" s="7" t="str">
        <f>IFERROR(__xludf.DUMMYFUNCTION("""COMPUTED_VALUE"""),"Component Libraries (Material UI, Shadcn UI, Bootstrap)")</f>
        <v>Component Libraries (Material UI, Shadcn UI, Bootstrap)</v>
      </c>
      <c r="D294" s="7" t="str">
        <f>IFERROR(__xludf.DUMMYFUNCTION("""COMPUTED_VALUE"""),"S050")</f>
        <v>S050</v>
      </c>
      <c r="E294" s="7" t="str">
        <f>IFERROR(__xludf.DUMMYFUNCTION("""COMPUTED_VALUE"""),"Module Bundlers &amp; Build Tools (Vite, Webpack, Rollup)")</f>
        <v>Module Bundlers &amp; Build Tools (Vite, Webpack, Rollup)</v>
      </c>
      <c r="F294" s="7" t="str">
        <f>IFERROR(__xludf.DUMMYFUNCTION("""COMPUTED_VALUE"""),"S049 unlocks S050")</f>
        <v>S049 unlocks S050</v>
      </c>
    </row>
    <row r="295">
      <c r="A295" s="7" t="str">
        <f>IFERROR(__xludf.DUMMYFUNCTION("""COMPUTED_VALUE"""),"PE0294")</f>
        <v>PE0294</v>
      </c>
      <c r="B295" s="7" t="str">
        <f>IFERROR(__xludf.DUMMYFUNCTION("""COMPUTED_VALUE"""),"S049")</f>
        <v>S049</v>
      </c>
      <c r="C295" s="7" t="str">
        <f>IFERROR(__xludf.DUMMYFUNCTION("""COMPUTED_VALUE"""),"Component Libraries (Material UI, Shadcn UI, Bootstrap)")</f>
        <v>Component Libraries (Material UI, Shadcn UI, Bootstrap)</v>
      </c>
      <c r="D295" s="7" t="str">
        <f>IFERROR(__xludf.DUMMYFUNCTION("""COMPUTED_VALUE"""),"S053")</f>
        <v>S053</v>
      </c>
      <c r="E295" s="7" t="str">
        <f>IFERROR(__xludf.DUMMYFUNCTION("""COMPUTED_VALUE"""),"Web Accessibility (WCAG / ARIA / a11y)")</f>
        <v>Web Accessibility (WCAG / ARIA / a11y)</v>
      </c>
      <c r="F295" s="7" t="str">
        <f>IFERROR(__xludf.DUMMYFUNCTION("""COMPUTED_VALUE"""),"S049 unlocks S053")</f>
        <v>S049 unlocks S053</v>
      </c>
    </row>
    <row r="296">
      <c r="A296" s="7" t="str">
        <f>IFERROR(__xludf.DUMMYFUNCTION("""COMPUTED_VALUE"""),"PE0295")</f>
        <v>PE0295</v>
      </c>
      <c r="B296" s="7" t="str">
        <f>IFERROR(__xludf.DUMMYFUNCTION("""COMPUTED_VALUE"""),"S049")</f>
        <v>S049</v>
      </c>
      <c r="C296" s="7" t="str">
        <f>IFERROR(__xludf.DUMMYFUNCTION("""COMPUTED_VALUE"""),"Component Libraries (Material UI, Shadcn UI, Bootstrap)")</f>
        <v>Component Libraries (Material UI, Shadcn UI, Bootstrap)</v>
      </c>
      <c r="D296" s="7" t="str">
        <f>IFERROR(__xludf.DUMMYFUNCTION("""COMPUTED_VALUE"""),"S057")</f>
        <v>S057</v>
      </c>
      <c r="E296" s="7" t="str">
        <f>IFERROR(__xludf.DUMMYFUNCTION("""COMPUTED_VALUE"""),"Data Visualization &amp; Charting (D3.js, Recharts, Chart.js)")</f>
        <v>Data Visualization &amp; Charting (D3.js, Recharts, Chart.js)</v>
      </c>
      <c r="F296" s="7" t="str">
        <f>IFERROR(__xludf.DUMMYFUNCTION("""COMPUTED_VALUE"""),"S049 unlocks S057")</f>
        <v>S049 unlocks S057</v>
      </c>
    </row>
    <row r="297">
      <c r="A297" s="7" t="str">
        <f>IFERROR(__xludf.DUMMYFUNCTION("""COMPUTED_VALUE"""),"PE0296")</f>
        <v>PE0296</v>
      </c>
      <c r="B297" s="7" t="str">
        <f>IFERROR(__xludf.DUMMYFUNCTION("""COMPUTED_VALUE"""),"S049")</f>
        <v>S049</v>
      </c>
      <c r="C297" s="7" t="str">
        <f>IFERROR(__xludf.DUMMYFUNCTION("""COMPUTED_VALUE"""),"Component Libraries (Material UI, Shadcn UI, Bootstrap)")</f>
        <v>Component Libraries (Material UI, Shadcn UI, Bootstrap)</v>
      </c>
      <c r="D297" s="7" t="str">
        <f>IFERROR(__xludf.DUMMYFUNCTION("""COMPUTED_VALUE"""),"S059")</f>
        <v>S059</v>
      </c>
      <c r="E297" s="7" t="str">
        <f>IFERROR(__xludf.DUMMYFUNCTION("""COMPUTED_VALUE"""),"Frontend Unit &amp; Component Testing (Jest, Vitest, RTL)")</f>
        <v>Frontend Unit &amp; Component Testing (Jest, Vitest, RTL)</v>
      </c>
      <c r="F297" s="7" t="str">
        <f>IFERROR(__xludf.DUMMYFUNCTION("""COMPUTED_VALUE"""),"S049 unlocks S059")</f>
        <v>S049 unlocks S059</v>
      </c>
    </row>
    <row r="298">
      <c r="A298" s="7" t="str">
        <f>IFERROR(__xludf.DUMMYFUNCTION("""COMPUTED_VALUE"""),"PE0297")</f>
        <v>PE0297</v>
      </c>
      <c r="B298" s="7" t="str">
        <f>IFERROR(__xludf.DUMMYFUNCTION("""COMPUTED_VALUE"""),"S049")</f>
        <v>S049</v>
      </c>
      <c r="C298" s="7" t="str">
        <f>IFERROR(__xludf.DUMMYFUNCTION("""COMPUTED_VALUE"""),"Component Libraries (Material UI, Shadcn UI, Bootstrap)")</f>
        <v>Component Libraries (Material UI, Shadcn UI, Bootstrap)</v>
      </c>
      <c r="D298" s="7" t="str">
        <f>IFERROR(__xludf.DUMMYFUNCTION("""COMPUTED_VALUE"""),"S060")</f>
        <v>S060</v>
      </c>
      <c r="E298" s="7" t="str">
        <f>IFERROR(__xludf.DUMMYFUNCTION("""COMPUTED_VALUE"""),"End-to-End Browser Testing (Cypress, Playwright)")</f>
        <v>End-to-End Browser Testing (Cypress, Playwright)</v>
      </c>
      <c r="F298" s="7" t="str">
        <f>IFERROR(__xludf.DUMMYFUNCTION("""COMPUTED_VALUE"""),"S049 unlocks S060")</f>
        <v>S049 unlocks S060</v>
      </c>
    </row>
    <row r="299">
      <c r="A299" s="7" t="str">
        <f>IFERROR(__xludf.DUMMYFUNCTION("""COMPUTED_VALUE"""),"PE0298")</f>
        <v>PE0298</v>
      </c>
      <c r="B299" s="7" t="str">
        <f>IFERROR(__xludf.DUMMYFUNCTION("""COMPUTED_VALUE"""),"S049")</f>
        <v>S049</v>
      </c>
      <c r="C299" s="7" t="str">
        <f>IFERROR(__xludf.DUMMYFUNCTION("""COMPUTED_VALUE"""),"Component Libraries (Material UI, Shadcn UI, Bootstrap)")</f>
        <v>Component Libraries (Material UI, Shadcn UI, Bootstrap)</v>
      </c>
      <c r="D299" s="7" t="str">
        <f>IFERROR(__xludf.DUMMYFUNCTION("""COMPUTED_VALUE"""),"S063")</f>
        <v>S063</v>
      </c>
      <c r="E299" s="7" t="str">
        <f>IFERROR(__xludf.DUMMYFUNCTION("""COMPUTED_VALUE"""),"User Research, Personas &amp; Usability Testing")</f>
        <v>User Research, Personas &amp; Usability Testing</v>
      </c>
      <c r="F299" s="7" t="str">
        <f>IFERROR(__xludf.DUMMYFUNCTION("""COMPUTED_VALUE"""),"S049 unlocks S063")</f>
        <v>S049 unlocks S063</v>
      </c>
    </row>
    <row r="300">
      <c r="A300" s="7" t="str">
        <f>IFERROR(__xludf.DUMMYFUNCTION("""COMPUTED_VALUE"""),"PE0299")</f>
        <v>PE0299</v>
      </c>
      <c r="B300" s="7" t="str">
        <f>IFERROR(__xludf.DUMMYFUNCTION("""COMPUTED_VALUE"""),"S049")</f>
        <v>S049</v>
      </c>
      <c r="C300" s="7" t="str">
        <f>IFERROR(__xludf.DUMMYFUNCTION("""COMPUTED_VALUE"""),"Component Libraries (Material UI, Shadcn UI, Bootstrap)")</f>
        <v>Component Libraries (Material UI, Shadcn UI, Bootstrap)</v>
      </c>
      <c r="D300" s="7" t="str">
        <f>IFERROR(__xludf.DUMMYFUNCTION("""COMPUTED_VALUE"""),"S064")</f>
        <v>S064</v>
      </c>
      <c r="E300" s="7" t="str">
        <f>IFERROR(__xludf.DUMMYFUNCTION("""COMPUTED_VALUE"""),"Information Architecture &amp; User Flows")</f>
        <v>Information Architecture &amp; User Flows</v>
      </c>
      <c r="F300" s="7" t="str">
        <f>IFERROR(__xludf.DUMMYFUNCTION("""COMPUTED_VALUE"""),"S049 unlocks S064")</f>
        <v>S049 unlocks S064</v>
      </c>
    </row>
    <row r="301">
      <c r="A301" s="7" t="str">
        <f>IFERROR(__xludf.DUMMYFUNCTION("""COMPUTED_VALUE"""),"PE0300")</f>
        <v>PE0300</v>
      </c>
      <c r="B301" s="7" t="str">
        <f>IFERROR(__xludf.DUMMYFUNCTION("""COMPUTED_VALUE"""),"S051")</f>
        <v>S051</v>
      </c>
      <c r="C301" s="7" t="str">
        <f>IFERROR(__xludf.DUMMYFUNCTION("""COMPUTED_VALUE"""),"Package Managers (npm, yarn, pnpm)")</f>
        <v>Package Managers (npm, yarn, pnpm)</v>
      </c>
      <c r="D301" s="7" t="str">
        <f>IFERROR(__xludf.DUMMYFUNCTION("""COMPUTED_VALUE"""),"S035")</f>
        <v>S035</v>
      </c>
      <c r="E301" s="7" t="str">
        <f>IFERROR(__xludf.DUMMYFUNCTION("""COMPUTED_VALUE"""),"Asynchronous JavaScript (Promises, Async/Await)")</f>
        <v>Asynchronous JavaScript (Promises, Async/Await)</v>
      </c>
      <c r="F301" s="7" t="str">
        <f>IFERROR(__xludf.DUMMYFUNCTION("""COMPUTED_VALUE"""),"S051 unlocks S035")</f>
        <v>S051 unlocks S035</v>
      </c>
    </row>
    <row r="302">
      <c r="A302" s="7" t="str">
        <f>IFERROR(__xludf.DUMMYFUNCTION("""COMPUTED_VALUE"""),"PE0301")</f>
        <v>PE0301</v>
      </c>
      <c r="B302" s="7" t="str">
        <f>IFERROR(__xludf.DUMMYFUNCTION("""COMPUTED_VALUE"""),"S051")</f>
        <v>S051</v>
      </c>
      <c r="C302" s="7" t="str">
        <f>IFERROR(__xludf.DUMMYFUNCTION("""COMPUTED_VALUE"""),"Package Managers (npm, yarn, pnpm)")</f>
        <v>Package Managers (npm, yarn, pnpm)</v>
      </c>
      <c r="D302" s="7" t="str">
        <f>IFERROR(__xludf.DUMMYFUNCTION("""COMPUTED_VALUE"""),"S038")</f>
        <v>S038</v>
      </c>
      <c r="E302" s="7" t="str">
        <f>IFERROR(__xludf.DUMMYFUNCTION("""COMPUTED_VALUE"""),"TypeScript &amp; Static Typing")</f>
        <v>TypeScript &amp; Static Typing</v>
      </c>
      <c r="F302" s="7" t="str">
        <f>IFERROR(__xludf.DUMMYFUNCTION("""COMPUTED_VALUE"""),"S051 unlocks S038")</f>
        <v>S051 unlocks S038</v>
      </c>
    </row>
    <row r="303">
      <c r="A303" s="7" t="str">
        <f>IFERROR(__xludf.DUMMYFUNCTION("""COMPUTED_VALUE"""),"PE0302")</f>
        <v>PE0302</v>
      </c>
      <c r="B303" s="7" t="str">
        <f>IFERROR(__xludf.DUMMYFUNCTION("""COMPUTED_VALUE"""),"S051")</f>
        <v>S051</v>
      </c>
      <c r="C303" s="7" t="str">
        <f>IFERROR(__xludf.DUMMYFUNCTION("""COMPUTED_VALUE"""),"Package Managers (npm, yarn, pnpm)")</f>
        <v>Package Managers (npm, yarn, pnpm)</v>
      </c>
      <c r="D303" s="7" t="str">
        <f>IFERROR(__xludf.DUMMYFUNCTION("""COMPUTED_VALUE"""),"S039")</f>
        <v>S039</v>
      </c>
      <c r="E303" s="7" t="str">
        <f>IFERROR(__xludf.DUMMYFUNCTION("""COMPUTED_VALUE"""),"React.js &amp; Hooks Architecture")</f>
        <v>React.js &amp; Hooks Architecture</v>
      </c>
      <c r="F303" s="7" t="str">
        <f>IFERROR(__xludf.DUMMYFUNCTION("""COMPUTED_VALUE"""),"S051 unlocks S039")</f>
        <v>S051 unlocks S039</v>
      </c>
    </row>
    <row r="304">
      <c r="A304" s="7" t="str">
        <f>IFERROR(__xludf.DUMMYFUNCTION("""COMPUTED_VALUE"""),"PE0303")</f>
        <v>PE0303</v>
      </c>
      <c r="B304" s="7" t="str">
        <f>IFERROR(__xludf.DUMMYFUNCTION("""COMPUTED_VALUE"""),"S051")</f>
        <v>S051</v>
      </c>
      <c r="C304" s="7" t="str">
        <f>IFERROR(__xludf.DUMMYFUNCTION("""COMPUTED_VALUE"""),"Package Managers (npm, yarn, pnpm)")</f>
        <v>Package Managers (npm, yarn, pnpm)</v>
      </c>
      <c r="D304" s="7" t="str">
        <f>IFERROR(__xludf.DUMMYFUNCTION("""COMPUTED_VALUE"""),"S040")</f>
        <v>S040</v>
      </c>
      <c r="E304" s="7" t="str">
        <f>IFERROR(__xludf.DUMMYFUNCTION("""COMPUTED_VALUE"""),"Angular Framework &amp; RxJS")</f>
        <v>Angular Framework &amp; RxJS</v>
      </c>
      <c r="F304" s="7" t="str">
        <f>IFERROR(__xludf.DUMMYFUNCTION("""COMPUTED_VALUE"""),"S051 unlocks S040")</f>
        <v>S051 unlocks S040</v>
      </c>
    </row>
    <row r="305">
      <c r="A305" s="7" t="str">
        <f>IFERROR(__xludf.DUMMYFUNCTION("""COMPUTED_VALUE"""),"PE0304")</f>
        <v>PE0304</v>
      </c>
      <c r="B305" s="7" t="str">
        <f>IFERROR(__xludf.DUMMYFUNCTION("""COMPUTED_VALUE"""),"S051")</f>
        <v>S051</v>
      </c>
      <c r="C305" s="7" t="str">
        <f>IFERROR(__xludf.DUMMYFUNCTION("""COMPUTED_VALUE"""),"Package Managers (npm, yarn, pnpm)")</f>
        <v>Package Managers (npm, yarn, pnpm)</v>
      </c>
      <c r="D305" s="7" t="str">
        <f>IFERROR(__xludf.DUMMYFUNCTION("""COMPUTED_VALUE"""),"S041")</f>
        <v>S041</v>
      </c>
      <c r="E305" s="7" t="str">
        <f>IFERROR(__xludf.DUMMYFUNCTION("""COMPUTED_VALUE"""),"Vue.js &amp; Composition API")</f>
        <v>Vue.js &amp; Composition API</v>
      </c>
      <c r="F305" s="7" t="str">
        <f>IFERROR(__xludf.DUMMYFUNCTION("""COMPUTED_VALUE"""),"S051 unlocks S041")</f>
        <v>S051 unlocks S041</v>
      </c>
    </row>
    <row r="306">
      <c r="A306" s="7" t="str">
        <f>IFERROR(__xludf.DUMMYFUNCTION("""COMPUTED_VALUE"""),"PE0305")</f>
        <v>PE0305</v>
      </c>
      <c r="B306" s="7" t="str">
        <f>IFERROR(__xludf.DUMMYFUNCTION("""COMPUTED_VALUE"""),"S051")</f>
        <v>S051</v>
      </c>
      <c r="C306" s="7" t="str">
        <f>IFERROR(__xludf.DUMMYFUNCTION("""COMPUTED_VALUE"""),"Package Managers (npm, yarn, pnpm)")</f>
        <v>Package Managers (npm, yarn, pnpm)</v>
      </c>
      <c r="D306" s="7" t="str">
        <f>IFERROR(__xludf.DUMMYFUNCTION("""COMPUTED_VALUE"""),"S042")</f>
        <v>S042</v>
      </c>
      <c r="E306" s="7" t="str">
        <f>IFERROR(__xludf.DUMMYFUNCTION("""COMPUTED_VALUE"""),"Svelte &amp; SvelteKit")</f>
        <v>Svelte &amp; SvelteKit</v>
      </c>
      <c r="F306" s="7" t="str">
        <f>IFERROR(__xludf.DUMMYFUNCTION("""COMPUTED_VALUE"""),"S051 unlocks S042")</f>
        <v>S051 unlocks S042</v>
      </c>
    </row>
    <row r="307">
      <c r="A307" s="7" t="str">
        <f>IFERROR(__xludf.DUMMYFUNCTION("""COMPUTED_VALUE"""),"PE0306")</f>
        <v>PE0306</v>
      </c>
      <c r="B307" s="7" t="str">
        <f>IFERROR(__xludf.DUMMYFUNCTION("""COMPUTED_VALUE"""),"S051")</f>
        <v>S051</v>
      </c>
      <c r="C307" s="7" t="str">
        <f>IFERROR(__xludf.DUMMYFUNCTION("""COMPUTED_VALUE"""),"Package Managers (npm, yarn, pnpm)")</f>
        <v>Package Managers (npm, yarn, pnpm)</v>
      </c>
      <c r="D307" s="7" t="str">
        <f>IFERROR(__xludf.DUMMYFUNCTION("""COMPUTED_VALUE"""),"S046")</f>
        <v>S046</v>
      </c>
      <c r="E307" s="7" t="str">
        <f>IFERROR(__xludf.DUMMYFUNCTION("""COMPUTED_VALUE"""),"Data Fetching &amp; Caching (TanStack React Query, SWR)")</f>
        <v>Data Fetching &amp; Caching (TanStack React Query, SWR)</v>
      </c>
      <c r="F307" s="7" t="str">
        <f>IFERROR(__xludf.DUMMYFUNCTION("""COMPUTED_VALUE"""),"S051 unlocks S046")</f>
        <v>S051 unlocks S046</v>
      </c>
    </row>
    <row r="308">
      <c r="A308" s="7" t="str">
        <f>IFERROR(__xludf.DUMMYFUNCTION("""COMPUTED_VALUE"""),"PE0307")</f>
        <v>PE0307</v>
      </c>
      <c r="B308" s="7" t="str">
        <f>IFERROR(__xludf.DUMMYFUNCTION("""COMPUTED_VALUE"""),"S051")</f>
        <v>S051</v>
      </c>
      <c r="C308" s="7" t="str">
        <f>IFERROR(__xludf.DUMMYFUNCTION("""COMPUTED_VALUE"""),"Package Managers (npm, yarn, pnpm)")</f>
        <v>Package Managers (npm, yarn, pnpm)</v>
      </c>
      <c r="D308" s="7" t="str">
        <f>IFERROR(__xludf.DUMMYFUNCTION("""COMPUTED_VALUE"""),"S047")</f>
        <v>S047</v>
      </c>
      <c r="E308" s="7" t="str">
        <f>IFERROR(__xludf.DUMMYFUNCTION("""COMPUTED_VALUE"""),"Tailwind CSS Utility Styling")</f>
        <v>Tailwind CSS Utility Styling</v>
      </c>
      <c r="F308" s="7" t="str">
        <f>IFERROR(__xludf.DUMMYFUNCTION("""COMPUTED_VALUE"""),"S051 unlocks S047")</f>
        <v>S051 unlocks S047</v>
      </c>
    </row>
    <row r="309">
      <c r="A309" s="7" t="str">
        <f>IFERROR(__xludf.DUMMYFUNCTION("""COMPUTED_VALUE"""),"PE0308")</f>
        <v>PE0308</v>
      </c>
      <c r="B309" s="7" t="str">
        <f>IFERROR(__xludf.DUMMYFUNCTION("""COMPUTED_VALUE"""),"S051")</f>
        <v>S051</v>
      </c>
      <c r="C309" s="7" t="str">
        <f>IFERROR(__xludf.DUMMYFUNCTION("""COMPUTED_VALUE"""),"Package Managers (npm, yarn, pnpm)")</f>
        <v>Package Managers (npm, yarn, pnpm)</v>
      </c>
      <c r="D309" s="7" t="str">
        <f>IFERROR(__xludf.DUMMYFUNCTION("""COMPUTED_VALUE"""),"S048")</f>
        <v>S048</v>
      </c>
      <c r="E309" s="7" t="str">
        <f>IFERROR(__xludf.DUMMYFUNCTION("""COMPUTED_VALUE"""),"CSS Preprocessors (Sass / SCSS)")</f>
        <v>CSS Preprocessors (Sass / SCSS)</v>
      </c>
      <c r="F309" s="7" t="str">
        <f>IFERROR(__xludf.DUMMYFUNCTION("""COMPUTED_VALUE"""),"S051 unlocks S048")</f>
        <v>S051 unlocks S048</v>
      </c>
    </row>
    <row r="310">
      <c r="A310" s="7" t="str">
        <f>IFERROR(__xludf.DUMMYFUNCTION("""COMPUTED_VALUE"""),"PE0309")</f>
        <v>PE0309</v>
      </c>
      <c r="B310" s="7" t="str">
        <f>IFERROR(__xludf.DUMMYFUNCTION("""COMPUTED_VALUE"""),"S051")</f>
        <v>S051</v>
      </c>
      <c r="C310" s="7" t="str">
        <f>IFERROR(__xludf.DUMMYFUNCTION("""COMPUTED_VALUE"""),"Package Managers (npm, yarn, pnpm)")</f>
        <v>Package Managers (npm, yarn, pnpm)</v>
      </c>
      <c r="D310" s="7" t="str">
        <f>IFERROR(__xludf.DUMMYFUNCTION("""COMPUTED_VALUE"""),"S050")</f>
        <v>S050</v>
      </c>
      <c r="E310" s="7" t="str">
        <f>IFERROR(__xludf.DUMMYFUNCTION("""COMPUTED_VALUE"""),"Module Bundlers &amp; Build Tools (Vite, Webpack, Rollup)")</f>
        <v>Module Bundlers &amp; Build Tools (Vite, Webpack, Rollup)</v>
      </c>
      <c r="F310" s="7" t="str">
        <f>IFERROR(__xludf.DUMMYFUNCTION("""COMPUTED_VALUE"""),"S051 unlocks S050")</f>
        <v>S051 unlocks S050</v>
      </c>
    </row>
    <row r="311">
      <c r="A311" s="7" t="str">
        <f>IFERROR(__xludf.DUMMYFUNCTION("""COMPUTED_VALUE"""),"PE0310")</f>
        <v>PE0310</v>
      </c>
      <c r="B311" s="7" t="str">
        <f>IFERROR(__xludf.DUMMYFUNCTION("""COMPUTED_VALUE"""),"S051")</f>
        <v>S051</v>
      </c>
      <c r="C311" s="7" t="str">
        <f>IFERROR(__xludf.DUMMYFUNCTION("""COMPUTED_VALUE"""),"Package Managers (npm, yarn, pnpm)")</f>
        <v>Package Managers (npm, yarn, pnpm)</v>
      </c>
      <c r="D311" s="7" t="str">
        <f>IFERROR(__xludf.DUMMYFUNCTION("""COMPUTED_VALUE"""),"S053")</f>
        <v>S053</v>
      </c>
      <c r="E311" s="7" t="str">
        <f>IFERROR(__xludf.DUMMYFUNCTION("""COMPUTED_VALUE"""),"Web Accessibility (WCAG / ARIA / a11y)")</f>
        <v>Web Accessibility (WCAG / ARIA / a11y)</v>
      </c>
      <c r="F311" s="7" t="str">
        <f>IFERROR(__xludf.DUMMYFUNCTION("""COMPUTED_VALUE"""),"S051 unlocks S053")</f>
        <v>S051 unlocks S053</v>
      </c>
    </row>
    <row r="312">
      <c r="A312" s="7" t="str">
        <f>IFERROR(__xludf.DUMMYFUNCTION("""COMPUTED_VALUE"""),"PE0311")</f>
        <v>PE0311</v>
      </c>
      <c r="B312" s="7" t="str">
        <f>IFERROR(__xludf.DUMMYFUNCTION("""COMPUTED_VALUE"""),"S051")</f>
        <v>S051</v>
      </c>
      <c r="C312" s="7" t="str">
        <f>IFERROR(__xludf.DUMMYFUNCTION("""COMPUTED_VALUE"""),"Package Managers (npm, yarn, pnpm)")</f>
        <v>Package Managers (npm, yarn, pnpm)</v>
      </c>
      <c r="D312" s="7" t="str">
        <f>IFERROR(__xludf.DUMMYFUNCTION("""COMPUTED_VALUE"""),"S057")</f>
        <v>S057</v>
      </c>
      <c r="E312" s="7" t="str">
        <f>IFERROR(__xludf.DUMMYFUNCTION("""COMPUTED_VALUE"""),"Data Visualization &amp; Charting (D3.js, Recharts, Chart.js)")</f>
        <v>Data Visualization &amp; Charting (D3.js, Recharts, Chart.js)</v>
      </c>
      <c r="F312" s="7" t="str">
        <f>IFERROR(__xludf.DUMMYFUNCTION("""COMPUTED_VALUE"""),"S051 unlocks S057")</f>
        <v>S051 unlocks S057</v>
      </c>
    </row>
    <row r="313">
      <c r="A313" s="7" t="str">
        <f>IFERROR(__xludf.DUMMYFUNCTION("""COMPUTED_VALUE"""),"PE0312")</f>
        <v>PE0312</v>
      </c>
      <c r="B313" s="7" t="str">
        <f>IFERROR(__xludf.DUMMYFUNCTION("""COMPUTED_VALUE"""),"S051")</f>
        <v>S051</v>
      </c>
      <c r="C313" s="7" t="str">
        <f>IFERROR(__xludf.DUMMYFUNCTION("""COMPUTED_VALUE"""),"Package Managers (npm, yarn, pnpm)")</f>
        <v>Package Managers (npm, yarn, pnpm)</v>
      </c>
      <c r="D313" s="7" t="str">
        <f>IFERROR(__xludf.DUMMYFUNCTION("""COMPUTED_VALUE"""),"S059")</f>
        <v>S059</v>
      </c>
      <c r="E313" s="7" t="str">
        <f>IFERROR(__xludf.DUMMYFUNCTION("""COMPUTED_VALUE"""),"Frontend Unit &amp; Component Testing (Jest, Vitest, RTL)")</f>
        <v>Frontend Unit &amp; Component Testing (Jest, Vitest, RTL)</v>
      </c>
      <c r="F313" s="7" t="str">
        <f>IFERROR(__xludf.DUMMYFUNCTION("""COMPUTED_VALUE"""),"S051 unlocks S059")</f>
        <v>S051 unlocks S059</v>
      </c>
    </row>
    <row r="314">
      <c r="A314" s="7" t="str">
        <f>IFERROR(__xludf.DUMMYFUNCTION("""COMPUTED_VALUE"""),"PE0313")</f>
        <v>PE0313</v>
      </c>
      <c r="B314" s="7" t="str">
        <f>IFERROR(__xludf.DUMMYFUNCTION("""COMPUTED_VALUE"""),"S051")</f>
        <v>S051</v>
      </c>
      <c r="C314" s="7" t="str">
        <f>IFERROR(__xludf.DUMMYFUNCTION("""COMPUTED_VALUE"""),"Package Managers (npm, yarn, pnpm)")</f>
        <v>Package Managers (npm, yarn, pnpm)</v>
      </c>
      <c r="D314" s="7" t="str">
        <f>IFERROR(__xludf.DUMMYFUNCTION("""COMPUTED_VALUE"""),"S060")</f>
        <v>S060</v>
      </c>
      <c r="E314" s="7" t="str">
        <f>IFERROR(__xludf.DUMMYFUNCTION("""COMPUTED_VALUE"""),"End-to-End Browser Testing (Cypress, Playwright)")</f>
        <v>End-to-End Browser Testing (Cypress, Playwright)</v>
      </c>
      <c r="F314" s="7" t="str">
        <f>IFERROR(__xludf.DUMMYFUNCTION("""COMPUTED_VALUE"""),"S051 unlocks S060")</f>
        <v>S051 unlocks S060</v>
      </c>
    </row>
    <row r="315">
      <c r="A315" s="7" t="str">
        <f>IFERROR(__xludf.DUMMYFUNCTION("""COMPUTED_VALUE"""),"PE0314")</f>
        <v>PE0314</v>
      </c>
      <c r="B315" s="7" t="str">
        <f>IFERROR(__xludf.DUMMYFUNCTION("""COMPUTED_VALUE"""),"S051")</f>
        <v>S051</v>
      </c>
      <c r="C315" s="7" t="str">
        <f>IFERROR(__xludf.DUMMYFUNCTION("""COMPUTED_VALUE"""),"Package Managers (npm, yarn, pnpm)")</f>
        <v>Package Managers (npm, yarn, pnpm)</v>
      </c>
      <c r="D315" s="7" t="str">
        <f>IFERROR(__xludf.DUMMYFUNCTION("""COMPUTED_VALUE"""),"S063")</f>
        <v>S063</v>
      </c>
      <c r="E315" s="7" t="str">
        <f>IFERROR(__xludf.DUMMYFUNCTION("""COMPUTED_VALUE"""),"User Research, Personas &amp; Usability Testing")</f>
        <v>User Research, Personas &amp; Usability Testing</v>
      </c>
      <c r="F315" s="7" t="str">
        <f>IFERROR(__xludf.DUMMYFUNCTION("""COMPUTED_VALUE"""),"S051 unlocks S063")</f>
        <v>S051 unlocks S063</v>
      </c>
    </row>
    <row r="316">
      <c r="A316" s="7" t="str">
        <f>IFERROR(__xludf.DUMMYFUNCTION("""COMPUTED_VALUE"""),"PE0315")</f>
        <v>PE0315</v>
      </c>
      <c r="B316" s="7" t="str">
        <f>IFERROR(__xludf.DUMMYFUNCTION("""COMPUTED_VALUE"""),"S051")</f>
        <v>S051</v>
      </c>
      <c r="C316" s="7" t="str">
        <f>IFERROR(__xludf.DUMMYFUNCTION("""COMPUTED_VALUE"""),"Package Managers (npm, yarn, pnpm)")</f>
        <v>Package Managers (npm, yarn, pnpm)</v>
      </c>
      <c r="D316" s="7" t="str">
        <f>IFERROR(__xludf.DUMMYFUNCTION("""COMPUTED_VALUE"""),"S064")</f>
        <v>S064</v>
      </c>
      <c r="E316" s="7" t="str">
        <f>IFERROR(__xludf.DUMMYFUNCTION("""COMPUTED_VALUE"""),"Information Architecture &amp; User Flows")</f>
        <v>Information Architecture &amp; User Flows</v>
      </c>
      <c r="F316" s="7" t="str">
        <f>IFERROR(__xludf.DUMMYFUNCTION("""COMPUTED_VALUE"""),"S051 unlocks S064")</f>
        <v>S051 unlocks S064</v>
      </c>
    </row>
    <row r="317">
      <c r="A317" s="7" t="str">
        <f>IFERROR(__xludf.DUMMYFUNCTION("""COMPUTED_VALUE"""),"PE0316")</f>
        <v>PE0316</v>
      </c>
      <c r="B317" s="7" t="str">
        <f>IFERROR(__xludf.DUMMYFUNCTION("""COMPUTED_VALUE"""),"S061")</f>
        <v>S061</v>
      </c>
      <c r="C317" s="7" t="str">
        <f>IFERROR(__xludf.DUMMYFUNCTION("""COMPUTED_VALUE"""),"UI/UX Design Fundamentals &amp; Color Theory")</f>
        <v>UI/UX Design Fundamentals &amp; Color Theory</v>
      </c>
      <c r="D317" s="7" t="str">
        <f>IFERROR(__xludf.DUMMYFUNCTION("""COMPUTED_VALUE"""),"S035")</f>
        <v>S035</v>
      </c>
      <c r="E317" s="7" t="str">
        <f>IFERROR(__xludf.DUMMYFUNCTION("""COMPUTED_VALUE"""),"Asynchronous JavaScript (Promises, Async/Await)")</f>
        <v>Asynchronous JavaScript (Promises, Async/Await)</v>
      </c>
      <c r="F317" s="7" t="str">
        <f>IFERROR(__xludf.DUMMYFUNCTION("""COMPUTED_VALUE"""),"S061 unlocks S035")</f>
        <v>S061 unlocks S035</v>
      </c>
    </row>
    <row r="318">
      <c r="A318" s="7" t="str">
        <f>IFERROR(__xludf.DUMMYFUNCTION("""COMPUTED_VALUE"""),"PE0317")</f>
        <v>PE0317</v>
      </c>
      <c r="B318" s="7" t="str">
        <f>IFERROR(__xludf.DUMMYFUNCTION("""COMPUTED_VALUE"""),"S061")</f>
        <v>S061</v>
      </c>
      <c r="C318" s="7" t="str">
        <f>IFERROR(__xludf.DUMMYFUNCTION("""COMPUTED_VALUE"""),"UI/UX Design Fundamentals &amp; Color Theory")</f>
        <v>UI/UX Design Fundamentals &amp; Color Theory</v>
      </c>
      <c r="D318" s="7" t="str">
        <f>IFERROR(__xludf.DUMMYFUNCTION("""COMPUTED_VALUE"""),"S038")</f>
        <v>S038</v>
      </c>
      <c r="E318" s="7" t="str">
        <f>IFERROR(__xludf.DUMMYFUNCTION("""COMPUTED_VALUE"""),"TypeScript &amp; Static Typing")</f>
        <v>TypeScript &amp; Static Typing</v>
      </c>
      <c r="F318" s="7" t="str">
        <f>IFERROR(__xludf.DUMMYFUNCTION("""COMPUTED_VALUE"""),"S061 unlocks S038")</f>
        <v>S061 unlocks S038</v>
      </c>
    </row>
    <row r="319">
      <c r="A319" s="7" t="str">
        <f>IFERROR(__xludf.DUMMYFUNCTION("""COMPUTED_VALUE"""),"PE0318")</f>
        <v>PE0318</v>
      </c>
      <c r="B319" s="7" t="str">
        <f>IFERROR(__xludf.DUMMYFUNCTION("""COMPUTED_VALUE"""),"S061")</f>
        <v>S061</v>
      </c>
      <c r="C319" s="7" t="str">
        <f>IFERROR(__xludf.DUMMYFUNCTION("""COMPUTED_VALUE"""),"UI/UX Design Fundamentals &amp; Color Theory")</f>
        <v>UI/UX Design Fundamentals &amp; Color Theory</v>
      </c>
      <c r="D319" s="7" t="str">
        <f>IFERROR(__xludf.DUMMYFUNCTION("""COMPUTED_VALUE"""),"S039")</f>
        <v>S039</v>
      </c>
      <c r="E319" s="7" t="str">
        <f>IFERROR(__xludf.DUMMYFUNCTION("""COMPUTED_VALUE"""),"React.js &amp; Hooks Architecture")</f>
        <v>React.js &amp; Hooks Architecture</v>
      </c>
      <c r="F319" s="7" t="str">
        <f>IFERROR(__xludf.DUMMYFUNCTION("""COMPUTED_VALUE"""),"S061 unlocks S039")</f>
        <v>S061 unlocks S039</v>
      </c>
    </row>
    <row r="320">
      <c r="A320" s="7" t="str">
        <f>IFERROR(__xludf.DUMMYFUNCTION("""COMPUTED_VALUE"""),"PE0319")</f>
        <v>PE0319</v>
      </c>
      <c r="B320" s="7" t="str">
        <f>IFERROR(__xludf.DUMMYFUNCTION("""COMPUTED_VALUE"""),"S061")</f>
        <v>S061</v>
      </c>
      <c r="C320" s="7" t="str">
        <f>IFERROR(__xludf.DUMMYFUNCTION("""COMPUTED_VALUE"""),"UI/UX Design Fundamentals &amp; Color Theory")</f>
        <v>UI/UX Design Fundamentals &amp; Color Theory</v>
      </c>
      <c r="D320" s="7" t="str">
        <f>IFERROR(__xludf.DUMMYFUNCTION("""COMPUTED_VALUE"""),"S040")</f>
        <v>S040</v>
      </c>
      <c r="E320" s="7" t="str">
        <f>IFERROR(__xludf.DUMMYFUNCTION("""COMPUTED_VALUE"""),"Angular Framework &amp; RxJS")</f>
        <v>Angular Framework &amp; RxJS</v>
      </c>
      <c r="F320" s="7" t="str">
        <f>IFERROR(__xludf.DUMMYFUNCTION("""COMPUTED_VALUE"""),"S061 unlocks S040")</f>
        <v>S061 unlocks S040</v>
      </c>
    </row>
    <row r="321">
      <c r="A321" s="7" t="str">
        <f>IFERROR(__xludf.DUMMYFUNCTION("""COMPUTED_VALUE"""),"PE0320")</f>
        <v>PE0320</v>
      </c>
      <c r="B321" s="7" t="str">
        <f>IFERROR(__xludf.DUMMYFUNCTION("""COMPUTED_VALUE"""),"S061")</f>
        <v>S061</v>
      </c>
      <c r="C321" s="7" t="str">
        <f>IFERROR(__xludf.DUMMYFUNCTION("""COMPUTED_VALUE"""),"UI/UX Design Fundamentals &amp; Color Theory")</f>
        <v>UI/UX Design Fundamentals &amp; Color Theory</v>
      </c>
      <c r="D321" s="7" t="str">
        <f>IFERROR(__xludf.DUMMYFUNCTION("""COMPUTED_VALUE"""),"S041")</f>
        <v>S041</v>
      </c>
      <c r="E321" s="7" t="str">
        <f>IFERROR(__xludf.DUMMYFUNCTION("""COMPUTED_VALUE"""),"Vue.js &amp; Composition API")</f>
        <v>Vue.js &amp; Composition API</v>
      </c>
      <c r="F321" s="7" t="str">
        <f>IFERROR(__xludf.DUMMYFUNCTION("""COMPUTED_VALUE"""),"S061 unlocks S041")</f>
        <v>S061 unlocks S041</v>
      </c>
    </row>
    <row r="322">
      <c r="A322" s="7" t="str">
        <f>IFERROR(__xludf.DUMMYFUNCTION("""COMPUTED_VALUE"""),"PE0321")</f>
        <v>PE0321</v>
      </c>
      <c r="B322" s="7" t="str">
        <f>IFERROR(__xludf.DUMMYFUNCTION("""COMPUTED_VALUE"""),"S061")</f>
        <v>S061</v>
      </c>
      <c r="C322" s="7" t="str">
        <f>IFERROR(__xludf.DUMMYFUNCTION("""COMPUTED_VALUE"""),"UI/UX Design Fundamentals &amp; Color Theory")</f>
        <v>UI/UX Design Fundamentals &amp; Color Theory</v>
      </c>
      <c r="D322" s="7" t="str">
        <f>IFERROR(__xludf.DUMMYFUNCTION("""COMPUTED_VALUE"""),"S042")</f>
        <v>S042</v>
      </c>
      <c r="E322" s="7" t="str">
        <f>IFERROR(__xludf.DUMMYFUNCTION("""COMPUTED_VALUE"""),"Svelte &amp; SvelteKit")</f>
        <v>Svelte &amp; SvelteKit</v>
      </c>
      <c r="F322" s="7" t="str">
        <f>IFERROR(__xludf.DUMMYFUNCTION("""COMPUTED_VALUE"""),"S061 unlocks S042")</f>
        <v>S061 unlocks S042</v>
      </c>
    </row>
    <row r="323">
      <c r="A323" s="7" t="str">
        <f>IFERROR(__xludf.DUMMYFUNCTION("""COMPUTED_VALUE"""),"PE0322")</f>
        <v>PE0322</v>
      </c>
      <c r="B323" s="7" t="str">
        <f>IFERROR(__xludf.DUMMYFUNCTION("""COMPUTED_VALUE"""),"S061")</f>
        <v>S061</v>
      </c>
      <c r="C323" s="7" t="str">
        <f>IFERROR(__xludf.DUMMYFUNCTION("""COMPUTED_VALUE"""),"UI/UX Design Fundamentals &amp; Color Theory")</f>
        <v>UI/UX Design Fundamentals &amp; Color Theory</v>
      </c>
      <c r="D323" s="7" t="str">
        <f>IFERROR(__xludf.DUMMYFUNCTION("""COMPUTED_VALUE"""),"S046")</f>
        <v>S046</v>
      </c>
      <c r="E323" s="7" t="str">
        <f>IFERROR(__xludf.DUMMYFUNCTION("""COMPUTED_VALUE"""),"Data Fetching &amp; Caching (TanStack React Query, SWR)")</f>
        <v>Data Fetching &amp; Caching (TanStack React Query, SWR)</v>
      </c>
      <c r="F323" s="7" t="str">
        <f>IFERROR(__xludf.DUMMYFUNCTION("""COMPUTED_VALUE"""),"S061 unlocks S046")</f>
        <v>S061 unlocks S046</v>
      </c>
    </row>
    <row r="324">
      <c r="A324" s="7" t="str">
        <f>IFERROR(__xludf.DUMMYFUNCTION("""COMPUTED_VALUE"""),"PE0323")</f>
        <v>PE0323</v>
      </c>
      <c r="B324" s="7" t="str">
        <f>IFERROR(__xludf.DUMMYFUNCTION("""COMPUTED_VALUE"""),"S061")</f>
        <v>S061</v>
      </c>
      <c r="C324" s="7" t="str">
        <f>IFERROR(__xludf.DUMMYFUNCTION("""COMPUTED_VALUE"""),"UI/UX Design Fundamentals &amp; Color Theory")</f>
        <v>UI/UX Design Fundamentals &amp; Color Theory</v>
      </c>
      <c r="D324" s="7" t="str">
        <f>IFERROR(__xludf.DUMMYFUNCTION("""COMPUTED_VALUE"""),"S047")</f>
        <v>S047</v>
      </c>
      <c r="E324" s="7" t="str">
        <f>IFERROR(__xludf.DUMMYFUNCTION("""COMPUTED_VALUE"""),"Tailwind CSS Utility Styling")</f>
        <v>Tailwind CSS Utility Styling</v>
      </c>
      <c r="F324" s="7" t="str">
        <f>IFERROR(__xludf.DUMMYFUNCTION("""COMPUTED_VALUE"""),"S061 unlocks S047")</f>
        <v>S061 unlocks S047</v>
      </c>
    </row>
    <row r="325">
      <c r="A325" s="7" t="str">
        <f>IFERROR(__xludf.DUMMYFUNCTION("""COMPUTED_VALUE"""),"PE0324")</f>
        <v>PE0324</v>
      </c>
      <c r="B325" s="7" t="str">
        <f>IFERROR(__xludf.DUMMYFUNCTION("""COMPUTED_VALUE"""),"S061")</f>
        <v>S061</v>
      </c>
      <c r="C325" s="7" t="str">
        <f>IFERROR(__xludf.DUMMYFUNCTION("""COMPUTED_VALUE"""),"UI/UX Design Fundamentals &amp; Color Theory")</f>
        <v>UI/UX Design Fundamentals &amp; Color Theory</v>
      </c>
      <c r="D325" s="7" t="str">
        <f>IFERROR(__xludf.DUMMYFUNCTION("""COMPUTED_VALUE"""),"S048")</f>
        <v>S048</v>
      </c>
      <c r="E325" s="7" t="str">
        <f>IFERROR(__xludf.DUMMYFUNCTION("""COMPUTED_VALUE"""),"CSS Preprocessors (Sass / SCSS)")</f>
        <v>CSS Preprocessors (Sass / SCSS)</v>
      </c>
      <c r="F325" s="7" t="str">
        <f>IFERROR(__xludf.DUMMYFUNCTION("""COMPUTED_VALUE"""),"S061 unlocks S048")</f>
        <v>S061 unlocks S048</v>
      </c>
    </row>
    <row r="326">
      <c r="A326" s="7" t="str">
        <f>IFERROR(__xludf.DUMMYFUNCTION("""COMPUTED_VALUE"""),"PE0325")</f>
        <v>PE0325</v>
      </c>
      <c r="B326" s="7" t="str">
        <f>IFERROR(__xludf.DUMMYFUNCTION("""COMPUTED_VALUE"""),"S061")</f>
        <v>S061</v>
      </c>
      <c r="C326" s="7" t="str">
        <f>IFERROR(__xludf.DUMMYFUNCTION("""COMPUTED_VALUE"""),"UI/UX Design Fundamentals &amp; Color Theory")</f>
        <v>UI/UX Design Fundamentals &amp; Color Theory</v>
      </c>
      <c r="D326" s="7" t="str">
        <f>IFERROR(__xludf.DUMMYFUNCTION("""COMPUTED_VALUE"""),"S050")</f>
        <v>S050</v>
      </c>
      <c r="E326" s="7" t="str">
        <f>IFERROR(__xludf.DUMMYFUNCTION("""COMPUTED_VALUE"""),"Module Bundlers &amp; Build Tools (Vite, Webpack, Rollup)")</f>
        <v>Module Bundlers &amp; Build Tools (Vite, Webpack, Rollup)</v>
      </c>
      <c r="F326" s="7" t="str">
        <f>IFERROR(__xludf.DUMMYFUNCTION("""COMPUTED_VALUE"""),"S061 unlocks S050")</f>
        <v>S061 unlocks S050</v>
      </c>
    </row>
    <row r="327">
      <c r="A327" s="7" t="str">
        <f>IFERROR(__xludf.DUMMYFUNCTION("""COMPUTED_VALUE"""),"PE0326")</f>
        <v>PE0326</v>
      </c>
      <c r="B327" s="7" t="str">
        <f>IFERROR(__xludf.DUMMYFUNCTION("""COMPUTED_VALUE"""),"S061")</f>
        <v>S061</v>
      </c>
      <c r="C327" s="7" t="str">
        <f>IFERROR(__xludf.DUMMYFUNCTION("""COMPUTED_VALUE"""),"UI/UX Design Fundamentals &amp; Color Theory")</f>
        <v>UI/UX Design Fundamentals &amp; Color Theory</v>
      </c>
      <c r="D327" s="7" t="str">
        <f>IFERROR(__xludf.DUMMYFUNCTION("""COMPUTED_VALUE"""),"S053")</f>
        <v>S053</v>
      </c>
      <c r="E327" s="7" t="str">
        <f>IFERROR(__xludf.DUMMYFUNCTION("""COMPUTED_VALUE"""),"Web Accessibility (WCAG / ARIA / a11y)")</f>
        <v>Web Accessibility (WCAG / ARIA / a11y)</v>
      </c>
      <c r="F327" s="7" t="str">
        <f>IFERROR(__xludf.DUMMYFUNCTION("""COMPUTED_VALUE"""),"S061 unlocks S053")</f>
        <v>S061 unlocks S053</v>
      </c>
    </row>
    <row r="328">
      <c r="A328" s="7" t="str">
        <f>IFERROR(__xludf.DUMMYFUNCTION("""COMPUTED_VALUE"""),"PE0327")</f>
        <v>PE0327</v>
      </c>
      <c r="B328" s="7" t="str">
        <f>IFERROR(__xludf.DUMMYFUNCTION("""COMPUTED_VALUE"""),"S061")</f>
        <v>S061</v>
      </c>
      <c r="C328" s="7" t="str">
        <f>IFERROR(__xludf.DUMMYFUNCTION("""COMPUTED_VALUE"""),"UI/UX Design Fundamentals &amp; Color Theory")</f>
        <v>UI/UX Design Fundamentals &amp; Color Theory</v>
      </c>
      <c r="D328" s="7" t="str">
        <f>IFERROR(__xludf.DUMMYFUNCTION("""COMPUTED_VALUE"""),"S057")</f>
        <v>S057</v>
      </c>
      <c r="E328" s="7" t="str">
        <f>IFERROR(__xludf.DUMMYFUNCTION("""COMPUTED_VALUE"""),"Data Visualization &amp; Charting (D3.js, Recharts, Chart.js)")</f>
        <v>Data Visualization &amp; Charting (D3.js, Recharts, Chart.js)</v>
      </c>
      <c r="F328" s="7" t="str">
        <f>IFERROR(__xludf.DUMMYFUNCTION("""COMPUTED_VALUE"""),"S061 unlocks S057")</f>
        <v>S061 unlocks S057</v>
      </c>
    </row>
    <row r="329">
      <c r="A329" s="7" t="str">
        <f>IFERROR(__xludf.DUMMYFUNCTION("""COMPUTED_VALUE"""),"PE0328")</f>
        <v>PE0328</v>
      </c>
      <c r="B329" s="7" t="str">
        <f>IFERROR(__xludf.DUMMYFUNCTION("""COMPUTED_VALUE"""),"S061")</f>
        <v>S061</v>
      </c>
      <c r="C329" s="7" t="str">
        <f>IFERROR(__xludf.DUMMYFUNCTION("""COMPUTED_VALUE"""),"UI/UX Design Fundamentals &amp; Color Theory")</f>
        <v>UI/UX Design Fundamentals &amp; Color Theory</v>
      </c>
      <c r="D329" s="7" t="str">
        <f>IFERROR(__xludf.DUMMYFUNCTION("""COMPUTED_VALUE"""),"S059")</f>
        <v>S059</v>
      </c>
      <c r="E329" s="7" t="str">
        <f>IFERROR(__xludf.DUMMYFUNCTION("""COMPUTED_VALUE"""),"Frontend Unit &amp; Component Testing (Jest, Vitest, RTL)")</f>
        <v>Frontend Unit &amp; Component Testing (Jest, Vitest, RTL)</v>
      </c>
      <c r="F329" s="7" t="str">
        <f>IFERROR(__xludf.DUMMYFUNCTION("""COMPUTED_VALUE"""),"S061 unlocks S059")</f>
        <v>S061 unlocks S059</v>
      </c>
    </row>
    <row r="330">
      <c r="A330" s="7" t="str">
        <f>IFERROR(__xludf.DUMMYFUNCTION("""COMPUTED_VALUE"""),"PE0329")</f>
        <v>PE0329</v>
      </c>
      <c r="B330" s="7" t="str">
        <f>IFERROR(__xludf.DUMMYFUNCTION("""COMPUTED_VALUE"""),"S061")</f>
        <v>S061</v>
      </c>
      <c r="C330" s="7" t="str">
        <f>IFERROR(__xludf.DUMMYFUNCTION("""COMPUTED_VALUE"""),"UI/UX Design Fundamentals &amp; Color Theory")</f>
        <v>UI/UX Design Fundamentals &amp; Color Theory</v>
      </c>
      <c r="D330" s="7" t="str">
        <f>IFERROR(__xludf.DUMMYFUNCTION("""COMPUTED_VALUE"""),"S060")</f>
        <v>S060</v>
      </c>
      <c r="E330" s="7" t="str">
        <f>IFERROR(__xludf.DUMMYFUNCTION("""COMPUTED_VALUE"""),"End-to-End Browser Testing (Cypress, Playwright)")</f>
        <v>End-to-End Browser Testing (Cypress, Playwright)</v>
      </c>
      <c r="F330" s="7" t="str">
        <f>IFERROR(__xludf.DUMMYFUNCTION("""COMPUTED_VALUE"""),"S061 unlocks S060")</f>
        <v>S061 unlocks S060</v>
      </c>
    </row>
    <row r="331">
      <c r="A331" s="7" t="str">
        <f>IFERROR(__xludf.DUMMYFUNCTION("""COMPUTED_VALUE"""),"PE0330")</f>
        <v>PE0330</v>
      </c>
      <c r="B331" s="7" t="str">
        <f>IFERROR(__xludf.DUMMYFUNCTION("""COMPUTED_VALUE"""),"S061")</f>
        <v>S061</v>
      </c>
      <c r="C331" s="7" t="str">
        <f>IFERROR(__xludf.DUMMYFUNCTION("""COMPUTED_VALUE"""),"UI/UX Design Fundamentals &amp; Color Theory")</f>
        <v>UI/UX Design Fundamentals &amp; Color Theory</v>
      </c>
      <c r="D331" s="7" t="str">
        <f>IFERROR(__xludf.DUMMYFUNCTION("""COMPUTED_VALUE"""),"S063")</f>
        <v>S063</v>
      </c>
      <c r="E331" s="7" t="str">
        <f>IFERROR(__xludf.DUMMYFUNCTION("""COMPUTED_VALUE"""),"User Research, Personas &amp; Usability Testing")</f>
        <v>User Research, Personas &amp; Usability Testing</v>
      </c>
      <c r="F331" s="7" t="str">
        <f>IFERROR(__xludf.DUMMYFUNCTION("""COMPUTED_VALUE"""),"S061 unlocks S063")</f>
        <v>S061 unlocks S063</v>
      </c>
    </row>
    <row r="332">
      <c r="A332" s="7" t="str">
        <f>IFERROR(__xludf.DUMMYFUNCTION("""COMPUTED_VALUE"""),"PE0331")</f>
        <v>PE0331</v>
      </c>
      <c r="B332" s="7" t="str">
        <f>IFERROR(__xludf.DUMMYFUNCTION("""COMPUTED_VALUE"""),"S061")</f>
        <v>S061</v>
      </c>
      <c r="C332" s="7" t="str">
        <f>IFERROR(__xludf.DUMMYFUNCTION("""COMPUTED_VALUE"""),"UI/UX Design Fundamentals &amp; Color Theory")</f>
        <v>UI/UX Design Fundamentals &amp; Color Theory</v>
      </c>
      <c r="D332" s="7" t="str">
        <f>IFERROR(__xludf.DUMMYFUNCTION("""COMPUTED_VALUE"""),"S064")</f>
        <v>S064</v>
      </c>
      <c r="E332" s="7" t="str">
        <f>IFERROR(__xludf.DUMMYFUNCTION("""COMPUTED_VALUE"""),"Information Architecture &amp; User Flows")</f>
        <v>Information Architecture &amp; User Flows</v>
      </c>
      <c r="F332" s="7" t="str">
        <f>IFERROR(__xludf.DUMMYFUNCTION("""COMPUTED_VALUE"""),"S061 unlocks S064")</f>
        <v>S061 unlocks S064</v>
      </c>
    </row>
    <row r="333">
      <c r="A333" s="7" t="str">
        <f>IFERROR(__xludf.DUMMYFUNCTION("""COMPUTED_VALUE"""),"PE0332")</f>
        <v>PE0332</v>
      </c>
      <c r="B333" s="7" t="str">
        <f>IFERROR(__xludf.DUMMYFUNCTION("""COMPUTED_VALUE"""),"S062")</f>
        <v>S062</v>
      </c>
      <c r="C333" s="7" t="str">
        <f>IFERROR(__xludf.DUMMYFUNCTION("""COMPUTED_VALUE"""),"Wireframing &amp; Interactive Prototyping (Figma)")</f>
        <v>Wireframing &amp; Interactive Prototyping (Figma)</v>
      </c>
      <c r="D333" s="7" t="str">
        <f>IFERROR(__xludf.DUMMYFUNCTION("""COMPUTED_VALUE"""),"S035")</f>
        <v>S035</v>
      </c>
      <c r="E333" s="7" t="str">
        <f>IFERROR(__xludf.DUMMYFUNCTION("""COMPUTED_VALUE"""),"Asynchronous JavaScript (Promises, Async/Await)")</f>
        <v>Asynchronous JavaScript (Promises, Async/Await)</v>
      </c>
      <c r="F333" s="7" t="str">
        <f>IFERROR(__xludf.DUMMYFUNCTION("""COMPUTED_VALUE"""),"S062 unlocks S035")</f>
        <v>S062 unlocks S035</v>
      </c>
    </row>
    <row r="334">
      <c r="A334" s="7" t="str">
        <f>IFERROR(__xludf.DUMMYFUNCTION("""COMPUTED_VALUE"""),"PE0333")</f>
        <v>PE0333</v>
      </c>
      <c r="B334" s="7" t="str">
        <f>IFERROR(__xludf.DUMMYFUNCTION("""COMPUTED_VALUE"""),"S062")</f>
        <v>S062</v>
      </c>
      <c r="C334" s="7" t="str">
        <f>IFERROR(__xludf.DUMMYFUNCTION("""COMPUTED_VALUE"""),"Wireframing &amp; Interactive Prototyping (Figma)")</f>
        <v>Wireframing &amp; Interactive Prototyping (Figma)</v>
      </c>
      <c r="D334" s="7" t="str">
        <f>IFERROR(__xludf.DUMMYFUNCTION("""COMPUTED_VALUE"""),"S038")</f>
        <v>S038</v>
      </c>
      <c r="E334" s="7" t="str">
        <f>IFERROR(__xludf.DUMMYFUNCTION("""COMPUTED_VALUE"""),"TypeScript &amp; Static Typing")</f>
        <v>TypeScript &amp; Static Typing</v>
      </c>
      <c r="F334" s="7" t="str">
        <f>IFERROR(__xludf.DUMMYFUNCTION("""COMPUTED_VALUE"""),"S062 unlocks S038")</f>
        <v>S062 unlocks S038</v>
      </c>
    </row>
    <row r="335">
      <c r="A335" s="7" t="str">
        <f>IFERROR(__xludf.DUMMYFUNCTION("""COMPUTED_VALUE"""),"PE0334")</f>
        <v>PE0334</v>
      </c>
      <c r="B335" s="7" t="str">
        <f>IFERROR(__xludf.DUMMYFUNCTION("""COMPUTED_VALUE"""),"S062")</f>
        <v>S062</v>
      </c>
      <c r="C335" s="7" t="str">
        <f>IFERROR(__xludf.DUMMYFUNCTION("""COMPUTED_VALUE"""),"Wireframing &amp; Interactive Prototyping (Figma)")</f>
        <v>Wireframing &amp; Interactive Prototyping (Figma)</v>
      </c>
      <c r="D335" s="7" t="str">
        <f>IFERROR(__xludf.DUMMYFUNCTION("""COMPUTED_VALUE"""),"S039")</f>
        <v>S039</v>
      </c>
      <c r="E335" s="7" t="str">
        <f>IFERROR(__xludf.DUMMYFUNCTION("""COMPUTED_VALUE"""),"React.js &amp; Hooks Architecture")</f>
        <v>React.js &amp; Hooks Architecture</v>
      </c>
      <c r="F335" s="7" t="str">
        <f>IFERROR(__xludf.DUMMYFUNCTION("""COMPUTED_VALUE"""),"S062 unlocks S039")</f>
        <v>S062 unlocks S039</v>
      </c>
    </row>
    <row r="336">
      <c r="A336" s="7" t="str">
        <f>IFERROR(__xludf.DUMMYFUNCTION("""COMPUTED_VALUE"""),"PE0335")</f>
        <v>PE0335</v>
      </c>
      <c r="B336" s="7" t="str">
        <f>IFERROR(__xludf.DUMMYFUNCTION("""COMPUTED_VALUE"""),"S062")</f>
        <v>S062</v>
      </c>
      <c r="C336" s="7" t="str">
        <f>IFERROR(__xludf.DUMMYFUNCTION("""COMPUTED_VALUE"""),"Wireframing &amp; Interactive Prototyping (Figma)")</f>
        <v>Wireframing &amp; Interactive Prototyping (Figma)</v>
      </c>
      <c r="D336" s="7" t="str">
        <f>IFERROR(__xludf.DUMMYFUNCTION("""COMPUTED_VALUE"""),"S040")</f>
        <v>S040</v>
      </c>
      <c r="E336" s="7" t="str">
        <f>IFERROR(__xludf.DUMMYFUNCTION("""COMPUTED_VALUE"""),"Angular Framework &amp; RxJS")</f>
        <v>Angular Framework &amp; RxJS</v>
      </c>
      <c r="F336" s="7" t="str">
        <f>IFERROR(__xludf.DUMMYFUNCTION("""COMPUTED_VALUE"""),"S062 unlocks S040")</f>
        <v>S062 unlocks S040</v>
      </c>
    </row>
    <row r="337">
      <c r="A337" s="7" t="str">
        <f>IFERROR(__xludf.DUMMYFUNCTION("""COMPUTED_VALUE"""),"PE0336")</f>
        <v>PE0336</v>
      </c>
      <c r="B337" s="7" t="str">
        <f>IFERROR(__xludf.DUMMYFUNCTION("""COMPUTED_VALUE"""),"S062")</f>
        <v>S062</v>
      </c>
      <c r="C337" s="7" t="str">
        <f>IFERROR(__xludf.DUMMYFUNCTION("""COMPUTED_VALUE"""),"Wireframing &amp; Interactive Prototyping (Figma)")</f>
        <v>Wireframing &amp; Interactive Prototyping (Figma)</v>
      </c>
      <c r="D337" s="7" t="str">
        <f>IFERROR(__xludf.DUMMYFUNCTION("""COMPUTED_VALUE"""),"S041")</f>
        <v>S041</v>
      </c>
      <c r="E337" s="7" t="str">
        <f>IFERROR(__xludf.DUMMYFUNCTION("""COMPUTED_VALUE"""),"Vue.js &amp; Composition API")</f>
        <v>Vue.js &amp; Composition API</v>
      </c>
      <c r="F337" s="7" t="str">
        <f>IFERROR(__xludf.DUMMYFUNCTION("""COMPUTED_VALUE"""),"S062 unlocks S041")</f>
        <v>S062 unlocks S041</v>
      </c>
    </row>
    <row r="338">
      <c r="A338" s="7" t="str">
        <f>IFERROR(__xludf.DUMMYFUNCTION("""COMPUTED_VALUE"""),"PE0337")</f>
        <v>PE0337</v>
      </c>
      <c r="B338" s="7" t="str">
        <f>IFERROR(__xludf.DUMMYFUNCTION("""COMPUTED_VALUE"""),"S062")</f>
        <v>S062</v>
      </c>
      <c r="C338" s="7" t="str">
        <f>IFERROR(__xludf.DUMMYFUNCTION("""COMPUTED_VALUE"""),"Wireframing &amp; Interactive Prototyping (Figma)")</f>
        <v>Wireframing &amp; Interactive Prototyping (Figma)</v>
      </c>
      <c r="D338" s="7" t="str">
        <f>IFERROR(__xludf.DUMMYFUNCTION("""COMPUTED_VALUE"""),"S042")</f>
        <v>S042</v>
      </c>
      <c r="E338" s="7" t="str">
        <f>IFERROR(__xludf.DUMMYFUNCTION("""COMPUTED_VALUE"""),"Svelte &amp; SvelteKit")</f>
        <v>Svelte &amp; SvelteKit</v>
      </c>
      <c r="F338" s="7" t="str">
        <f>IFERROR(__xludf.DUMMYFUNCTION("""COMPUTED_VALUE"""),"S062 unlocks S042")</f>
        <v>S062 unlocks S042</v>
      </c>
    </row>
    <row r="339">
      <c r="A339" s="7" t="str">
        <f>IFERROR(__xludf.DUMMYFUNCTION("""COMPUTED_VALUE"""),"PE0338")</f>
        <v>PE0338</v>
      </c>
      <c r="B339" s="7" t="str">
        <f>IFERROR(__xludf.DUMMYFUNCTION("""COMPUTED_VALUE"""),"S062")</f>
        <v>S062</v>
      </c>
      <c r="C339" s="7" t="str">
        <f>IFERROR(__xludf.DUMMYFUNCTION("""COMPUTED_VALUE"""),"Wireframing &amp; Interactive Prototyping (Figma)")</f>
        <v>Wireframing &amp; Interactive Prototyping (Figma)</v>
      </c>
      <c r="D339" s="7" t="str">
        <f>IFERROR(__xludf.DUMMYFUNCTION("""COMPUTED_VALUE"""),"S046")</f>
        <v>S046</v>
      </c>
      <c r="E339" s="7" t="str">
        <f>IFERROR(__xludf.DUMMYFUNCTION("""COMPUTED_VALUE"""),"Data Fetching &amp; Caching (TanStack React Query, SWR)")</f>
        <v>Data Fetching &amp; Caching (TanStack React Query, SWR)</v>
      </c>
      <c r="F339" s="7" t="str">
        <f>IFERROR(__xludf.DUMMYFUNCTION("""COMPUTED_VALUE"""),"S062 unlocks S046")</f>
        <v>S062 unlocks S046</v>
      </c>
    </row>
    <row r="340">
      <c r="A340" s="7" t="str">
        <f>IFERROR(__xludf.DUMMYFUNCTION("""COMPUTED_VALUE"""),"PE0339")</f>
        <v>PE0339</v>
      </c>
      <c r="B340" s="7" t="str">
        <f>IFERROR(__xludf.DUMMYFUNCTION("""COMPUTED_VALUE"""),"S062")</f>
        <v>S062</v>
      </c>
      <c r="C340" s="7" t="str">
        <f>IFERROR(__xludf.DUMMYFUNCTION("""COMPUTED_VALUE"""),"Wireframing &amp; Interactive Prototyping (Figma)")</f>
        <v>Wireframing &amp; Interactive Prototyping (Figma)</v>
      </c>
      <c r="D340" s="7" t="str">
        <f>IFERROR(__xludf.DUMMYFUNCTION("""COMPUTED_VALUE"""),"S047")</f>
        <v>S047</v>
      </c>
      <c r="E340" s="7" t="str">
        <f>IFERROR(__xludf.DUMMYFUNCTION("""COMPUTED_VALUE"""),"Tailwind CSS Utility Styling")</f>
        <v>Tailwind CSS Utility Styling</v>
      </c>
      <c r="F340" s="7" t="str">
        <f>IFERROR(__xludf.DUMMYFUNCTION("""COMPUTED_VALUE"""),"S062 unlocks S047")</f>
        <v>S062 unlocks S047</v>
      </c>
    </row>
    <row r="341">
      <c r="A341" s="7" t="str">
        <f>IFERROR(__xludf.DUMMYFUNCTION("""COMPUTED_VALUE"""),"PE0340")</f>
        <v>PE0340</v>
      </c>
      <c r="B341" s="7" t="str">
        <f>IFERROR(__xludf.DUMMYFUNCTION("""COMPUTED_VALUE"""),"S062")</f>
        <v>S062</v>
      </c>
      <c r="C341" s="7" t="str">
        <f>IFERROR(__xludf.DUMMYFUNCTION("""COMPUTED_VALUE"""),"Wireframing &amp; Interactive Prototyping (Figma)")</f>
        <v>Wireframing &amp; Interactive Prototyping (Figma)</v>
      </c>
      <c r="D341" s="7" t="str">
        <f>IFERROR(__xludf.DUMMYFUNCTION("""COMPUTED_VALUE"""),"S048")</f>
        <v>S048</v>
      </c>
      <c r="E341" s="7" t="str">
        <f>IFERROR(__xludf.DUMMYFUNCTION("""COMPUTED_VALUE"""),"CSS Preprocessors (Sass / SCSS)")</f>
        <v>CSS Preprocessors (Sass / SCSS)</v>
      </c>
      <c r="F341" s="7" t="str">
        <f>IFERROR(__xludf.DUMMYFUNCTION("""COMPUTED_VALUE"""),"S062 unlocks S048")</f>
        <v>S062 unlocks S048</v>
      </c>
    </row>
    <row r="342">
      <c r="A342" s="7" t="str">
        <f>IFERROR(__xludf.DUMMYFUNCTION("""COMPUTED_VALUE"""),"PE0341")</f>
        <v>PE0341</v>
      </c>
      <c r="B342" s="7" t="str">
        <f>IFERROR(__xludf.DUMMYFUNCTION("""COMPUTED_VALUE"""),"S062")</f>
        <v>S062</v>
      </c>
      <c r="C342" s="7" t="str">
        <f>IFERROR(__xludf.DUMMYFUNCTION("""COMPUTED_VALUE"""),"Wireframing &amp; Interactive Prototyping (Figma)")</f>
        <v>Wireframing &amp; Interactive Prototyping (Figma)</v>
      </c>
      <c r="D342" s="7" t="str">
        <f>IFERROR(__xludf.DUMMYFUNCTION("""COMPUTED_VALUE"""),"S050")</f>
        <v>S050</v>
      </c>
      <c r="E342" s="7" t="str">
        <f>IFERROR(__xludf.DUMMYFUNCTION("""COMPUTED_VALUE"""),"Module Bundlers &amp; Build Tools (Vite, Webpack, Rollup)")</f>
        <v>Module Bundlers &amp; Build Tools (Vite, Webpack, Rollup)</v>
      </c>
      <c r="F342" s="7" t="str">
        <f>IFERROR(__xludf.DUMMYFUNCTION("""COMPUTED_VALUE"""),"S062 unlocks S050")</f>
        <v>S062 unlocks S050</v>
      </c>
    </row>
    <row r="343">
      <c r="A343" s="7" t="str">
        <f>IFERROR(__xludf.DUMMYFUNCTION("""COMPUTED_VALUE"""),"PE0342")</f>
        <v>PE0342</v>
      </c>
      <c r="B343" s="7" t="str">
        <f>IFERROR(__xludf.DUMMYFUNCTION("""COMPUTED_VALUE"""),"S062")</f>
        <v>S062</v>
      </c>
      <c r="C343" s="7" t="str">
        <f>IFERROR(__xludf.DUMMYFUNCTION("""COMPUTED_VALUE"""),"Wireframing &amp; Interactive Prototyping (Figma)")</f>
        <v>Wireframing &amp; Interactive Prototyping (Figma)</v>
      </c>
      <c r="D343" s="7" t="str">
        <f>IFERROR(__xludf.DUMMYFUNCTION("""COMPUTED_VALUE"""),"S053")</f>
        <v>S053</v>
      </c>
      <c r="E343" s="7" t="str">
        <f>IFERROR(__xludf.DUMMYFUNCTION("""COMPUTED_VALUE"""),"Web Accessibility (WCAG / ARIA / a11y)")</f>
        <v>Web Accessibility (WCAG / ARIA / a11y)</v>
      </c>
      <c r="F343" s="7" t="str">
        <f>IFERROR(__xludf.DUMMYFUNCTION("""COMPUTED_VALUE"""),"S062 unlocks S053")</f>
        <v>S062 unlocks S053</v>
      </c>
    </row>
    <row r="344">
      <c r="A344" s="7" t="str">
        <f>IFERROR(__xludf.DUMMYFUNCTION("""COMPUTED_VALUE"""),"PE0343")</f>
        <v>PE0343</v>
      </c>
      <c r="B344" s="7" t="str">
        <f>IFERROR(__xludf.DUMMYFUNCTION("""COMPUTED_VALUE"""),"S062")</f>
        <v>S062</v>
      </c>
      <c r="C344" s="7" t="str">
        <f>IFERROR(__xludf.DUMMYFUNCTION("""COMPUTED_VALUE"""),"Wireframing &amp; Interactive Prototyping (Figma)")</f>
        <v>Wireframing &amp; Interactive Prototyping (Figma)</v>
      </c>
      <c r="D344" s="7" t="str">
        <f>IFERROR(__xludf.DUMMYFUNCTION("""COMPUTED_VALUE"""),"S057")</f>
        <v>S057</v>
      </c>
      <c r="E344" s="7" t="str">
        <f>IFERROR(__xludf.DUMMYFUNCTION("""COMPUTED_VALUE"""),"Data Visualization &amp; Charting (D3.js, Recharts, Chart.js)")</f>
        <v>Data Visualization &amp; Charting (D3.js, Recharts, Chart.js)</v>
      </c>
      <c r="F344" s="7" t="str">
        <f>IFERROR(__xludf.DUMMYFUNCTION("""COMPUTED_VALUE"""),"S062 unlocks S057")</f>
        <v>S062 unlocks S057</v>
      </c>
    </row>
    <row r="345">
      <c r="A345" s="7" t="str">
        <f>IFERROR(__xludf.DUMMYFUNCTION("""COMPUTED_VALUE"""),"PE0344")</f>
        <v>PE0344</v>
      </c>
      <c r="B345" s="7" t="str">
        <f>IFERROR(__xludf.DUMMYFUNCTION("""COMPUTED_VALUE"""),"S062")</f>
        <v>S062</v>
      </c>
      <c r="C345" s="7" t="str">
        <f>IFERROR(__xludf.DUMMYFUNCTION("""COMPUTED_VALUE"""),"Wireframing &amp; Interactive Prototyping (Figma)")</f>
        <v>Wireframing &amp; Interactive Prototyping (Figma)</v>
      </c>
      <c r="D345" s="7" t="str">
        <f>IFERROR(__xludf.DUMMYFUNCTION("""COMPUTED_VALUE"""),"S059")</f>
        <v>S059</v>
      </c>
      <c r="E345" s="7" t="str">
        <f>IFERROR(__xludf.DUMMYFUNCTION("""COMPUTED_VALUE"""),"Frontend Unit &amp; Component Testing (Jest, Vitest, RTL)")</f>
        <v>Frontend Unit &amp; Component Testing (Jest, Vitest, RTL)</v>
      </c>
      <c r="F345" s="7" t="str">
        <f>IFERROR(__xludf.DUMMYFUNCTION("""COMPUTED_VALUE"""),"S062 unlocks S059")</f>
        <v>S062 unlocks S059</v>
      </c>
    </row>
    <row r="346">
      <c r="A346" s="7" t="str">
        <f>IFERROR(__xludf.DUMMYFUNCTION("""COMPUTED_VALUE"""),"PE0345")</f>
        <v>PE0345</v>
      </c>
      <c r="B346" s="7" t="str">
        <f>IFERROR(__xludf.DUMMYFUNCTION("""COMPUTED_VALUE"""),"S062")</f>
        <v>S062</v>
      </c>
      <c r="C346" s="7" t="str">
        <f>IFERROR(__xludf.DUMMYFUNCTION("""COMPUTED_VALUE"""),"Wireframing &amp; Interactive Prototyping (Figma)")</f>
        <v>Wireframing &amp; Interactive Prototyping (Figma)</v>
      </c>
      <c r="D346" s="7" t="str">
        <f>IFERROR(__xludf.DUMMYFUNCTION("""COMPUTED_VALUE"""),"S060")</f>
        <v>S060</v>
      </c>
      <c r="E346" s="7" t="str">
        <f>IFERROR(__xludf.DUMMYFUNCTION("""COMPUTED_VALUE"""),"End-to-End Browser Testing (Cypress, Playwright)")</f>
        <v>End-to-End Browser Testing (Cypress, Playwright)</v>
      </c>
      <c r="F346" s="7" t="str">
        <f>IFERROR(__xludf.DUMMYFUNCTION("""COMPUTED_VALUE"""),"S062 unlocks S060")</f>
        <v>S062 unlocks S060</v>
      </c>
    </row>
    <row r="347">
      <c r="A347" s="7" t="str">
        <f>IFERROR(__xludf.DUMMYFUNCTION("""COMPUTED_VALUE"""),"PE0346")</f>
        <v>PE0346</v>
      </c>
      <c r="B347" s="7" t="str">
        <f>IFERROR(__xludf.DUMMYFUNCTION("""COMPUTED_VALUE"""),"S062")</f>
        <v>S062</v>
      </c>
      <c r="C347" s="7" t="str">
        <f>IFERROR(__xludf.DUMMYFUNCTION("""COMPUTED_VALUE"""),"Wireframing &amp; Interactive Prototyping (Figma)")</f>
        <v>Wireframing &amp; Interactive Prototyping (Figma)</v>
      </c>
      <c r="D347" s="7" t="str">
        <f>IFERROR(__xludf.DUMMYFUNCTION("""COMPUTED_VALUE"""),"S063")</f>
        <v>S063</v>
      </c>
      <c r="E347" s="7" t="str">
        <f>IFERROR(__xludf.DUMMYFUNCTION("""COMPUTED_VALUE"""),"User Research, Personas &amp; Usability Testing")</f>
        <v>User Research, Personas &amp; Usability Testing</v>
      </c>
      <c r="F347" s="7" t="str">
        <f>IFERROR(__xludf.DUMMYFUNCTION("""COMPUTED_VALUE"""),"S062 unlocks S063")</f>
        <v>S062 unlocks S063</v>
      </c>
    </row>
    <row r="348">
      <c r="A348" s="7" t="str">
        <f>IFERROR(__xludf.DUMMYFUNCTION("""COMPUTED_VALUE"""),"PE0347")</f>
        <v>PE0347</v>
      </c>
      <c r="B348" s="7" t="str">
        <f>IFERROR(__xludf.DUMMYFUNCTION("""COMPUTED_VALUE"""),"S062")</f>
        <v>S062</v>
      </c>
      <c r="C348" s="7" t="str">
        <f>IFERROR(__xludf.DUMMYFUNCTION("""COMPUTED_VALUE"""),"Wireframing &amp; Interactive Prototyping (Figma)")</f>
        <v>Wireframing &amp; Interactive Prototyping (Figma)</v>
      </c>
      <c r="D348" s="7" t="str">
        <f>IFERROR(__xludf.DUMMYFUNCTION("""COMPUTED_VALUE"""),"S064")</f>
        <v>S064</v>
      </c>
      <c r="E348" s="7" t="str">
        <f>IFERROR(__xludf.DUMMYFUNCTION("""COMPUTED_VALUE"""),"Information Architecture &amp; User Flows")</f>
        <v>Information Architecture &amp; User Flows</v>
      </c>
      <c r="F348" s="7" t="str">
        <f>IFERROR(__xludf.DUMMYFUNCTION("""COMPUTED_VALUE"""),"S062 unlocks S064")</f>
        <v>S062 unlocks S064</v>
      </c>
    </row>
    <row r="349">
      <c r="A349" s="7" t="str">
        <f>IFERROR(__xludf.DUMMYFUNCTION("""COMPUTED_VALUE"""),"PE0348")</f>
        <v>PE0348</v>
      </c>
      <c r="B349" s="7" t="str">
        <f>IFERROR(__xludf.DUMMYFUNCTION("""COMPUTED_VALUE"""),"S066")</f>
        <v>S066</v>
      </c>
      <c r="C349" s="7" t="str">
        <f>IFERROR(__xludf.DUMMYFUNCTION("""COMPUTED_VALUE"""),"Java Programming &amp; JVM Internals")</f>
        <v>Java Programming &amp; JVM Internals</v>
      </c>
      <c r="D349" s="7" t="str">
        <f>IFERROR(__xludf.DUMMYFUNCTION("""COMPUTED_VALUE"""),"S069")</f>
        <v>S069</v>
      </c>
      <c r="E349" s="7" t="str">
        <f>IFERROR(__xludf.DUMMYFUNCTION("""COMPUTED_VALUE"""),"Django Full-Stack Framework")</f>
        <v>Django Full-Stack Framework</v>
      </c>
      <c r="F349" s="7" t="str">
        <f>IFERROR(__xludf.DUMMYFUNCTION("""COMPUTED_VALUE"""),"S066 unlocks S069")</f>
        <v>S066 unlocks S069</v>
      </c>
    </row>
    <row r="350">
      <c r="A350" s="7" t="str">
        <f>IFERROR(__xludf.DUMMYFUNCTION("""COMPUTED_VALUE"""),"PE0349")</f>
        <v>PE0349</v>
      </c>
      <c r="B350" s="7" t="str">
        <f>IFERROR(__xludf.DUMMYFUNCTION("""COMPUTED_VALUE"""),"S066")</f>
        <v>S066</v>
      </c>
      <c r="C350" s="7" t="str">
        <f>IFERROR(__xludf.DUMMYFUNCTION("""COMPUTED_VALUE"""),"Java Programming &amp; JVM Internals")</f>
        <v>Java Programming &amp; JVM Internals</v>
      </c>
      <c r="D350" s="7" t="str">
        <f>IFERROR(__xludf.DUMMYFUNCTION("""COMPUTED_VALUE"""),"S070")</f>
        <v>S070</v>
      </c>
      <c r="E350" s="7" t="str">
        <f>IFERROR(__xludf.DUMMYFUNCTION("""COMPUTED_VALUE"""),"FastAPI High-Performance APIs")</f>
        <v>FastAPI High-Performance APIs</v>
      </c>
      <c r="F350" s="7" t="str">
        <f>IFERROR(__xludf.DUMMYFUNCTION("""COMPUTED_VALUE"""),"S066 unlocks S070")</f>
        <v>S066 unlocks S070</v>
      </c>
    </row>
    <row r="351">
      <c r="A351" s="7" t="str">
        <f>IFERROR(__xludf.DUMMYFUNCTION("""COMPUTED_VALUE"""),"PE0350")</f>
        <v>PE0350</v>
      </c>
      <c r="B351" s="7" t="str">
        <f>IFERROR(__xludf.DUMMYFUNCTION("""COMPUTED_VALUE"""),"S066")</f>
        <v>S066</v>
      </c>
      <c r="C351" s="7" t="str">
        <f>IFERROR(__xludf.DUMMYFUNCTION("""COMPUTED_VALUE"""),"Java Programming &amp; JVM Internals")</f>
        <v>Java Programming &amp; JVM Internals</v>
      </c>
      <c r="D351" s="7" t="str">
        <f>IFERROR(__xludf.DUMMYFUNCTION("""COMPUTED_VALUE"""),"S071")</f>
        <v>S071</v>
      </c>
      <c r="E351" s="7" t="str">
        <f>IFERROR(__xludf.DUMMYFUNCTION("""COMPUTED_VALUE"""),"Flask Microframework")</f>
        <v>Flask Microframework</v>
      </c>
      <c r="F351" s="7" t="str">
        <f>IFERROR(__xludf.DUMMYFUNCTION("""COMPUTED_VALUE"""),"S066 unlocks S071")</f>
        <v>S066 unlocks S071</v>
      </c>
    </row>
    <row r="352">
      <c r="A352" s="7" t="str">
        <f>IFERROR(__xludf.DUMMYFUNCTION("""COMPUTED_VALUE"""),"PE0351")</f>
        <v>PE0351</v>
      </c>
      <c r="B352" s="7" t="str">
        <f>IFERROR(__xludf.DUMMYFUNCTION("""COMPUTED_VALUE"""),"S066")</f>
        <v>S066</v>
      </c>
      <c r="C352" s="7" t="str">
        <f>IFERROR(__xludf.DUMMYFUNCTION("""COMPUTED_VALUE"""),"Java Programming &amp; JVM Internals")</f>
        <v>Java Programming &amp; JVM Internals</v>
      </c>
      <c r="D352" s="7" t="str">
        <f>IFERROR(__xludf.DUMMYFUNCTION("""COMPUTED_VALUE"""),"S072")</f>
        <v>S072</v>
      </c>
      <c r="E352" s="7" t="str">
        <f>IFERROR(__xludf.DUMMYFUNCTION("""COMPUTED_VALUE"""),"Node.js Runtime &amp; Event Loop")</f>
        <v>Node.js Runtime &amp; Event Loop</v>
      </c>
      <c r="F352" s="7" t="str">
        <f>IFERROR(__xludf.DUMMYFUNCTION("""COMPUTED_VALUE"""),"S066 unlocks S072")</f>
        <v>S066 unlocks S072</v>
      </c>
    </row>
    <row r="353">
      <c r="A353" s="7" t="str">
        <f>IFERROR(__xludf.DUMMYFUNCTION("""COMPUTED_VALUE"""),"PE0352")</f>
        <v>PE0352</v>
      </c>
      <c r="B353" s="7" t="str">
        <f>IFERROR(__xludf.DUMMYFUNCTION("""COMPUTED_VALUE"""),"S066")</f>
        <v>S066</v>
      </c>
      <c r="C353" s="7" t="str">
        <f>IFERROR(__xludf.DUMMYFUNCTION("""COMPUTED_VALUE"""),"Java Programming &amp; JVM Internals")</f>
        <v>Java Programming &amp; JVM Internals</v>
      </c>
      <c r="D353" s="7" t="str">
        <f>IFERROR(__xludf.DUMMYFUNCTION("""COMPUTED_VALUE"""),"S073")</f>
        <v>S073</v>
      </c>
      <c r="E353" s="7" t="str">
        <f>IFERROR(__xludf.DUMMYFUNCTION("""COMPUTED_VALUE"""),"Express.js Web Framework")</f>
        <v>Express.js Web Framework</v>
      </c>
      <c r="F353" s="7" t="str">
        <f>IFERROR(__xludf.DUMMYFUNCTION("""COMPUTED_VALUE"""),"S066 unlocks S073")</f>
        <v>S066 unlocks S073</v>
      </c>
    </row>
    <row r="354">
      <c r="A354" s="7" t="str">
        <f>IFERROR(__xludf.DUMMYFUNCTION("""COMPUTED_VALUE"""),"PE0353")</f>
        <v>PE0353</v>
      </c>
      <c r="B354" s="7" t="str">
        <f>IFERROR(__xludf.DUMMYFUNCTION("""COMPUTED_VALUE"""),"S066")</f>
        <v>S066</v>
      </c>
      <c r="C354" s="7" t="str">
        <f>IFERROR(__xludf.DUMMYFUNCTION("""COMPUTED_VALUE"""),"Java Programming &amp; JVM Internals")</f>
        <v>Java Programming &amp; JVM Internals</v>
      </c>
      <c r="D354" s="7" t="str">
        <f>IFERROR(__xludf.DUMMYFUNCTION("""COMPUTED_VALUE"""),"S077")</f>
        <v>S077</v>
      </c>
      <c r="E354" s="7" t="str">
        <f>IFERROR(__xludf.DUMMYFUNCTION("""COMPUTED_VALUE"""),"Go (Golang) Programming")</f>
        <v>Go (Golang) Programming</v>
      </c>
      <c r="F354" s="7" t="str">
        <f>IFERROR(__xludf.DUMMYFUNCTION("""COMPUTED_VALUE"""),"S066 unlocks S077")</f>
        <v>S066 unlocks S077</v>
      </c>
    </row>
    <row r="355">
      <c r="A355" s="7" t="str">
        <f>IFERROR(__xludf.DUMMYFUNCTION("""COMPUTED_VALUE"""),"PE0354")</f>
        <v>PE0354</v>
      </c>
      <c r="B355" s="7" t="str">
        <f>IFERROR(__xludf.DUMMYFUNCTION("""COMPUTED_VALUE"""),"S066")</f>
        <v>S066</v>
      </c>
      <c r="C355" s="7" t="str">
        <f>IFERROR(__xludf.DUMMYFUNCTION("""COMPUTED_VALUE"""),"Java Programming &amp; JVM Internals")</f>
        <v>Java Programming &amp; JVM Internals</v>
      </c>
      <c r="D355" s="7" t="str">
        <f>IFERROR(__xludf.DUMMYFUNCTION("""COMPUTED_VALUE"""),"S080")</f>
        <v>S080</v>
      </c>
      <c r="E355" s="7" t="str">
        <f>IFERROR(__xludf.DUMMYFUNCTION("""COMPUTED_VALUE"""),"Laravel PHP Framework")</f>
        <v>Laravel PHP Framework</v>
      </c>
      <c r="F355" s="7" t="str">
        <f>IFERROR(__xludf.DUMMYFUNCTION("""COMPUTED_VALUE"""),"S066 unlocks S080")</f>
        <v>S066 unlocks S080</v>
      </c>
    </row>
    <row r="356">
      <c r="A356" s="7" t="str">
        <f>IFERROR(__xludf.DUMMYFUNCTION("""COMPUTED_VALUE"""),"PE0355")</f>
        <v>PE0355</v>
      </c>
      <c r="B356" s="7" t="str">
        <f>IFERROR(__xludf.DUMMYFUNCTION("""COMPUTED_VALUE"""),"S066")</f>
        <v>S066</v>
      </c>
      <c r="C356" s="7" t="str">
        <f>IFERROR(__xludf.DUMMYFUNCTION("""COMPUTED_VALUE"""),"Java Programming &amp; JVM Internals")</f>
        <v>Java Programming &amp; JVM Internals</v>
      </c>
      <c r="D356" s="7" t="str">
        <f>IFERROR(__xludf.DUMMYFUNCTION("""COMPUTED_VALUE"""),"S081")</f>
        <v>S081</v>
      </c>
      <c r="E356" s="7" t="str">
        <f>IFERROR(__xludf.DUMMYFUNCTION("""COMPUTED_VALUE"""),"Ruby &amp; Ruby on Rails")</f>
        <v>Ruby &amp; Ruby on Rails</v>
      </c>
      <c r="F356" s="7" t="str">
        <f>IFERROR(__xludf.DUMMYFUNCTION("""COMPUTED_VALUE"""),"S066 unlocks S081")</f>
        <v>S066 unlocks S081</v>
      </c>
    </row>
    <row r="357">
      <c r="A357" s="7" t="str">
        <f>IFERROR(__xludf.DUMMYFUNCTION("""COMPUTED_VALUE"""),"PE0356")</f>
        <v>PE0356</v>
      </c>
      <c r="B357" s="7" t="str">
        <f>IFERROR(__xludf.DUMMYFUNCTION("""COMPUTED_VALUE"""),"S066")</f>
        <v>S066</v>
      </c>
      <c r="C357" s="7" t="str">
        <f>IFERROR(__xludf.DUMMYFUNCTION("""COMPUTED_VALUE"""),"Java Programming &amp; JVM Internals")</f>
        <v>Java Programming &amp; JVM Internals</v>
      </c>
      <c r="D357" s="7" t="str">
        <f>IFERROR(__xludf.DUMMYFUNCTION("""COMPUTED_VALUE"""),"S083")</f>
        <v>S083</v>
      </c>
      <c r="E357" s="7" t="str">
        <f>IFERROR(__xludf.DUMMYFUNCTION("""COMPUTED_VALUE"""),"C++ &amp; Standard Template Library (STL)")</f>
        <v>C++ &amp; Standard Template Library (STL)</v>
      </c>
      <c r="F357" s="7" t="str">
        <f>IFERROR(__xludf.DUMMYFUNCTION("""COMPUTED_VALUE"""),"S066 unlocks S083")</f>
        <v>S066 unlocks S083</v>
      </c>
    </row>
    <row r="358">
      <c r="A358" s="7" t="str">
        <f>IFERROR(__xludf.DUMMYFUNCTION("""COMPUTED_VALUE"""),"PE0357")</f>
        <v>PE0357</v>
      </c>
      <c r="B358" s="7" t="str">
        <f>IFERROR(__xludf.DUMMYFUNCTION("""COMPUTED_VALUE"""),"S068")</f>
        <v>S068</v>
      </c>
      <c r="C358" s="7" t="str">
        <f>IFERROR(__xludf.DUMMYFUNCTION("""COMPUTED_VALUE"""),"Python Programming Fundamentals")</f>
        <v>Python Programming Fundamentals</v>
      </c>
      <c r="D358" s="7" t="str">
        <f>IFERROR(__xludf.DUMMYFUNCTION("""COMPUTED_VALUE"""),"S069")</f>
        <v>S069</v>
      </c>
      <c r="E358" s="7" t="str">
        <f>IFERROR(__xludf.DUMMYFUNCTION("""COMPUTED_VALUE"""),"Django Full-Stack Framework")</f>
        <v>Django Full-Stack Framework</v>
      </c>
      <c r="F358" s="7" t="str">
        <f>IFERROR(__xludf.DUMMYFUNCTION("""COMPUTED_VALUE"""),"S068 unlocks S069")</f>
        <v>S068 unlocks S069</v>
      </c>
    </row>
    <row r="359">
      <c r="A359" s="7" t="str">
        <f>IFERROR(__xludf.DUMMYFUNCTION("""COMPUTED_VALUE"""),"PE0358")</f>
        <v>PE0358</v>
      </c>
      <c r="B359" s="7" t="str">
        <f>IFERROR(__xludf.DUMMYFUNCTION("""COMPUTED_VALUE"""),"S068")</f>
        <v>S068</v>
      </c>
      <c r="C359" s="7" t="str">
        <f>IFERROR(__xludf.DUMMYFUNCTION("""COMPUTED_VALUE"""),"Python Programming Fundamentals")</f>
        <v>Python Programming Fundamentals</v>
      </c>
      <c r="D359" s="7" t="str">
        <f>IFERROR(__xludf.DUMMYFUNCTION("""COMPUTED_VALUE"""),"S070")</f>
        <v>S070</v>
      </c>
      <c r="E359" s="7" t="str">
        <f>IFERROR(__xludf.DUMMYFUNCTION("""COMPUTED_VALUE"""),"FastAPI High-Performance APIs")</f>
        <v>FastAPI High-Performance APIs</v>
      </c>
      <c r="F359" s="7" t="str">
        <f>IFERROR(__xludf.DUMMYFUNCTION("""COMPUTED_VALUE"""),"S068 unlocks S070")</f>
        <v>S068 unlocks S070</v>
      </c>
    </row>
    <row r="360">
      <c r="A360" s="7" t="str">
        <f>IFERROR(__xludf.DUMMYFUNCTION("""COMPUTED_VALUE"""),"PE0359")</f>
        <v>PE0359</v>
      </c>
      <c r="B360" s="7" t="str">
        <f>IFERROR(__xludf.DUMMYFUNCTION("""COMPUTED_VALUE"""),"S068")</f>
        <v>S068</v>
      </c>
      <c r="C360" s="7" t="str">
        <f>IFERROR(__xludf.DUMMYFUNCTION("""COMPUTED_VALUE"""),"Python Programming Fundamentals")</f>
        <v>Python Programming Fundamentals</v>
      </c>
      <c r="D360" s="7" t="str">
        <f>IFERROR(__xludf.DUMMYFUNCTION("""COMPUTED_VALUE"""),"S071")</f>
        <v>S071</v>
      </c>
      <c r="E360" s="7" t="str">
        <f>IFERROR(__xludf.DUMMYFUNCTION("""COMPUTED_VALUE"""),"Flask Microframework")</f>
        <v>Flask Microframework</v>
      </c>
      <c r="F360" s="7" t="str">
        <f>IFERROR(__xludf.DUMMYFUNCTION("""COMPUTED_VALUE"""),"S068 unlocks S071")</f>
        <v>S068 unlocks S071</v>
      </c>
    </row>
    <row r="361">
      <c r="A361" s="7" t="str">
        <f>IFERROR(__xludf.DUMMYFUNCTION("""COMPUTED_VALUE"""),"PE0360")</f>
        <v>PE0360</v>
      </c>
      <c r="B361" s="7" t="str">
        <f>IFERROR(__xludf.DUMMYFUNCTION("""COMPUTED_VALUE"""),"S068")</f>
        <v>S068</v>
      </c>
      <c r="C361" s="7" t="str">
        <f>IFERROR(__xludf.DUMMYFUNCTION("""COMPUTED_VALUE"""),"Python Programming Fundamentals")</f>
        <v>Python Programming Fundamentals</v>
      </c>
      <c r="D361" s="7" t="str">
        <f>IFERROR(__xludf.DUMMYFUNCTION("""COMPUTED_VALUE"""),"S072")</f>
        <v>S072</v>
      </c>
      <c r="E361" s="7" t="str">
        <f>IFERROR(__xludf.DUMMYFUNCTION("""COMPUTED_VALUE"""),"Node.js Runtime &amp; Event Loop")</f>
        <v>Node.js Runtime &amp; Event Loop</v>
      </c>
      <c r="F361" s="7" t="str">
        <f>IFERROR(__xludf.DUMMYFUNCTION("""COMPUTED_VALUE"""),"S068 unlocks S072")</f>
        <v>S068 unlocks S072</v>
      </c>
    </row>
    <row r="362">
      <c r="A362" s="7" t="str">
        <f>IFERROR(__xludf.DUMMYFUNCTION("""COMPUTED_VALUE"""),"PE0361")</f>
        <v>PE0361</v>
      </c>
      <c r="B362" s="7" t="str">
        <f>IFERROR(__xludf.DUMMYFUNCTION("""COMPUTED_VALUE"""),"S068")</f>
        <v>S068</v>
      </c>
      <c r="C362" s="7" t="str">
        <f>IFERROR(__xludf.DUMMYFUNCTION("""COMPUTED_VALUE"""),"Python Programming Fundamentals")</f>
        <v>Python Programming Fundamentals</v>
      </c>
      <c r="D362" s="7" t="str">
        <f>IFERROR(__xludf.DUMMYFUNCTION("""COMPUTED_VALUE"""),"S073")</f>
        <v>S073</v>
      </c>
      <c r="E362" s="7" t="str">
        <f>IFERROR(__xludf.DUMMYFUNCTION("""COMPUTED_VALUE"""),"Express.js Web Framework")</f>
        <v>Express.js Web Framework</v>
      </c>
      <c r="F362" s="7" t="str">
        <f>IFERROR(__xludf.DUMMYFUNCTION("""COMPUTED_VALUE"""),"S068 unlocks S073")</f>
        <v>S068 unlocks S073</v>
      </c>
    </row>
    <row r="363">
      <c r="A363" s="7" t="str">
        <f>IFERROR(__xludf.DUMMYFUNCTION("""COMPUTED_VALUE"""),"PE0362")</f>
        <v>PE0362</v>
      </c>
      <c r="B363" s="7" t="str">
        <f>IFERROR(__xludf.DUMMYFUNCTION("""COMPUTED_VALUE"""),"S068")</f>
        <v>S068</v>
      </c>
      <c r="C363" s="7" t="str">
        <f>IFERROR(__xludf.DUMMYFUNCTION("""COMPUTED_VALUE"""),"Python Programming Fundamentals")</f>
        <v>Python Programming Fundamentals</v>
      </c>
      <c r="D363" s="7" t="str">
        <f>IFERROR(__xludf.DUMMYFUNCTION("""COMPUTED_VALUE"""),"S077")</f>
        <v>S077</v>
      </c>
      <c r="E363" s="7" t="str">
        <f>IFERROR(__xludf.DUMMYFUNCTION("""COMPUTED_VALUE"""),"Go (Golang) Programming")</f>
        <v>Go (Golang) Programming</v>
      </c>
      <c r="F363" s="7" t="str">
        <f>IFERROR(__xludf.DUMMYFUNCTION("""COMPUTED_VALUE"""),"S068 unlocks S077")</f>
        <v>S068 unlocks S077</v>
      </c>
    </row>
    <row r="364">
      <c r="A364" s="7" t="str">
        <f>IFERROR(__xludf.DUMMYFUNCTION("""COMPUTED_VALUE"""),"PE0363")</f>
        <v>PE0363</v>
      </c>
      <c r="B364" s="7" t="str">
        <f>IFERROR(__xludf.DUMMYFUNCTION("""COMPUTED_VALUE"""),"S068")</f>
        <v>S068</v>
      </c>
      <c r="C364" s="7" t="str">
        <f>IFERROR(__xludf.DUMMYFUNCTION("""COMPUTED_VALUE"""),"Python Programming Fundamentals")</f>
        <v>Python Programming Fundamentals</v>
      </c>
      <c r="D364" s="7" t="str">
        <f>IFERROR(__xludf.DUMMYFUNCTION("""COMPUTED_VALUE"""),"S080")</f>
        <v>S080</v>
      </c>
      <c r="E364" s="7" t="str">
        <f>IFERROR(__xludf.DUMMYFUNCTION("""COMPUTED_VALUE"""),"Laravel PHP Framework")</f>
        <v>Laravel PHP Framework</v>
      </c>
      <c r="F364" s="7" t="str">
        <f>IFERROR(__xludf.DUMMYFUNCTION("""COMPUTED_VALUE"""),"S068 unlocks S080")</f>
        <v>S068 unlocks S080</v>
      </c>
    </row>
    <row r="365">
      <c r="A365" s="7" t="str">
        <f>IFERROR(__xludf.DUMMYFUNCTION("""COMPUTED_VALUE"""),"PE0364")</f>
        <v>PE0364</v>
      </c>
      <c r="B365" s="7" t="str">
        <f>IFERROR(__xludf.DUMMYFUNCTION("""COMPUTED_VALUE"""),"S068")</f>
        <v>S068</v>
      </c>
      <c r="C365" s="7" t="str">
        <f>IFERROR(__xludf.DUMMYFUNCTION("""COMPUTED_VALUE"""),"Python Programming Fundamentals")</f>
        <v>Python Programming Fundamentals</v>
      </c>
      <c r="D365" s="7" t="str">
        <f>IFERROR(__xludf.DUMMYFUNCTION("""COMPUTED_VALUE"""),"S081")</f>
        <v>S081</v>
      </c>
      <c r="E365" s="7" t="str">
        <f>IFERROR(__xludf.DUMMYFUNCTION("""COMPUTED_VALUE"""),"Ruby &amp; Ruby on Rails")</f>
        <v>Ruby &amp; Ruby on Rails</v>
      </c>
      <c r="F365" s="7" t="str">
        <f>IFERROR(__xludf.DUMMYFUNCTION("""COMPUTED_VALUE"""),"S068 unlocks S081")</f>
        <v>S068 unlocks S081</v>
      </c>
    </row>
    <row r="366">
      <c r="A366" s="7" t="str">
        <f>IFERROR(__xludf.DUMMYFUNCTION("""COMPUTED_VALUE"""),"PE0365")</f>
        <v>PE0365</v>
      </c>
      <c r="B366" s="7" t="str">
        <f>IFERROR(__xludf.DUMMYFUNCTION("""COMPUTED_VALUE"""),"S068")</f>
        <v>S068</v>
      </c>
      <c r="C366" s="7" t="str">
        <f>IFERROR(__xludf.DUMMYFUNCTION("""COMPUTED_VALUE"""),"Python Programming Fundamentals")</f>
        <v>Python Programming Fundamentals</v>
      </c>
      <c r="D366" s="7" t="str">
        <f>IFERROR(__xludf.DUMMYFUNCTION("""COMPUTED_VALUE"""),"S083")</f>
        <v>S083</v>
      </c>
      <c r="E366" s="7" t="str">
        <f>IFERROR(__xludf.DUMMYFUNCTION("""COMPUTED_VALUE"""),"C++ &amp; Standard Template Library (STL)")</f>
        <v>C++ &amp; Standard Template Library (STL)</v>
      </c>
      <c r="F366" s="7" t="str">
        <f>IFERROR(__xludf.DUMMYFUNCTION("""COMPUTED_VALUE"""),"S068 unlocks S083")</f>
        <v>S068 unlocks S083</v>
      </c>
    </row>
    <row r="367">
      <c r="A367" s="7" t="str">
        <f>IFERROR(__xludf.DUMMYFUNCTION("""COMPUTED_VALUE"""),"PE0366")</f>
        <v>PE0366</v>
      </c>
      <c r="B367" s="7" t="str">
        <f>IFERROR(__xludf.DUMMYFUNCTION("""COMPUTED_VALUE"""),"S075")</f>
        <v>S075</v>
      </c>
      <c r="C367" s="7" t="str">
        <f>IFERROR(__xludf.DUMMYFUNCTION("""COMPUTED_VALUE"""),"C# &amp; .NET Runtime")</f>
        <v>C# &amp; .NET Runtime</v>
      </c>
      <c r="D367" s="7" t="str">
        <f>IFERROR(__xludf.DUMMYFUNCTION("""COMPUTED_VALUE"""),"S069")</f>
        <v>S069</v>
      </c>
      <c r="E367" s="7" t="str">
        <f>IFERROR(__xludf.DUMMYFUNCTION("""COMPUTED_VALUE"""),"Django Full-Stack Framework")</f>
        <v>Django Full-Stack Framework</v>
      </c>
      <c r="F367" s="7" t="str">
        <f>IFERROR(__xludf.DUMMYFUNCTION("""COMPUTED_VALUE"""),"S075 unlocks S069")</f>
        <v>S075 unlocks S069</v>
      </c>
    </row>
    <row r="368">
      <c r="A368" s="7" t="str">
        <f>IFERROR(__xludf.DUMMYFUNCTION("""COMPUTED_VALUE"""),"PE0367")</f>
        <v>PE0367</v>
      </c>
      <c r="B368" s="7" t="str">
        <f>IFERROR(__xludf.DUMMYFUNCTION("""COMPUTED_VALUE"""),"S075")</f>
        <v>S075</v>
      </c>
      <c r="C368" s="7" t="str">
        <f>IFERROR(__xludf.DUMMYFUNCTION("""COMPUTED_VALUE"""),"C# &amp; .NET Runtime")</f>
        <v>C# &amp; .NET Runtime</v>
      </c>
      <c r="D368" s="7" t="str">
        <f>IFERROR(__xludf.DUMMYFUNCTION("""COMPUTED_VALUE"""),"S070")</f>
        <v>S070</v>
      </c>
      <c r="E368" s="7" t="str">
        <f>IFERROR(__xludf.DUMMYFUNCTION("""COMPUTED_VALUE"""),"FastAPI High-Performance APIs")</f>
        <v>FastAPI High-Performance APIs</v>
      </c>
      <c r="F368" s="7" t="str">
        <f>IFERROR(__xludf.DUMMYFUNCTION("""COMPUTED_VALUE"""),"S075 unlocks S070")</f>
        <v>S075 unlocks S070</v>
      </c>
    </row>
    <row r="369">
      <c r="A369" s="7" t="str">
        <f>IFERROR(__xludf.DUMMYFUNCTION("""COMPUTED_VALUE"""),"PE0368")</f>
        <v>PE0368</v>
      </c>
      <c r="B369" s="7" t="str">
        <f>IFERROR(__xludf.DUMMYFUNCTION("""COMPUTED_VALUE"""),"S075")</f>
        <v>S075</v>
      </c>
      <c r="C369" s="7" t="str">
        <f>IFERROR(__xludf.DUMMYFUNCTION("""COMPUTED_VALUE"""),"C# &amp; .NET Runtime")</f>
        <v>C# &amp; .NET Runtime</v>
      </c>
      <c r="D369" s="7" t="str">
        <f>IFERROR(__xludf.DUMMYFUNCTION("""COMPUTED_VALUE"""),"S071")</f>
        <v>S071</v>
      </c>
      <c r="E369" s="7" t="str">
        <f>IFERROR(__xludf.DUMMYFUNCTION("""COMPUTED_VALUE"""),"Flask Microframework")</f>
        <v>Flask Microframework</v>
      </c>
      <c r="F369" s="7" t="str">
        <f>IFERROR(__xludf.DUMMYFUNCTION("""COMPUTED_VALUE"""),"S075 unlocks S071")</f>
        <v>S075 unlocks S071</v>
      </c>
    </row>
    <row r="370">
      <c r="A370" s="7" t="str">
        <f>IFERROR(__xludf.DUMMYFUNCTION("""COMPUTED_VALUE"""),"PE0369")</f>
        <v>PE0369</v>
      </c>
      <c r="B370" s="7" t="str">
        <f>IFERROR(__xludf.DUMMYFUNCTION("""COMPUTED_VALUE"""),"S075")</f>
        <v>S075</v>
      </c>
      <c r="C370" s="7" t="str">
        <f>IFERROR(__xludf.DUMMYFUNCTION("""COMPUTED_VALUE"""),"C# &amp; .NET Runtime")</f>
        <v>C# &amp; .NET Runtime</v>
      </c>
      <c r="D370" s="7" t="str">
        <f>IFERROR(__xludf.DUMMYFUNCTION("""COMPUTED_VALUE"""),"S072")</f>
        <v>S072</v>
      </c>
      <c r="E370" s="7" t="str">
        <f>IFERROR(__xludf.DUMMYFUNCTION("""COMPUTED_VALUE"""),"Node.js Runtime &amp; Event Loop")</f>
        <v>Node.js Runtime &amp; Event Loop</v>
      </c>
      <c r="F370" s="7" t="str">
        <f>IFERROR(__xludf.DUMMYFUNCTION("""COMPUTED_VALUE"""),"S075 unlocks S072")</f>
        <v>S075 unlocks S072</v>
      </c>
    </row>
    <row r="371">
      <c r="A371" s="7" t="str">
        <f>IFERROR(__xludf.DUMMYFUNCTION("""COMPUTED_VALUE"""),"PE0370")</f>
        <v>PE0370</v>
      </c>
      <c r="B371" s="7" t="str">
        <f>IFERROR(__xludf.DUMMYFUNCTION("""COMPUTED_VALUE"""),"S075")</f>
        <v>S075</v>
      </c>
      <c r="C371" s="7" t="str">
        <f>IFERROR(__xludf.DUMMYFUNCTION("""COMPUTED_VALUE"""),"C# &amp; .NET Runtime")</f>
        <v>C# &amp; .NET Runtime</v>
      </c>
      <c r="D371" s="7" t="str">
        <f>IFERROR(__xludf.DUMMYFUNCTION("""COMPUTED_VALUE"""),"S073")</f>
        <v>S073</v>
      </c>
      <c r="E371" s="7" t="str">
        <f>IFERROR(__xludf.DUMMYFUNCTION("""COMPUTED_VALUE"""),"Express.js Web Framework")</f>
        <v>Express.js Web Framework</v>
      </c>
      <c r="F371" s="7" t="str">
        <f>IFERROR(__xludf.DUMMYFUNCTION("""COMPUTED_VALUE"""),"S075 unlocks S073")</f>
        <v>S075 unlocks S073</v>
      </c>
    </row>
    <row r="372">
      <c r="A372" s="7" t="str">
        <f>IFERROR(__xludf.DUMMYFUNCTION("""COMPUTED_VALUE"""),"PE0371")</f>
        <v>PE0371</v>
      </c>
      <c r="B372" s="7" t="str">
        <f>IFERROR(__xludf.DUMMYFUNCTION("""COMPUTED_VALUE"""),"S075")</f>
        <v>S075</v>
      </c>
      <c r="C372" s="7" t="str">
        <f>IFERROR(__xludf.DUMMYFUNCTION("""COMPUTED_VALUE"""),"C# &amp; .NET Runtime")</f>
        <v>C# &amp; .NET Runtime</v>
      </c>
      <c r="D372" s="7" t="str">
        <f>IFERROR(__xludf.DUMMYFUNCTION("""COMPUTED_VALUE"""),"S077")</f>
        <v>S077</v>
      </c>
      <c r="E372" s="7" t="str">
        <f>IFERROR(__xludf.DUMMYFUNCTION("""COMPUTED_VALUE"""),"Go (Golang) Programming")</f>
        <v>Go (Golang) Programming</v>
      </c>
      <c r="F372" s="7" t="str">
        <f>IFERROR(__xludf.DUMMYFUNCTION("""COMPUTED_VALUE"""),"S075 unlocks S077")</f>
        <v>S075 unlocks S077</v>
      </c>
    </row>
    <row r="373">
      <c r="A373" s="7" t="str">
        <f>IFERROR(__xludf.DUMMYFUNCTION("""COMPUTED_VALUE"""),"PE0372")</f>
        <v>PE0372</v>
      </c>
      <c r="B373" s="7" t="str">
        <f>IFERROR(__xludf.DUMMYFUNCTION("""COMPUTED_VALUE"""),"S075")</f>
        <v>S075</v>
      </c>
      <c r="C373" s="7" t="str">
        <f>IFERROR(__xludf.DUMMYFUNCTION("""COMPUTED_VALUE"""),"C# &amp; .NET Runtime")</f>
        <v>C# &amp; .NET Runtime</v>
      </c>
      <c r="D373" s="7" t="str">
        <f>IFERROR(__xludf.DUMMYFUNCTION("""COMPUTED_VALUE"""),"S080")</f>
        <v>S080</v>
      </c>
      <c r="E373" s="7" t="str">
        <f>IFERROR(__xludf.DUMMYFUNCTION("""COMPUTED_VALUE"""),"Laravel PHP Framework")</f>
        <v>Laravel PHP Framework</v>
      </c>
      <c r="F373" s="7" t="str">
        <f>IFERROR(__xludf.DUMMYFUNCTION("""COMPUTED_VALUE"""),"S075 unlocks S080")</f>
        <v>S075 unlocks S080</v>
      </c>
    </row>
    <row r="374">
      <c r="A374" s="7" t="str">
        <f>IFERROR(__xludf.DUMMYFUNCTION("""COMPUTED_VALUE"""),"PE0373")</f>
        <v>PE0373</v>
      </c>
      <c r="B374" s="7" t="str">
        <f>IFERROR(__xludf.DUMMYFUNCTION("""COMPUTED_VALUE"""),"S075")</f>
        <v>S075</v>
      </c>
      <c r="C374" s="7" t="str">
        <f>IFERROR(__xludf.DUMMYFUNCTION("""COMPUTED_VALUE"""),"C# &amp; .NET Runtime")</f>
        <v>C# &amp; .NET Runtime</v>
      </c>
      <c r="D374" s="7" t="str">
        <f>IFERROR(__xludf.DUMMYFUNCTION("""COMPUTED_VALUE"""),"S081")</f>
        <v>S081</v>
      </c>
      <c r="E374" s="7" t="str">
        <f>IFERROR(__xludf.DUMMYFUNCTION("""COMPUTED_VALUE"""),"Ruby &amp; Ruby on Rails")</f>
        <v>Ruby &amp; Ruby on Rails</v>
      </c>
      <c r="F374" s="7" t="str">
        <f>IFERROR(__xludf.DUMMYFUNCTION("""COMPUTED_VALUE"""),"S075 unlocks S081")</f>
        <v>S075 unlocks S081</v>
      </c>
    </row>
    <row r="375">
      <c r="A375" s="7" t="str">
        <f>IFERROR(__xludf.DUMMYFUNCTION("""COMPUTED_VALUE"""),"PE0374")</f>
        <v>PE0374</v>
      </c>
      <c r="B375" s="7" t="str">
        <f>IFERROR(__xludf.DUMMYFUNCTION("""COMPUTED_VALUE"""),"S075")</f>
        <v>S075</v>
      </c>
      <c r="C375" s="7" t="str">
        <f>IFERROR(__xludf.DUMMYFUNCTION("""COMPUTED_VALUE"""),"C# &amp; .NET Runtime")</f>
        <v>C# &amp; .NET Runtime</v>
      </c>
      <c r="D375" s="7" t="str">
        <f>IFERROR(__xludf.DUMMYFUNCTION("""COMPUTED_VALUE"""),"S083")</f>
        <v>S083</v>
      </c>
      <c r="E375" s="7" t="str">
        <f>IFERROR(__xludf.DUMMYFUNCTION("""COMPUTED_VALUE"""),"C++ &amp; Standard Template Library (STL)")</f>
        <v>C++ &amp; Standard Template Library (STL)</v>
      </c>
      <c r="F375" s="7" t="str">
        <f>IFERROR(__xludf.DUMMYFUNCTION("""COMPUTED_VALUE"""),"S075 unlocks S083")</f>
        <v>S075 unlocks S083</v>
      </c>
    </row>
    <row r="376">
      <c r="A376" s="7" t="str">
        <f>IFERROR(__xludf.DUMMYFUNCTION("""COMPUTED_VALUE"""),"PE0375")</f>
        <v>PE0375</v>
      </c>
      <c r="B376" s="7" t="str">
        <f>IFERROR(__xludf.DUMMYFUNCTION("""COMPUTED_VALUE"""),"S079")</f>
        <v>S079</v>
      </c>
      <c r="C376" s="7" t="str">
        <f>IFERROR(__xludf.DUMMYFUNCTION("""COMPUTED_VALUE"""),"PHP Server-Side Scripting")</f>
        <v>PHP Server-Side Scripting</v>
      </c>
      <c r="D376" s="7" t="str">
        <f>IFERROR(__xludf.DUMMYFUNCTION("""COMPUTED_VALUE"""),"S069")</f>
        <v>S069</v>
      </c>
      <c r="E376" s="7" t="str">
        <f>IFERROR(__xludf.DUMMYFUNCTION("""COMPUTED_VALUE"""),"Django Full-Stack Framework")</f>
        <v>Django Full-Stack Framework</v>
      </c>
      <c r="F376" s="7" t="str">
        <f>IFERROR(__xludf.DUMMYFUNCTION("""COMPUTED_VALUE"""),"S079 unlocks S069")</f>
        <v>S079 unlocks S069</v>
      </c>
    </row>
    <row r="377">
      <c r="A377" s="7" t="str">
        <f>IFERROR(__xludf.DUMMYFUNCTION("""COMPUTED_VALUE"""),"PE0376")</f>
        <v>PE0376</v>
      </c>
      <c r="B377" s="7" t="str">
        <f>IFERROR(__xludf.DUMMYFUNCTION("""COMPUTED_VALUE"""),"S079")</f>
        <v>S079</v>
      </c>
      <c r="C377" s="7" t="str">
        <f>IFERROR(__xludf.DUMMYFUNCTION("""COMPUTED_VALUE"""),"PHP Server-Side Scripting")</f>
        <v>PHP Server-Side Scripting</v>
      </c>
      <c r="D377" s="7" t="str">
        <f>IFERROR(__xludf.DUMMYFUNCTION("""COMPUTED_VALUE"""),"S070")</f>
        <v>S070</v>
      </c>
      <c r="E377" s="7" t="str">
        <f>IFERROR(__xludf.DUMMYFUNCTION("""COMPUTED_VALUE"""),"FastAPI High-Performance APIs")</f>
        <v>FastAPI High-Performance APIs</v>
      </c>
      <c r="F377" s="7" t="str">
        <f>IFERROR(__xludf.DUMMYFUNCTION("""COMPUTED_VALUE"""),"S079 unlocks S070")</f>
        <v>S079 unlocks S070</v>
      </c>
    </row>
    <row r="378">
      <c r="A378" s="7" t="str">
        <f>IFERROR(__xludf.DUMMYFUNCTION("""COMPUTED_VALUE"""),"PE0377")</f>
        <v>PE0377</v>
      </c>
      <c r="B378" s="7" t="str">
        <f>IFERROR(__xludf.DUMMYFUNCTION("""COMPUTED_VALUE"""),"S079")</f>
        <v>S079</v>
      </c>
      <c r="C378" s="7" t="str">
        <f>IFERROR(__xludf.DUMMYFUNCTION("""COMPUTED_VALUE"""),"PHP Server-Side Scripting")</f>
        <v>PHP Server-Side Scripting</v>
      </c>
      <c r="D378" s="7" t="str">
        <f>IFERROR(__xludf.DUMMYFUNCTION("""COMPUTED_VALUE"""),"S071")</f>
        <v>S071</v>
      </c>
      <c r="E378" s="7" t="str">
        <f>IFERROR(__xludf.DUMMYFUNCTION("""COMPUTED_VALUE"""),"Flask Microframework")</f>
        <v>Flask Microframework</v>
      </c>
      <c r="F378" s="7" t="str">
        <f>IFERROR(__xludf.DUMMYFUNCTION("""COMPUTED_VALUE"""),"S079 unlocks S071")</f>
        <v>S079 unlocks S071</v>
      </c>
    </row>
    <row r="379">
      <c r="A379" s="7" t="str">
        <f>IFERROR(__xludf.DUMMYFUNCTION("""COMPUTED_VALUE"""),"PE0378")</f>
        <v>PE0378</v>
      </c>
      <c r="B379" s="7" t="str">
        <f>IFERROR(__xludf.DUMMYFUNCTION("""COMPUTED_VALUE"""),"S079")</f>
        <v>S079</v>
      </c>
      <c r="C379" s="7" t="str">
        <f>IFERROR(__xludf.DUMMYFUNCTION("""COMPUTED_VALUE"""),"PHP Server-Side Scripting")</f>
        <v>PHP Server-Side Scripting</v>
      </c>
      <c r="D379" s="7" t="str">
        <f>IFERROR(__xludf.DUMMYFUNCTION("""COMPUTED_VALUE"""),"S072")</f>
        <v>S072</v>
      </c>
      <c r="E379" s="7" t="str">
        <f>IFERROR(__xludf.DUMMYFUNCTION("""COMPUTED_VALUE"""),"Node.js Runtime &amp; Event Loop")</f>
        <v>Node.js Runtime &amp; Event Loop</v>
      </c>
      <c r="F379" s="7" t="str">
        <f>IFERROR(__xludf.DUMMYFUNCTION("""COMPUTED_VALUE"""),"S079 unlocks S072")</f>
        <v>S079 unlocks S072</v>
      </c>
    </row>
    <row r="380">
      <c r="A380" s="7" t="str">
        <f>IFERROR(__xludf.DUMMYFUNCTION("""COMPUTED_VALUE"""),"PE0379")</f>
        <v>PE0379</v>
      </c>
      <c r="B380" s="7" t="str">
        <f>IFERROR(__xludf.DUMMYFUNCTION("""COMPUTED_VALUE"""),"S079")</f>
        <v>S079</v>
      </c>
      <c r="C380" s="7" t="str">
        <f>IFERROR(__xludf.DUMMYFUNCTION("""COMPUTED_VALUE"""),"PHP Server-Side Scripting")</f>
        <v>PHP Server-Side Scripting</v>
      </c>
      <c r="D380" s="7" t="str">
        <f>IFERROR(__xludf.DUMMYFUNCTION("""COMPUTED_VALUE"""),"S073")</f>
        <v>S073</v>
      </c>
      <c r="E380" s="7" t="str">
        <f>IFERROR(__xludf.DUMMYFUNCTION("""COMPUTED_VALUE"""),"Express.js Web Framework")</f>
        <v>Express.js Web Framework</v>
      </c>
      <c r="F380" s="7" t="str">
        <f>IFERROR(__xludf.DUMMYFUNCTION("""COMPUTED_VALUE"""),"S079 unlocks S073")</f>
        <v>S079 unlocks S073</v>
      </c>
    </row>
    <row r="381">
      <c r="A381" s="7" t="str">
        <f>IFERROR(__xludf.DUMMYFUNCTION("""COMPUTED_VALUE"""),"PE0380")</f>
        <v>PE0380</v>
      </c>
      <c r="B381" s="7" t="str">
        <f>IFERROR(__xludf.DUMMYFUNCTION("""COMPUTED_VALUE"""),"S079")</f>
        <v>S079</v>
      </c>
      <c r="C381" s="7" t="str">
        <f>IFERROR(__xludf.DUMMYFUNCTION("""COMPUTED_VALUE"""),"PHP Server-Side Scripting")</f>
        <v>PHP Server-Side Scripting</v>
      </c>
      <c r="D381" s="7" t="str">
        <f>IFERROR(__xludf.DUMMYFUNCTION("""COMPUTED_VALUE"""),"S077")</f>
        <v>S077</v>
      </c>
      <c r="E381" s="7" t="str">
        <f>IFERROR(__xludf.DUMMYFUNCTION("""COMPUTED_VALUE"""),"Go (Golang) Programming")</f>
        <v>Go (Golang) Programming</v>
      </c>
      <c r="F381" s="7" t="str">
        <f>IFERROR(__xludf.DUMMYFUNCTION("""COMPUTED_VALUE"""),"S079 unlocks S077")</f>
        <v>S079 unlocks S077</v>
      </c>
    </row>
    <row r="382">
      <c r="A382" s="7" t="str">
        <f>IFERROR(__xludf.DUMMYFUNCTION("""COMPUTED_VALUE"""),"PE0381")</f>
        <v>PE0381</v>
      </c>
      <c r="B382" s="7" t="str">
        <f>IFERROR(__xludf.DUMMYFUNCTION("""COMPUTED_VALUE"""),"S079")</f>
        <v>S079</v>
      </c>
      <c r="C382" s="7" t="str">
        <f>IFERROR(__xludf.DUMMYFUNCTION("""COMPUTED_VALUE"""),"PHP Server-Side Scripting")</f>
        <v>PHP Server-Side Scripting</v>
      </c>
      <c r="D382" s="7" t="str">
        <f>IFERROR(__xludf.DUMMYFUNCTION("""COMPUTED_VALUE"""),"S080")</f>
        <v>S080</v>
      </c>
      <c r="E382" s="7" t="str">
        <f>IFERROR(__xludf.DUMMYFUNCTION("""COMPUTED_VALUE"""),"Laravel PHP Framework")</f>
        <v>Laravel PHP Framework</v>
      </c>
      <c r="F382" s="7" t="str">
        <f>IFERROR(__xludf.DUMMYFUNCTION("""COMPUTED_VALUE"""),"S079 unlocks S080")</f>
        <v>S079 unlocks S080</v>
      </c>
    </row>
    <row r="383">
      <c r="A383" s="7" t="str">
        <f>IFERROR(__xludf.DUMMYFUNCTION("""COMPUTED_VALUE"""),"PE0382")</f>
        <v>PE0382</v>
      </c>
      <c r="B383" s="7" t="str">
        <f>IFERROR(__xludf.DUMMYFUNCTION("""COMPUTED_VALUE"""),"S079")</f>
        <v>S079</v>
      </c>
      <c r="C383" s="7" t="str">
        <f>IFERROR(__xludf.DUMMYFUNCTION("""COMPUTED_VALUE"""),"PHP Server-Side Scripting")</f>
        <v>PHP Server-Side Scripting</v>
      </c>
      <c r="D383" s="7" t="str">
        <f>IFERROR(__xludf.DUMMYFUNCTION("""COMPUTED_VALUE"""),"S081")</f>
        <v>S081</v>
      </c>
      <c r="E383" s="7" t="str">
        <f>IFERROR(__xludf.DUMMYFUNCTION("""COMPUTED_VALUE"""),"Ruby &amp; Ruby on Rails")</f>
        <v>Ruby &amp; Ruby on Rails</v>
      </c>
      <c r="F383" s="7" t="str">
        <f>IFERROR(__xludf.DUMMYFUNCTION("""COMPUTED_VALUE"""),"S079 unlocks S081")</f>
        <v>S079 unlocks S081</v>
      </c>
    </row>
    <row r="384">
      <c r="A384" s="7" t="str">
        <f>IFERROR(__xludf.DUMMYFUNCTION("""COMPUTED_VALUE"""),"PE0383")</f>
        <v>PE0383</v>
      </c>
      <c r="B384" s="7" t="str">
        <f>IFERROR(__xludf.DUMMYFUNCTION("""COMPUTED_VALUE"""),"S079")</f>
        <v>S079</v>
      </c>
      <c r="C384" s="7" t="str">
        <f>IFERROR(__xludf.DUMMYFUNCTION("""COMPUTED_VALUE"""),"PHP Server-Side Scripting")</f>
        <v>PHP Server-Side Scripting</v>
      </c>
      <c r="D384" s="7" t="str">
        <f>IFERROR(__xludf.DUMMYFUNCTION("""COMPUTED_VALUE"""),"S083")</f>
        <v>S083</v>
      </c>
      <c r="E384" s="7" t="str">
        <f>IFERROR(__xludf.DUMMYFUNCTION("""COMPUTED_VALUE"""),"C++ &amp; Standard Template Library (STL)")</f>
        <v>C++ &amp; Standard Template Library (STL)</v>
      </c>
      <c r="F384" s="7" t="str">
        <f>IFERROR(__xludf.DUMMYFUNCTION("""COMPUTED_VALUE"""),"S079 unlocks S083")</f>
        <v>S079 unlocks S083</v>
      </c>
    </row>
    <row r="385">
      <c r="A385" s="7" t="str">
        <f>IFERROR(__xludf.DUMMYFUNCTION("""COMPUTED_VALUE"""),"PE0384")</f>
        <v>PE0384</v>
      </c>
      <c r="B385" s="7" t="str">
        <f>IFERROR(__xludf.DUMMYFUNCTION("""COMPUTED_VALUE"""),"S082")</f>
        <v>S082</v>
      </c>
      <c r="C385" s="7" t="str">
        <f>IFERROR(__xludf.DUMMYFUNCTION("""COMPUTED_VALUE"""),"C Programming &amp; Pointers")</f>
        <v>C Programming &amp; Pointers</v>
      </c>
      <c r="D385" s="7" t="str">
        <f>IFERROR(__xludf.DUMMYFUNCTION("""COMPUTED_VALUE"""),"S069")</f>
        <v>S069</v>
      </c>
      <c r="E385" s="7" t="str">
        <f>IFERROR(__xludf.DUMMYFUNCTION("""COMPUTED_VALUE"""),"Django Full-Stack Framework")</f>
        <v>Django Full-Stack Framework</v>
      </c>
      <c r="F385" s="7" t="str">
        <f>IFERROR(__xludf.DUMMYFUNCTION("""COMPUTED_VALUE"""),"S082 unlocks S069")</f>
        <v>S082 unlocks S069</v>
      </c>
    </row>
    <row r="386">
      <c r="A386" s="7" t="str">
        <f>IFERROR(__xludf.DUMMYFUNCTION("""COMPUTED_VALUE"""),"PE0385")</f>
        <v>PE0385</v>
      </c>
      <c r="B386" s="7" t="str">
        <f>IFERROR(__xludf.DUMMYFUNCTION("""COMPUTED_VALUE"""),"S082")</f>
        <v>S082</v>
      </c>
      <c r="C386" s="7" t="str">
        <f>IFERROR(__xludf.DUMMYFUNCTION("""COMPUTED_VALUE"""),"C Programming &amp; Pointers")</f>
        <v>C Programming &amp; Pointers</v>
      </c>
      <c r="D386" s="7" t="str">
        <f>IFERROR(__xludf.DUMMYFUNCTION("""COMPUTED_VALUE"""),"S070")</f>
        <v>S070</v>
      </c>
      <c r="E386" s="7" t="str">
        <f>IFERROR(__xludf.DUMMYFUNCTION("""COMPUTED_VALUE"""),"FastAPI High-Performance APIs")</f>
        <v>FastAPI High-Performance APIs</v>
      </c>
      <c r="F386" s="7" t="str">
        <f>IFERROR(__xludf.DUMMYFUNCTION("""COMPUTED_VALUE"""),"S082 unlocks S070")</f>
        <v>S082 unlocks S070</v>
      </c>
    </row>
    <row r="387">
      <c r="A387" s="7" t="str">
        <f>IFERROR(__xludf.DUMMYFUNCTION("""COMPUTED_VALUE"""),"PE0386")</f>
        <v>PE0386</v>
      </c>
      <c r="B387" s="7" t="str">
        <f>IFERROR(__xludf.DUMMYFUNCTION("""COMPUTED_VALUE"""),"S082")</f>
        <v>S082</v>
      </c>
      <c r="C387" s="7" t="str">
        <f>IFERROR(__xludf.DUMMYFUNCTION("""COMPUTED_VALUE"""),"C Programming &amp; Pointers")</f>
        <v>C Programming &amp; Pointers</v>
      </c>
      <c r="D387" s="7" t="str">
        <f>IFERROR(__xludf.DUMMYFUNCTION("""COMPUTED_VALUE"""),"S071")</f>
        <v>S071</v>
      </c>
      <c r="E387" s="7" t="str">
        <f>IFERROR(__xludf.DUMMYFUNCTION("""COMPUTED_VALUE"""),"Flask Microframework")</f>
        <v>Flask Microframework</v>
      </c>
      <c r="F387" s="7" t="str">
        <f>IFERROR(__xludf.DUMMYFUNCTION("""COMPUTED_VALUE"""),"S082 unlocks S071")</f>
        <v>S082 unlocks S071</v>
      </c>
    </row>
    <row r="388">
      <c r="A388" s="7" t="str">
        <f>IFERROR(__xludf.DUMMYFUNCTION("""COMPUTED_VALUE"""),"PE0387")</f>
        <v>PE0387</v>
      </c>
      <c r="B388" s="7" t="str">
        <f>IFERROR(__xludf.DUMMYFUNCTION("""COMPUTED_VALUE"""),"S082")</f>
        <v>S082</v>
      </c>
      <c r="C388" s="7" t="str">
        <f>IFERROR(__xludf.DUMMYFUNCTION("""COMPUTED_VALUE"""),"C Programming &amp; Pointers")</f>
        <v>C Programming &amp; Pointers</v>
      </c>
      <c r="D388" s="7" t="str">
        <f>IFERROR(__xludf.DUMMYFUNCTION("""COMPUTED_VALUE"""),"S072")</f>
        <v>S072</v>
      </c>
      <c r="E388" s="7" t="str">
        <f>IFERROR(__xludf.DUMMYFUNCTION("""COMPUTED_VALUE"""),"Node.js Runtime &amp; Event Loop")</f>
        <v>Node.js Runtime &amp; Event Loop</v>
      </c>
      <c r="F388" s="7" t="str">
        <f>IFERROR(__xludf.DUMMYFUNCTION("""COMPUTED_VALUE"""),"S082 unlocks S072")</f>
        <v>S082 unlocks S072</v>
      </c>
    </row>
    <row r="389">
      <c r="A389" s="7" t="str">
        <f>IFERROR(__xludf.DUMMYFUNCTION("""COMPUTED_VALUE"""),"PE0388")</f>
        <v>PE0388</v>
      </c>
      <c r="B389" s="7" t="str">
        <f>IFERROR(__xludf.DUMMYFUNCTION("""COMPUTED_VALUE"""),"S082")</f>
        <v>S082</v>
      </c>
      <c r="C389" s="7" t="str">
        <f>IFERROR(__xludf.DUMMYFUNCTION("""COMPUTED_VALUE"""),"C Programming &amp; Pointers")</f>
        <v>C Programming &amp; Pointers</v>
      </c>
      <c r="D389" s="7" t="str">
        <f>IFERROR(__xludf.DUMMYFUNCTION("""COMPUTED_VALUE"""),"S073")</f>
        <v>S073</v>
      </c>
      <c r="E389" s="7" t="str">
        <f>IFERROR(__xludf.DUMMYFUNCTION("""COMPUTED_VALUE"""),"Express.js Web Framework")</f>
        <v>Express.js Web Framework</v>
      </c>
      <c r="F389" s="7" t="str">
        <f>IFERROR(__xludf.DUMMYFUNCTION("""COMPUTED_VALUE"""),"S082 unlocks S073")</f>
        <v>S082 unlocks S073</v>
      </c>
    </row>
    <row r="390">
      <c r="A390" s="7" t="str">
        <f>IFERROR(__xludf.DUMMYFUNCTION("""COMPUTED_VALUE"""),"PE0389")</f>
        <v>PE0389</v>
      </c>
      <c r="B390" s="7" t="str">
        <f>IFERROR(__xludf.DUMMYFUNCTION("""COMPUTED_VALUE"""),"S082")</f>
        <v>S082</v>
      </c>
      <c r="C390" s="7" t="str">
        <f>IFERROR(__xludf.DUMMYFUNCTION("""COMPUTED_VALUE"""),"C Programming &amp; Pointers")</f>
        <v>C Programming &amp; Pointers</v>
      </c>
      <c r="D390" s="7" t="str">
        <f>IFERROR(__xludf.DUMMYFUNCTION("""COMPUTED_VALUE"""),"S077")</f>
        <v>S077</v>
      </c>
      <c r="E390" s="7" t="str">
        <f>IFERROR(__xludf.DUMMYFUNCTION("""COMPUTED_VALUE"""),"Go (Golang) Programming")</f>
        <v>Go (Golang) Programming</v>
      </c>
      <c r="F390" s="7" t="str">
        <f>IFERROR(__xludf.DUMMYFUNCTION("""COMPUTED_VALUE"""),"S082 unlocks S077")</f>
        <v>S082 unlocks S077</v>
      </c>
    </row>
    <row r="391">
      <c r="A391" s="7" t="str">
        <f>IFERROR(__xludf.DUMMYFUNCTION("""COMPUTED_VALUE"""),"PE0390")</f>
        <v>PE0390</v>
      </c>
      <c r="B391" s="7" t="str">
        <f>IFERROR(__xludf.DUMMYFUNCTION("""COMPUTED_VALUE"""),"S082")</f>
        <v>S082</v>
      </c>
      <c r="C391" s="7" t="str">
        <f>IFERROR(__xludf.DUMMYFUNCTION("""COMPUTED_VALUE"""),"C Programming &amp; Pointers")</f>
        <v>C Programming &amp; Pointers</v>
      </c>
      <c r="D391" s="7" t="str">
        <f>IFERROR(__xludf.DUMMYFUNCTION("""COMPUTED_VALUE"""),"S080")</f>
        <v>S080</v>
      </c>
      <c r="E391" s="7" t="str">
        <f>IFERROR(__xludf.DUMMYFUNCTION("""COMPUTED_VALUE"""),"Laravel PHP Framework")</f>
        <v>Laravel PHP Framework</v>
      </c>
      <c r="F391" s="7" t="str">
        <f>IFERROR(__xludf.DUMMYFUNCTION("""COMPUTED_VALUE"""),"S082 unlocks S080")</f>
        <v>S082 unlocks S080</v>
      </c>
    </row>
    <row r="392">
      <c r="A392" s="7" t="str">
        <f>IFERROR(__xludf.DUMMYFUNCTION("""COMPUTED_VALUE"""),"PE0391")</f>
        <v>PE0391</v>
      </c>
      <c r="B392" s="7" t="str">
        <f>IFERROR(__xludf.DUMMYFUNCTION("""COMPUTED_VALUE"""),"S082")</f>
        <v>S082</v>
      </c>
      <c r="C392" s="7" t="str">
        <f>IFERROR(__xludf.DUMMYFUNCTION("""COMPUTED_VALUE"""),"C Programming &amp; Pointers")</f>
        <v>C Programming &amp; Pointers</v>
      </c>
      <c r="D392" s="7" t="str">
        <f>IFERROR(__xludf.DUMMYFUNCTION("""COMPUTED_VALUE"""),"S081")</f>
        <v>S081</v>
      </c>
      <c r="E392" s="7" t="str">
        <f>IFERROR(__xludf.DUMMYFUNCTION("""COMPUTED_VALUE"""),"Ruby &amp; Ruby on Rails")</f>
        <v>Ruby &amp; Ruby on Rails</v>
      </c>
      <c r="F392" s="7" t="str">
        <f>IFERROR(__xludf.DUMMYFUNCTION("""COMPUTED_VALUE"""),"S082 unlocks S081")</f>
        <v>S082 unlocks S081</v>
      </c>
    </row>
    <row r="393">
      <c r="A393" s="7" t="str">
        <f>IFERROR(__xludf.DUMMYFUNCTION("""COMPUTED_VALUE"""),"PE0392")</f>
        <v>PE0392</v>
      </c>
      <c r="B393" s="7" t="str">
        <f>IFERROR(__xludf.DUMMYFUNCTION("""COMPUTED_VALUE"""),"S082")</f>
        <v>S082</v>
      </c>
      <c r="C393" s="7" t="str">
        <f>IFERROR(__xludf.DUMMYFUNCTION("""COMPUTED_VALUE"""),"C Programming &amp; Pointers")</f>
        <v>C Programming &amp; Pointers</v>
      </c>
      <c r="D393" s="7" t="str">
        <f>IFERROR(__xludf.DUMMYFUNCTION("""COMPUTED_VALUE"""),"S083")</f>
        <v>S083</v>
      </c>
      <c r="E393" s="7" t="str">
        <f>IFERROR(__xludf.DUMMYFUNCTION("""COMPUTED_VALUE"""),"C++ &amp; Standard Template Library (STL)")</f>
        <v>C++ &amp; Standard Template Library (STL)</v>
      </c>
      <c r="F393" s="7" t="str">
        <f>IFERROR(__xludf.DUMMYFUNCTION("""COMPUTED_VALUE"""),"S082 unlocks S083")</f>
        <v>S082 unlocks S083</v>
      </c>
    </row>
    <row r="394">
      <c r="A394" s="7" t="str">
        <f>IFERROR(__xludf.DUMMYFUNCTION("""COMPUTED_VALUE"""),"PE0393")</f>
        <v>PE0393</v>
      </c>
      <c r="B394" s="7" t="str">
        <f>IFERROR(__xludf.DUMMYFUNCTION("""COMPUTED_VALUE"""),"S086")</f>
        <v>S086</v>
      </c>
      <c r="C394" s="7" t="str">
        <f>IFERROR(__xludf.DUMMYFUNCTION("""COMPUTED_VALUE"""),"RESTful API Design &amp; OpenAPI/Swagger")</f>
        <v>RESTful API Design &amp; OpenAPI/Swagger</v>
      </c>
      <c r="D394" s="7" t="str">
        <f>IFERROR(__xludf.DUMMYFUNCTION("""COMPUTED_VALUE"""),"S087")</f>
        <v>S087</v>
      </c>
      <c r="E394" s="7" t="str">
        <f>IFERROR(__xludf.DUMMYFUNCTION("""COMPUTED_VALUE"""),"GraphQL Schema &amp; Resolvers (Apollo)")</f>
        <v>GraphQL Schema &amp; Resolvers (Apollo)</v>
      </c>
      <c r="F394" s="7" t="str">
        <f>IFERROR(__xludf.DUMMYFUNCTION("""COMPUTED_VALUE"""),"S086 unlocks S087")</f>
        <v>S086 unlocks S087</v>
      </c>
    </row>
    <row r="395">
      <c r="A395" s="7" t="str">
        <f>IFERROR(__xludf.DUMMYFUNCTION("""COMPUTED_VALUE"""),"PE0394")</f>
        <v>PE0394</v>
      </c>
      <c r="B395" s="7" t="str">
        <f>IFERROR(__xludf.DUMMYFUNCTION("""COMPUTED_VALUE"""),"S086")</f>
        <v>S086</v>
      </c>
      <c r="C395" s="7" t="str">
        <f>IFERROR(__xludf.DUMMYFUNCTION("""COMPUTED_VALUE"""),"RESTful API Design &amp; OpenAPI/Swagger")</f>
        <v>RESTful API Design &amp; OpenAPI/Swagger</v>
      </c>
      <c r="D395" s="7" t="str">
        <f>IFERROR(__xludf.DUMMYFUNCTION("""COMPUTED_VALUE"""),"S089")</f>
        <v>S089</v>
      </c>
      <c r="E395" s="7" t="str">
        <f>IFERROR(__xludf.DUMMYFUNCTION("""COMPUTED_VALUE"""),"WebSockets &amp; Real-Time Communication (Socket.io)")</f>
        <v>WebSockets &amp; Real-Time Communication (Socket.io)</v>
      </c>
      <c r="F395" s="7" t="str">
        <f>IFERROR(__xludf.DUMMYFUNCTION("""COMPUTED_VALUE"""),"S086 unlocks S089")</f>
        <v>S086 unlocks S089</v>
      </c>
    </row>
    <row r="396">
      <c r="A396" s="7" t="str">
        <f>IFERROR(__xludf.DUMMYFUNCTION("""COMPUTED_VALUE"""),"PE0395")</f>
        <v>PE0395</v>
      </c>
      <c r="B396" s="7" t="str">
        <f>IFERROR(__xludf.DUMMYFUNCTION("""COMPUTED_VALUE"""),"S086")</f>
        <v>S086</v>
      </c>
      <c r="C396" s="7" t="str">
        <f>IFERROR(__xludf.DUMMYFUNCTION("""COMPUTED_VALUE"""),"RESTful API Design &amp; OpenAPI/Swagger")</f>
        <v>RESTful API Design &amp; OpenAPI/Swagger</v>
      </c>
      <c r="D396" s="7" t="str">
        <f>IFERROR(__xludf.DUMMYFUNCTION("""COMPUTED_VALUE"""),"S090")</f>
        <v>S090</v>
      </c>
      <c r="E396" s="7" t="str">
        <f>IFERROR(__xludf.DUMMYFUNCTION("""COMPUTED_VALUE"""),"Webhook Architecture &amp; Event Callbacks")</f>
        <v>Webhook Architecture &amp; Event Callbacks</v>
      </c>
      <c r="F396" s="7" t="str">
        <f>IFERROR(__xludf.DUMMYFUNCTION("""COMPUTED_VALUE"""),"S086 unlocks S090")</f>
        <v>S086 unlocks S090</v>
      </c>
    </row>
    <row r="397">
      <c r="A397" s="7" t="str">
        <f>IFERROR(__xludf.DUMMYFUNCTION("""COMPUTED_VALUE"""),"PE0396")</f>
        <v>PE0396</v>
      </c>
      <c r="B397" s="7" t="str">
        <f>IFERROR(__xludf.DUMMYFUNCTION("""COMPUTED_VALUE"""),"S086")</f>
        <v>S086</v>
      </c>
      <c r="C397" s="7" t="str">
        <f>IFERROR(__xludf.DUMMYFUNCTION("""COMPUTED_VALUE"""),"RESTful API Design &amp; OpenAPI/Swagger")</f>
        <v>RESTful API Design &amp; OpenAPI/Swagger</v>
      </c>
      <c r="D397" s="7" t="str">
        <f>IFERROR(__xludf.DUMMYFUNCTION("""COMPUTED_VALUE"""),"S092")</f>
        <v>S092</v>
      </c>
      <c r="E397" s="7" t="str">
        <f>IFERROR(__xludf.DUMMYFUNCTION("""COMPUTED_VALUE"""),"OAuth 2.0, OpenID Connect (OIDC) &amp; SSO")</f>
        <v>OAuth 2.0, OpenID Connect (OIDC) &amp; SSO</v>
      </c>
      <c r="F397" s="7" t="str">
        <f>IFERROR(__xludf.DUMMYFUNCTION("""COMPUTED_VALUE"""),"S086 unlocks S092")</f>
        <v>S086 unlocks S092</v>
      </c>
    </row>
    <row r="398">
      <c r="A398" s="7" t="str">
        <f>IFERROR(__xludf.DUMMYFUNCTION("""COMPUTED_VALUE"""),"PE0397")</f>
        <v>PE0397</v>
      </c>
      <c r="B398" s="7" t="str">
        <f>IFERROR(__xludf.DUMMYFUNCTION("""COMPUTED_VALUE"""),"S086")</f>
        <v>S086</v>
      </c>
      <c r="C398" s="7" t="str">
        <f>IFERROR(__xludf.DUMMYFUNCTION("""COMPUTED_VALUE"""),"RESTful API Design &amp; OpenAPI/Swagger")</f>
        <v>RESTful API Design &amp; OpenAPI/Swagger</v>
      </c>
      <c r="D398" s="7" t="str">
        <f>IFERROR(__xludf.DUMMYFUNCTION("""COMPUTED_VALUE"""),"S093")</f>
        <v>S093</v>
      </c>
      <c r="E398" s="7" t="str">
        <f>IFERROR(__xludf.DUMMYFUNCTION("""COMPUTED_VALUE"""),"Role-Based &amp; Attribute-Based Access Control (RBAC/ABAC)")</f>
        <v>Role-Based &amp; Attribute-Based Access Control (RBAC/ABAC)</v>
      </c>
      <c r="F398" s="7" t="str">
        <f>IFERROR(__xludf.DUMMYFUNCTION("""COMPUTED_VALUE"""),"S086 unlocks S093")</f>
        <v>S086 unlocks S093</v>
      </c>
    </row>
    <row r="399">
      <c r="A399" s="7" t="str">
        <f>IFERROR(__xludf.DUMMYFUNCTION("""COMPUTED_VALUE"""),"PE0398")</f>
        <v>PE0398</v>
      </c>
      <c r="B399" s="7" t="str">
        <f>IFERROR(__xludf.DUMMYFUNCTION("""COMPUTED_VALUE"""),"S086")</f>
        <v>S086</v>
      </c>
      <c r="C399" s="7" t="str">
        <f>IFERROR(__xludf.DUMMYFUNCTION("""COMPUTED_VALUE"""),"RESTful API Design &amp; OpenAPI/Swagger")</f>
        <v>RESTful API Design &amp; OpenAPI/Swagger</v>
      </c>
      <c r="D399" s="7" t="str">
        <f>IFERROR(__xludf.DUMMYFUNCTION("""COMPUTED_VALUE"""),"S097")</f>
        <v>S097</v>
      </c>
      <c r="E399" s="7" t="str">
        <f>IFERROR(__xludf.DUMMYFUNCTION("""COMPUTED_VALUE"""),"Message Brokers &amp; Queues (RabbitMQ, ActiveMQ)")</f>
        <v>Message Brokers &amp; Queues (RabbitMQ, ActiveMQ)</v>
      </c>
      <c r="F399" s="7" t="str">
        <f>IFERROR(__xludf.DUMMYFUNCTION("""COMPUTED_VALUE"""),"S086 unlocks S097")</f>
        <v>S086 unlocks S097</v>
      </c>
    </row>
    <row r="400">
      <c r="A400" s="7" t="str">
        <f>IFERROR(__xludf.DUMMYFUNCTION("""COMPUTED_VALUE"""),"PE0399")</f>
        <v>PE0399</v>
      </c>
      <c r="B400" s="7" t="str">
        <f>IFERROR(__xludf.DUMMYFUNCTION("""COMPUTED_VALUE"""),"S086")</f>
        <v>S086</v>
      </c>
      <c r="C400" s="7" t="str">
        <f>IFERROR(__xludf.DUMMYFUNCTION("""COMPUTED_VALUE"""),"RESTful API Design &amp; OpenAPI/Swagger")</f>
        <v>RESTful API Design &amp; OpenAPI/Swagger</v>
      </c>
      <c r="D400" s="7" t="str">
        <f>IFERROR(__xludf.DUMMYFUNCTION("""COMPUTED_VALUE"""),"S099")</f>
        <v>S099</v>
      </c>
      <c r="E400" s="7" t="str">
        <f>IFERROR(__xludf.DUMMYFUNCTION("""COMPUTED_VALUE"""),"Backend Caching Strategies (In-Memory, CDN, Write-Through)")</f>
        <v>Backend Caching Strategies (In-Memory, CDN, Write-Through)</v>
      </c>
      <c r="F400" s="7" t="str">
        <f>IFERROR(__xludf.DUMMYFUNCTION("""COMPUTED_VALUE"""),"S086 unlocks S099")</f>
        <v>S086 unlocks S099</v>
      </c>
    </row>
    <row r="401">
      <c r="A401" s="7" t="str">
        <f>IFERROR(__xludf.DUMMYFUNCTION("""COMPUTED_VALUE"""),"PE0400")</f>
        <v>PE0400</v>
      </c>
      <c r="B401" s="7" t="str">
        <f>IFERROR(__xludf.DUMMYFUNCTION("""COMPUTED_VALUE"""),"S086")</f>
        <v>S086</v>
      </c>
      <c r="C401" s="7" t="str">
        <f>IFERROR(__xludf.DUMMYFUNCTION("""COMPUTED_VALUE"""),"RESTful API Design &amp; OpenAPI/Swagger")</f>
        <v>RESTful API Design &amp; OpenAPI/Swagger</v>
      </c>
      <c r="D401" s="7" t="str">
        <f>IFERROR(__xludf.DUMMYFUNCTION("""COMPUTED_VALUE"""),"S101")</f>
        <v>S101</v>
      </c>
      <c r="E401" s="7" t="str">
        <f>IFERROR(__xludf.DUMMYFUNCTION("""COMPUTED_VALUE"""),"Background Jobs &amp; Task Queues (Celery, BullMQ)")</f>
        <v>Background Jobs &amp; Task Queues (Celery, BullMQ)</v>
      </c>
      <c r="F401" s="7" t="str">
        <f>IFERROR(__xludf.DUMMYFUNCTION("""COMPUTED_VALUE"""),"S086 unlocks S101")</f>
        <v>S086 unlocks S101</v>
      </c>
    </row>
    <row r="402">
      <c r="A402" s="7" t="str">
        <f>IFERROR(__xludf.DUMMYFUNCTION("""COMPUTED_VALUE"""),"PE0401")</f>
        <v>PE0401</v>
      </c>
      <c r="B402" s="7" t="str">
        <f>IFERROR(__xludf.DUMMYFUNCTION("""COMPUTED_VALUE"""),"S086")</f>
        <v>S086</v>
      </c>
      <c r="C402" s="7" t="str">
        <f>IFERROR(__xludf.DUMMYFUNCTION("""COMPUTED_VALUE"""),"RESTful API Design &amp; OpenAPI/Swagger")</f>
        <v>RESTful API Design &amp; OpenAPI/Swagger</v>
      </c>
      <c r="D402" s="7" t="str">
        <f>IFERROR(__xludf.DUMMYFUNCTION("""COMPUTED_VALUE"""),"S104")</f>
        <v>S104</v>
      </c>
      <c r="E402" s="7" t="str">
        <f>IFERROR(__xludf.DUMMYFUNCTION("""COMPUTED_VALUE"""),"Load &amp; Performance Testing (JMeter, k6, Locust)")</f>
        <v>Load &amp; Performance Testing (JMeter, k6, Locust)</v>
      </c>
      <c r="F402" s="7" t="str">
        <f>IFERROR(__xludf.DUMMYFUNCTION("""COMPUTED_VALUE"""),"S086 unlocks S104")</f>
        <v>S086 unlocks S104</v>
      </c>
    </row>
    <row r="403">
      <c r="A403" s="7" t="str">
        <f>IFERROR(__xludf.DUMMYFUNCTION("""COMPUTED_VALUE"""),"PE0402")</f>
        <v>PE0402</v>
      </c>
      <c r="B403" s="7" t="str">
        <f>IFERROR(__xludf.DUMMYFUNCTION("""COMPUTED_VALUE"""),"S086")</f>
        <v>S086</v>
      </c>
      <c r="C403" s="7" t="str">
        <f>IFERROR(__xludf.DUMMYFUNCTION("""COMPUTED_VALUE"""),"RESTful API Design &amp; OpenAPI/Swagger")</f>
        <v>RESTful API Design &amp; OpenAPI/Swagger</v>
      </c>
      <c r="D403" s="7" t="str">
        <f>IFERROR(__xludf.DUMMYFUNCTION("""COMPUTED_VALUE"""),"S105")</f>
        <v>S105</v>
      </c>
      <c r="E403" s="7" t="str">
        <f>IFERROR(__xludf.DUMMYFUNCTION("""COMPUTED_VALUE"""),"Search Engines &amp; Full-Text Search (Elasticsearch, Algolia)")</f>
        <v>Search Engines &amp; Full-Text Search (Elasticsearch, Algolia)</v>
      </c>
      <c r="F403" s="7" t="str">
        <f>IFERROR(__xludf.DUMMYFUNCTION("""COMPUTED_VALUE"""),"S086 unlocks S105")</f>
        <v>S086 unlocks S105</v>
      </c>
    </row>
    <row r="404">
      <c r="A404" s="7" t="str">
        <f>IFERROR(__xludf.DUMMYFUNCTION("""COMPUTED_VALUE"""),"PE0403")</f>
        <v>PE0403</v>
      </c>
      <c r="B404" s="7" t="str">
        <f>IFERROR(__xludf.DUMMYFUNCTION("""COMPUTED_VALUE"""),"S091")</f>
        <v>S091</v>
      </c>
      <c r="C404" s="7" t="str">
        <f>IFERROR(__xludf.DUMMYFUNCTION("""COMPUTED_VALUE"""),"Authentication &amp; Session Management (JWT, Cookies)")</f>
        <v>Authentication &amp; Session Management (JWT, Cookies)</v>
      </c>
      <c r="D404" s="7" t="str">
        <f>IFERROR(__xludf.DUMMYFUNCTION("""COMPUTED_VALUE"""),"S087")</f>
        <v>S087</v>
      </c>
      <c r="E404" s="7" t="str">
        <f>IFERROR(__xludf.DUMMYFUNCTION("""COMPUTED_VALUE"""),"GraphQL Schema &amp; Resolvers (Apollo)")</f>
        <v>GraphQL Schema &amp; Resolvers (Apollo)</v>
      </c>
      <c r="F404" s="7" t="str">
        <f>IFERROR(__xludf.DUMMYFUNCTION("""COMPUTED_VALUE"""),"S091 unlocks S087")</f>
        <v>S091 unlocks S087</v>
      </c>
    </row>
    <row r="405">
      <c r="A405" s="7" t="str">
        <f>IFERROR(__xludf.DUMMYFUNCTION("""COMPUTED_VALUE"""),"PE0404")</f>
        <v>PE0404</v>
      </c>
      <c r="B405" s="7" t="str">
        <f>IFERROR(__xludf.DUMMYFUNCTION("""COMPUTED_VALUE"""),"S091")</f>
        <v>S091</v>
      </c>
      <c r="C405" s="7" t="str">
        <f>IFERROR(__xludf.DUMMYFUNCTION("""COMPUTED_VALUE"""),"Authentication &amp; Session Management (JWT, Cookies)")</f>
        <v>Authentication &amp; Session Management (JWT, Cookies)</v>
      </c>
      <c r="D405" s="7" t="str">
        <f>IFERROR(__xludf.DUMMYFUNCTION("""COMPUTED_VALUE"""),"S089")</f>
        <v>S089</v>
      </c>
      <c r="E405" s="7" t="str">
        <f>IFERROR(__xludf.DUMMYFUNCTION("""COMPUTED_VALUE"""),"WebSockets &amp; Real-Time Communication (Socket.io)")</f>
        <v>WebSockets &amp; Real-Time Communication (Socket.io)</v>
      </c>
      <c r="F405" s="7" t="str">
        <f>IFERROR(__xludf.DUMMYFUNCTION("""COMPUTED_VALUE"""),"S091 unlocks S089")</f>
        <v>S091 unlocks S089</v>
      </c>
    </row>
    <row r="406">
      <c r="A406" s="7" t="str">
        <f>IFERROR(__xludf.DUMMYFUNCTION("""COMPUTED_VALUE"""),"PE0405")</f>
        <v>PE0405</v>
      </c>
      <c r="B406" s="7" t="str">
        <f>IFERROR(__xludf.DUMMYFUNCTION("""COMPUTED_VALUE"""),"S091")</f>
        <v>S091</v>
      </c>
      <c r="C406" s="7" t="str">
        <f>IFERROR(__xludf.DUMMYFUNCTION("""COMPUTED_VALUE"""),"Authentication &amp; Session Management (JWT, Cookies)")</f>
        <v>Authentication &amp; Session Management (JWT, Cookies)</v>
      </c>
      <c r="D406" s="7" t="str">
        <f>IFERROR(__xludf.DUMMYFUNCTION("""COMPUTED_VALUE"""),"S090")</f>
        <v>S090</v>
      </c>
      <c r="E406" s="7" t="str">
        <f>IFERROR(__xludf.DUMMYFUNCTION("""COMPUTED_VALUE"""),"Webhook Architecture &amp; Event Callbacks")</f>
        <v>Webhook Architecture &amp; Event Callbacks</v>
      </c>
      <c r="F406" s="7" t="str">
        <f>IFERROR(__xludf.DUMMYFUNCTION("""COMPUTED_VALUE"""),"S091 unlocks S090")</f>
        <v>S091 unlocks S090</v>
      </c>
    </row>
    <row r="407">
      <c r="A407" s="7" t="str">
        <f>IFERROR(__xludf.DUMMYFUNCTION("""COMPUTED_VALUE"""),"PE0406")</f>
        <v>PE0406</v>
      </c>
      <c r="B407" s="7" t="str">
        <f>IFERROR(__xludf.DUMMYFUNCTION("""COMPUTED_VALUE"""),"S091")</f>
        <v>S091</v>
      </c>
      <c r="C407" s="7" t="str">
        <f>IFERROR(__xludf.DUMMYFUNCTION("""COMPUTED_VALUE"""),"Authentication &amp; Session Management (JWT, Cookies)")</f>
        <v>Authentication &amp; Session Management (JWT, Cookies)</v>
      </c>
      <c r="D407" s="7" t="str">
        <f>IFERROR(__xludf.DUMMYFUNCTION("""COMPUTED_VALUE"""),"S092")</f>
        <v>S092</v>
      </c>
      <c r="E407" s="7" t="str">
        <f>IFERROR(__xludf.DUMMYFUNCTION("""COMPUTED_VALUE"""),"OAuth 2.0, OpenID Connect (OIDC) &amp; SSO")</f>
        <v>OAuth 2.0, OpenID Connect (OIDC) &amp; SSO</v>
      </c>
      <c r="F407" s="7" t="str">
        <f>IFERROR(__xludf.DUMMYFUNCTION("""COMPUTED_VALUE"""),"S091 unlocks S092")</f>
        <v>S091 unlocks S092</v>
      </c>
    </row>
    <row r="408">
      <c r="A408" s="7" t="str">
        <f>IFERROR(__xludf.DUMMYFUNCTION("""COMPUTED_VALUE"""),"PE0407")</f>
        <v>PE0407</v>
      </c>
      <c r="B408" s="7" t="str">
        <f>IFERROR(__xludf.DUMMYFUNCTION("""COMPUTED_VALUE"""),"S091")</f>
        <v>S091</v>
      </c>
      <c r="C408" s="7" t="str">
        <f>IFERROR(__xludf.DUMMYFUNCTION("""COMPUTED_VALUE"""),"Authentication &amp; Session Management (JWT, Cookies)")</f>
        <v>Authentication &amp; Session Management (JWT, Cookies)</v>
      </c>
      <c r="D408" s="7" t="str">
        <f>IFERROR(__xludf.DUMMYFUNCTION("""COMPUTED_VALUE"""),"S093")</f>
        <v>S093</v>
      </c>
      <c r="E408" s="7" t="str">
        <f>IFERROR(__xludf.DUMMYFUNCTION("""COMPUTED_VALUE"""),"Role-Based &amp; Attribute-Based Access Control (RBAC/ABAC)")</f>
        <v>Role-Based &amp; Attribute-Based Access Control (RBAC/ABAC)</v>
      </c>
      <c r="F408" s="7" t="str">
        <f>IFERROR(__xludf.DUMMYFUNCTION("""COMPUTED_VALUE"""),"S091 unlocks S093")</f>
        <v>S091 unlocks S093</v>
      </c>
    </row>
    <row r="409">
      <c r="A409" s="7" t="str">
        <f>IFERROR(__xludf.DUMMYFUNCTION("""COMPUTED_VALUE"""),"PE0408")</f>
        <v>PE0408</v>
      </c>
      <c r="B409" s="7" t="str">
        <f>IFERROR(__xludf.DUMMYFUNCTION("""COMPUTED_VALUE"""),"S091")</f>
        <v>S091</v>
      </c>
      <c r="C409" s="7" t="str">
        <f>IFERROR(__xludf.DUMMYFUNCTION("""COMPUTED_VALUE"""),"Authentication &amp; Session Management (JWT, Cookies)")</f>
        <v>Authentication &amp; Session Management (JWT, Cookies)</v>
      </c>
      <c r="D409" s="7" t="str">
        <f>IFERROR(__xludf.DUMMYFUNCTION("""COMPUTED_VALUE"""),"S097")</f>
        <v>S097</v>
      </c>
      <c r="E409" s="7" t="str">
        <f>IFERROR(__xludf.DUMMYFUNCTION("""COMPUTED_VALUE"""),"Message Brokers &amp; Queues (RabbitMQ, ActiveMQ)")</f>
        <v>Message Brokers &amp; Queues (RabbitMQ, ActiveMQ)</v>
      </c>
      <c r="F409" s="7" t="str">
        <f>IFERROR(__xludf.DUMMYFUNCTION("""COMPUTED_VALUE"""),"S091 unlocks S097")</f>
        <v>S091 unlocks S097</v>
      </c>
    </row>
    <row r="410">
      <c r="A410" s="7" t="str">
        <f>IFERROR(__xludf.DUMMYFUNCTION("""COMPUTED_VALUE"""),"PE0409")</f>
        <v>PE0409</v>
      </c>
      <c r="B410" s="7" t="str">
        <f>IFERROR(__xludf.DUMMYFUNCTION("""COMPUTED_VALUE"""),"S091")</f>
        <v>S091</v>
      </c>
      <c r="C410" s="7" t="str">
        <f>IFERROR(__xludf.DUMMYFUNCTION("""COMPUTED_VALUE"""),"Authentication &amp; Session Management (JWT, Cookies)")</f>
        <v>Authentication &amp; Session Management (JWT, Cookies)</v>
      </c>
      <c r="D410" s="7" t="str">
        <f>IFERROR(__xludf.DUMMYFUNCTION("""COMPUTED_VALUE"""),"S099")</f>
        <v>S099</v>
      </c>
      <c r="E410" s="7" t="str">
        <f>IFERROR(__xludf.DUMMYFUNCTION("""COMPUTED_VALUE"""),"Backend Caching Strategies (In-Memory, CDN, Write-Through)")</f>
        <v>Backend Caching Strategies (In-Memory, CDN, Write-Through)</v>
      </c>
      <c r="F410" s="7" t="str">
        <f>IFERROR(__xludf.DUMMYFUNCTION("""COMPUTED_VALUE"""),"S091 unlocks S099")</f>
        <v>S091 unlocks S099</v>
      </c>
    </row>
    <row r="411">
      <c r="A411" s="7" t="str">
        <f>IFERROR(__xludf.DUMMYFUNCTION("""COMPUTED_VALUE"""),"PE0410")</f>
        <v>PE0410</v>
      </c>
      <c r="B411" s="7" t="str">
        <f>IFERROR(__xludf.DUMMYFUNCTION("""COMPUTED_VALUE"""),"S091")</f>
        <v>S091</v>
      </c>
      <c r="C411" s="7" t="str">
        <f>IFERROR(__xludf.DUMMYFUNCTION("""COMPUTED_VALUE"""),"Authentication &amp; Session Management (JWT, Cookies)")</f>
        <v>Authentication &amp; Session Management (JWT, Cookies)</v>
      </c>
      <c r="D411" s="7" t="str">
        <f>IFERROR(__xludf.DUMMYFUNCTION("""COMPUTED_VALUE"""),"S101")</f>
        <v>S101</v>
      </c>
      <c r="E411" s="7" t="str">
        <f>IFERROR(__xludf.DUMMYFUNCTION("""COMPUTED_VALUE"""),"Background Jobs &amp; Task Queues (Celery, BullMQ)")</f>
        <v>Background Jobs &amp; Task Queues (Celery, BullMQ)</v>
      </c>
      <c r="F411" s="7" t="str">
        <f>IFERROR(__xludf.DUMMYFUNCTION("""COMPUTED_VALUE"""),"S091 unlocks S101")</f>
        <v>S091 unlocks S101</v>
      </c>
    </row>
    <row r="412">
      <c r="A412" s="7" t="str">
        <f>IFERROR(__xludf.DUMMYFUNCTION("""COMPUTED_VALUE"""),"PE0411")</f>
        <v>PE0411</v>
      </c>
      <c r="B412" s="7" t="str">
        <f>IFERROR(__xludf.DUMMYFUNCTION("""COMPUTED_VALUE"""),"S091")</f>
        <v>S091</v>
      </c>
      <c r="C412" s="7" t="str">
        <f>IFERROR(__xludf.DUMMYFUNCTION("""COMPUTED_VALUE"""),"Authentication &amp; Session Management (JWT, Cookies)")</f>
        <v>Authentication &amp; Session Management (JWT, Cookies)</v>
      </c>
      <c r="D412" s="7" t="str">
        <f>IFERROR(__xludf.DUMMYFUNCTION("""COMPUTED_VALUE"""),"S104")</f>
        <v>S104</v>
      </c>
      <c r="E412" s="7" t="str">
        <f>IFERROR(__xludf.DUMMYFUNCTION("""COMPUTED_VALUE"""),"Load &amp; Performance Testing (JMeter, k6, Locust)")</f>
        <v>Load &amp; Performance Testing (JMeter, k6, Locust)</v>
      </c>
      <c r="F412" s="7" t="str">
        <f>IFERROR(__xludf.DUMMYFUNCTION("""COMPUTED_VALUE"""),"S091 unlocks S104")</f>
        <v>S091 unlocks S104</v>
      </c>
    </row>
    <row r="413">
      <c r="A413" s="7" t="str">
        <f>IFERROR(__xludf.DUMMYFUNCTION("""COMPUTED_VALUE"""),"PE0412")</f>
        <v>PE0412</v>
      </c>
      <c r="B413" s="7" t="str">
        <f>IFERROR(__xludf.DUMMYFUNCTION("""COMPUTED_VALUE"""),"S091")</f>
        <v>S091</v>
      </c>
      <c r="C413" s="7" t="str">
        <f>IFERROR(__xludf.DUMMYFUNCTION("""COMPUTED_VALUE"""),"Authentication &amp; Session Management (JWT, Cookies)")</f>
        <v>Authentication &amp; Session Management (JWT, Cookies)</v>
      </c>
      <c r="D413" s="7" t="str">
        <f>IFERROR(__xludf.DUMMYFUNCTION("""COMPUTED_VALUE"""),"S105")</f>
        <v>S105</v>
      </c>
      <c r="E413" s="7" t="str">
        <f>IFERROR(__xludf.DUMMYFUNCTION("""COMPUTED_VALUE"""),"Search Engines &amp; Full-Text Search (Elasticsearch, Algolia)")</f>
        <v>Search Engines &amp; Full-Text Search (Elasticsearch, Algolia)</v>
      </c>
      <c r="F413" s="7" t="str">
        <f>IFERROR(__xludf.DUMMYFUNCTION("""COMPUTED_VALUE"""),"S091 unlocks S105")</f>
        <v>S091 unlocks S105</v>
      </c>
    </row>
    <row r="414">
      <c r="A414" s="7" t="str">
        <f>IFERROR(__xludf.DUMMYFUNCTION("""COMPUTED_VALUE"""),"PE0413")</f>
        <v>PE0413</v>
      </c>
      <c r="B414" s="7" t="str">
        <f>IFERROR(__xludf.DUMMYFUNCTION("""COMPUTED_VALUE"""),"S102")</f>
        <v>S102</v>
      </c>
      <c r="C414" s="7" t="str">
        <f>IFERROR(__xludf.DUMMYFUNCTION("""COMPUTED_VALUE"""),"Backend Unit &amp; Integration Testing (JUnit, PyTest, Mocha)")</f>
        <v>Backend Unit &amp; Integration Testing (JUnit, PyTest, Mocha)</v>
      </c>
      <c r="D414" s="7" t="str">
        <f>IFERROR(__xludf.DUMMYFUNCTION("""COMPUTED_VALUE"""),"S087")</f>
        <v>S087</v>
      </c>
      <c r="E414" s="7" t="str">
        <f>IFERROR(__xludf.DUMMYFUNCTION("""COMPUTED_VALUE"""),"GraphQL Schema &amp; Resolvers (Apollo)")</f>
        <v>GraphQL Schema &amp; Resolvers (Apollo)</v>
      </c>
      <c r="F414" s="7" t="str">
        <f>IFERROR(__xludf.DUMMYFUNCTION("""COMPUTED_VALUE"""),"S102 unlocks S087")</f>
        <v>S102 unlocks S087</v>
      </c>
    </row>
    <row r="415">
      <c r="A415" s="7" t="str">
        <f>IFERROR(__xludf.DUMMYFUNCTION("""COMPUTED_VALUE"""),"PE0414")</f>
        <v>PE0414</v>
      </c>
      <c r="B415" s="7" t="str">
        <f>IFERROR(__xludf.DUMMYFUNCTION("""COMPUTED_VALUE"""),"S102")</f>
        <v>S102</v>
      </c>
      <c r="C415" s="7" t="str">
        <f>IFERROR(__xludf.DUMMYFUNCTION("""COMPUTED_VALUE"""),"Backend Unit &amp; Integration Testing (JUnit, PyTest, Mocha)")</f>
        <v>Backend Unit &amp; Integration Testing (JUnit, PyTest, Mocha)</v>
      </c>
      <c r="D415" s="7" t="str">
        <f>IFERROR(__xludf.DUMMYFUNCTION("""COMPUTED_VALUE"""),"S089")</f>
        <v>S089</v>
      </c>
      <c r="E415" s="7" t="str">
        <f>IFERROR(__xludf.DUMMYFUNCTION("""COMPUTED_VALUE"""),"WebSockets &amp; Real-Time Communication (Socket.io)")</f>
        <v>WebSockets &amp; Real-Time Communication (Socket.io)</v>
      </c>
      <c r="F415" s="7" t="str">
        <f>IFERROR(__xludf.DUMMYFUNCTION("""COMPUTED_VALUE"""),"S102 unlocks S089")</f>
        <v>S102 unlocks S089</v>
      </c>
    </row>
    <row r="416">
      <c r="A416" s="7" t="str">
        <f>IFERROR(__xludf.DUMMYFUNCTION("""COMPUTED_VALUE"""),"PE0415")</f>
        <v>PE0415</v>
      </c>
      <c r="B416" s="7" t="str">
        <f>IFERROR(__xludf.DUMMYFUNCTION("""COMPUTED_VALUE"""),"S102")</f>
        <v>S102</v>
      </c>
      <c r="C416" s="7" t="str">
        <f>IFERROR(__xludf.DUMMYFUNCTION("""COMPUTED_VALUE"""),"Backend Unit &amp; Integration Testing (JUnit, PyTest, Mocha)")</f>
        <v>Backend Unit &amp; Integration Testing (JUnit, PyTest, Mocha)</v>
      </c>
      <c r="D416" s="7" t="str">
        <f>IFERROR(__xludf.DUMMYFUNCTION("""COMPUTED_VALUE"""),"S090")</f>
        <v>S090</v>
      </c>
      <c r="E416" s="7" t="str">
        <f>IFERROR(__xludf.DUMMYFUNCTION("""COMPUTED_VALUE"""),"Webhook Architecture &amp; Event Callbacks")</f>
        <v>Webhook Architecture &amp; Event Callbacks</v>
      </c>
      <c r="F416" s="7" t="str">
        <f>IFERROR(__xludf.DUMMYFUNCTION("""COMPUTED_VALUE"""),"S102 unlocks S090")</f>
        <v>S102 unlocks S090</v>
      </c>
    </row>
    <row r="417">
      <c r="A417" s="7" t="str">
        <f>IFERROR(__xludf.DUMMYFUNCTION("""COMPUTED_VALUE"""),"PE0416")</f>
        <v>PE0416</v>
      </c>
      <c r="B417" s="7" t="str">
        <f>IFERROR(__xludf.DUMMYFUNCTION("""COMPUTED_VALUE"""),"S102")</f>
        <v>S102</v>
      </c>
      <c r="C417" s="7" t="str">
        <f>IFERROR(__xludf.DUMMYFUNCTION("""COMPUTED_VALUE"""),"Backend Unit &amp; Integration Testing (JUnit, PyTest, Mocha)")</f>
        <v>Backend Unit &amp; Integration Testing (JUnit, PyTest, Mocha)</v>
      </c>
      <c r="D417" s="7" t="str">
        <f>IFERROR(__xludf.DUMMYFUNCTION("""COMPUTED_VALUE"""),"S092")</f>
        <v>S092</v>
      </c>
      <c r="E417" s="7" t="str">
        <f>IFERROR(__xludf.DUMMYFUNCTION("""COMPUTED_VALUE"""),"OAuth 2.0, OpenID Connect (OIDC) &amp; SSO")</f>
        <v>OAuth 2.0, OpenID Connect (OIDC) &amp; SSO</v>
      </c>
      <c r="F417" s="7" t="str">
        <f>IFERROR(__xludf.DUMMYFUNCTION("""COMPUTED_VALUE"""),"S102 unlocks S092")</f>
        <v>S102 unlocks S092</v>
      </c>
    </row>
    <row r="418">
      <c r="A418" s="7" t="str">
        <f>IFERROR(__xludf.DUMMYFUNCTION("""COMPUTED_VALUE"""),"PE0417")</f>
        <v>PE0417</v>
      </c>
      <c r="B418" s="7" t="str">
        <f>IFERROR(__xludf.DUMMYFUNCTION("""COMPUTED_VALUE"""),"S102")</f>
        <v>S102</v>
      </c>
      <c r="C418" s="7" t="str">
        <f>IFERROR(__xludf.DUMMYFUNCTION("""COMPUTED_VALUE"""),"Backend Unit &amp; Integration Testing (JUnit, PyTest, Mocha)")</f>
        <v>Backend Unit &amp; Integration Testing (JUnit, PyTest, Mocha)</v>
      </c>
      <c r="D418" s="7" t="str">
        <f>IFERROR(__xludf.DUMMYFUNCTION("""COMPUTED_VALUE"""),"S093")</f>
        <v>S093</v>
      </c>
      <c r="E418" s="7" t="str">
        <f>IFERROR(__xludf.DUMMYFUNCTION("""COMPUTED_VALUE"""),"Role-Based &amp; Attribute-Based Access Control (RBAC/ABAC)")</f>
        <v>Role-Based &amp; Attribute-Based Access Control (RBAC/ABAC)</v>
      </c>
      <c r="F418" s="7" t="str">
        <f>IFERROR(__xludf.DUMMYFUNCTION("""COMPUTED_VALUE"""),"S102 unlocks S093")</f>
        <v>S102 unlocks S093</v>
      </c>
    </row>
    <row r="419">
      <c r="A419" s="7" t="str">
        <f>IFERROR(__xludf.DUMMYFUNCTION("""COMPUTED_VALUE"""),"PE0418")</f>
        <v>PE0418</v>
      </c>
      <c r="B419" s="7" t="str">
        <f>IFERROR(__xludf.DUMMYFUNCTION("""COMPUTED_VALUE"""),"S102")</f>
        <v>S102</v>
      </c>
      <c r="C419" s="7" t="str">
        <f>IFERROR(__xludf.DUMMYFUNCTION("""COMPUTED_VALUE"""),"Backend Unit &amp; Integration Testing (JUnit, PyTest, Mocha)")</f>
        <v>Backend Unit &amp; Integration Testing (JUnit, PyTest, Mocha)</v>
      </c>
      <c r="D419" s="7" t="str">
        <f>IFERROR(__xludf.DUMMYFUNCTION("""COMPUTED_VALUE"""),"S097")</f>
        <v>S097</v>
      </c>
      <c r="E419" s="7" t="str">
        <f>IFERROR(__xludf.DUMMYFUNCTION("""COMPUTED_VALUE"""),"Message Brokers &amp; Queues (RabbitMQ, ActiveMQ)")</f>
        <v>Message Brokers &amp; Queues (RabbitMQ, ActiveMQ)</v>
      </c>
      <c r="F419" s="7" t="str">
        <f>IFERROR(__xludf.DUMMYFUNCTION("""COMPUTED_VALUE"""),"S102 unlocks S097")</f>
        <v>S102 unlocks S097</v>
      </c>
    </row>
    <row r="420">
      <c r="A420" s="7" t="str">
        <f>IFERROR(__xludf.DUMMYFUNCTION("""COMPUTED_VALUE"""),"PE0419")</f>
        <v>PE0419</v>
      </c>
      <c r="B420" s="7" t="str">
        <f>IFERROR(__xludf.DUMMYFUNCTION("""COMPUTED_VALUE"""),"S102")</f>
        <v>S102</v>
      </c>
      <c r="C420" s="7" t="str">
        <f>IFERROR(__xludf.DUMMYFUNCTION("""COMPUTED_VALUE"""),"Backend Unit &amp; Integration Testing (JUnit, PyTest, Mocha)")</f>
        <v>Backend Unit &amp; Integration Testing (JUnit, PyTest, Mocha)</v>
      </c>
      <c r="D420" s="7" t="str">
        <f>IFERROR(__xludf.DUMMYFUNCTION("""COMPUTED_VALUE"""),"S099")</f>
        <v>S099</v>
      </c>
      <c r="E420" s="7" t="str">
        <f>IFERROR(__xludf.DUMMYFUNCTION("""COMPUTED_VALUE"""),"Backend Caching Strategies (In-Memory, CDN, Write-Through)")</f>
        <v>Backend Caching Strategies (In-Memory, CDN, Write-Through)</v>
      </c>
      <c r="F420" s="7" t="str">
        <f>IFERROR(__xludf.DUMMYFUNCTION("""COMPUTED_VALUE"""),"S102 unlocks S099")</f>
        <v>S102 unlocks S099</v>
      </c>
    </row>
    <row r="421">
      <c r="A421" s="7" t="str">
        <f>IFERROR(__xludf.DUMMYFUNCTION("""COMPUTED_VALUE"""),"PE0420")</f>
        <v>PE0420</v>
      </c>
      <c r="B421" s="7" t="str">
        <f>IFERROR(__xludf.DUMMYFUNCTION("""COMPUTED_VALUE"""),"S102")</f>
        <v>S102</v>
      </c>
      <c r="C421" s="7" t="str">
        <f>IFERROR(__xludf.DUMMYFUNCTION("""COMPUTED_VALUE"""),"Backend Unit &amp; Integration Testing (JUnit, PyTest, Mocha)")</f>
        <v>Backend Unit &amp; Integration Testing (JUnit, PyTest, Mocha)</v>
      </c>
      <c r="D421" s="7" t="str">
        <f>IFERROR(__xludf.DUMMYFUNCTION("""COMPUTED_VALUE"""),"S101")</f>
        <v>S101</v>
      </c>
      <c r="E421" s="7" t="str">
        <f>IFERROR(__xludf.DUMMYFUNCTION("""COMPUTED_VALUE"""),"Background Jobs &amp; Task Queues (Celery, BullMQ)")</f>
        <v>Background Jobs &amp; Task Queues (Celery, BullMQ)</v>
      </c>
      <c r="F421" s="7" t="str">
        <f>IFERROR(__xludf.DUMMYFUNCTION("""COMPUTED_VALUE"""),"S102 unlocks S101")</f>
        <v>S102 unlocks S101</v>
      </c>
    </row>
    <row r="422">
      <c r="A422" s="7" t="str">
        <f>IFERROR(__xludf.DUMMYFUNCTION("""COMPUTED_VALUE"""),"PE0421")</f>
        <v>PE0421</v>
      </c>
      <c r="B422" s="7" t="str">
        <f>IFERROR(__xludf.DUMMYFUNCTION("""COMPUTED_VALUE"""),"S102")</f>
        <v>S102</v>
      </c>
      <c r="C422" s="7" t="str">
        <f>IFERROR(__xludf.DUMMYFUNCTION("""COMPUTED_VALUE"""),"Backend Unit &amp; Integration Testing (JUnit, PyTest, Mocha)")</f>
        <v>Backend Unit &amp; Integration Testing (JUnit, PyTest, Mocha)</v>
      </c>
      <c r="D422" s="7" t="str">
        <f>IFERROR(__xludf.DUMMYFUNCTION("""COMPUTED_VALUE"""),"S104")</f>
        <v>S104</v>
      </c>
      <c r="E422" s="7" t="str">
        <f>IFERROR(__xludf.DUMMYFUNCTION("""COMPUTED_VALUE"""),"Load &amp; Performance Testing (JMeter, k6, Locust)")</f>
        <v>Load &amp; Performance Testing (JMeter, k6, Locust)</v>
      </c>
      <c r="F422" s="7" t="str">
        <f>IFERROR(__xludf.DUMMYFUNCTION("""COMPUTED_VALUE"""),"S102 unlocks S104")</f>
        <v>S102 unlocks S104</v>
      </c>
    </row>
    <row r="423">
      <c r="A423" s="7" t="str">
        <f>IFERROR(__xludf.DUMMYFUNCTION("""COMPUTED_VALUE"""),"PE0422")</f>
        <v>PE0422</v>
      </c>
      <c r="B423" s="7" t="str">
        <f>IFERROR(__xludf.DUMMYFUNCTION("""COMPUTED_VALUE"""),"S102")</f>
        <v>S102</v>
      </c>
      <c r="C423" s="7" t="str">
        <f>IFERROR(__xludf.DUMMYFUNCTION("""COMPUTED_VALUE"""),"Backend Unit &amp; Integration Testing (JUnit, PyTest, Mocha)")</f>
        <v>Backend Unit &amp; Integration Testing (JUnit, PyTest, Mocha)</v>
      </c>
      <c r="D423" s="7" t="str">
        <f>IFERROR(__xludf.DUMMYFUNCTION("""COMPUTED_VALUE"""),"S105")</f>
        <v>S105</v>
      </c>
      <c r="E423" s="7" t="str">
        <f>IFERROR(__xludf.DUMMYFUNCTION("""COMPUTED_VALUE"""),"Search Engines &amp; Full-Text Search (Elasticsearch, Algolia)")</f>
        <v>Search Engines &amp; Full-Text Search (Elasticsearch, Algolia)</v>
      </c>
      <c r="F423" s="7" t="str">
        <f>IFERROR(__xludf.DUMMYFUNCTION("""COMPUTED_VALUE"""),"S102 unlocks S105")</f>
        <v>S102 unlocks S105</v>
      </c>
    </row>
    <row r="424">
      <c r="A424" s="7" t="str">
        <f>IFERROR(__xludf.DUMMYFUNCTION("""COMPUTED_VALUE"""),"PE0423")</f>
        <v>PE0423</v>
      </c>
      <c r="B424" s="7" t="str">
        <f>IFERROR(__xludf.DUMMYFUNCTION("""COMPUTED_VALUE"""),"S103")</f>
        <v>S103</v>
      </c>
      <c r="C424" s="7" t="str">
        <f>IFERROR(__xludf.DUMMYFUNCTION("""COMPUTED_VALUE"""),"API Testing &amp; Contract Testing (Postman, Pact, Insomnia)")</f>
        <v>API Testing &amp; Contract Testing (Postman, Pact, Insomnia)</v>
      </c>
      <c r="D424" s="7" t="str">
        <f>IFERROR(__xludf.DUMMYFUNCTION("""COMPUTED_VALUE"""),"S087")</f>
        <v>S087</v>
      </c>
      <c r="E424" s="7" t="str">
        <f>IFERROR(__xludf.DUMMYFUNCTION("""COMPUTED_VALUE"""),"GraphQL Schema &amp; Resolvers (Apollo)")</f>
        <v>GraphQL Schema &amp; Resolvers (Apollo)</v>
      </c>
      <c r="F424" s="7" t="str">
        <f>IFERROR(__xludf.DUMMYFUNCTION("""COMPUTED_VALUE"""),"S103 unlocks S087")</f>
        <v>S103 unlocks S087</v>
      </c>
    </row>
    <row r="425">
      <c r="A425" s="7" t="str">
        <f>IFERROR(__xludf.DUMMYFUNCTION("""COMPUTED_VALUE"""),"PE0424")</f>
        <v>PE0424</v>
      </c>
      <c r="B425" s="7" t="str">
        <f>IFERROR(__xludf.DUMMYFUNCTION("""COMPUTED_VALUE"""),"S103")</f>
        <v>S103</v>
      </c>
      <c r="C425" s="7" t="str">
        <f>IFERROR(__xludf.DUMMYFUNCTION("""COMPUTED_VALUE"""),"API Testing &amp; Contract Testing (Postman, Pact, Insomnia)")</f>
        <v>API Testing &amp; Contract Testing (Postman, Pact, Insomnia)</v>
      </c>
      <c r="D425" s="7" t="str">
        <f>IFERROR(__xludf.DUMMYFUNCTION("""COMPUTED_VALUE"""),"S089")</f>
        <v>S089</v>
      </c>
      <c r="E425" s="7" t="str">
        <f>IFERROR(__xludf.DUMMYFUNCTION("""COMPUTED_VALUE"""),"WebSockets &amp; Real-Time Communication (Socket.io)")</f>
        <v>WebSockets &amp; Real-Time Communication (Socket.io)</v>
      </c>
      <c r="F425" s="7" t="str">
        <f>IFERROR(__xludf.DUMMYFUNCTION("""COMPUTED_VALUE"""),"S103 unlocks S089")</f>
        <v>S103 unlocks S089</v>
      </c>
    </row>
    <row r="426">
      <c r="A426" s="7" t="str">
        <f>IFERROR(__xludf.DUMMYFUNCTION("""COMPUTED_VALUE"""),"PE0425")</f>
        <v>PE0425</v>
      </c>
      <c r="B426" s="7" t="str">
        <f>IFERROR(__xludf.DUMMYFUNCTION("""COMPUTED_VALUE"""),"S103")</f>
        <v>S103</v>
      </c>
      <c r="C426" s="7" t="str">
        <f>IFERROR(__xludf.DUMMYFUNCTION("""COMPUTED_VALUE"""),"API Testing &amp; Contract Testing (Postman, Pact, Insomnia)")</f>
        <v>API Testing &amp; Contract Testing (Postman, Pact, Insomnia)</v>
      </c>
      <c r="D426" s="7" t="str">
        <f>IFERROR(__xludf.DUMMYFUNCTION("""COMPUTED_VALUE"""),"S090")</f>
        <v>S090</v>
      </c>
      <c r="E426" s="7" t="str">
        <f>IFERROR(__xludf.DUMMYFUNCTION("""COMPUTED_VALUE"""),"Webhook Architecture &amp; Event Callbacks")</f>
        <v>Webhook Architecture &amp; Event Callbacks</v>
      </c>
      <c r="F426" s="7" t="str">
        <f>IFERROR(__xludf.DUMMYFUNCTION("""COMPUTED_VALUE"""),"S103 unlocks S090")</f>
        <v>S103 unlocks S090</v>
      </c>
    </row>
    <row r="427">
      <c r="A427" s="7" t="str">
        <f>IFERROR(__xludf.DUMMYFUNCTION("""COMPUTED_VALUE"""),"PE0426")</f>
        <v>PE0426</v>
      </c>
      <c r="B427" s="7" t="str">
        <f>IFERROR(__xludf.DUMMYFUNCTION("""COMPUTED_VALUE"""),"S103")</f>
        <v>S103</v>
      </c>
      <c r="C427" s="7" t="str">
        <f>IFERROR(__xludf.DUMMYFUNCTION("""COMPUTED_VALUE"""),"API Testing &amp; Contract Testing (Postman, Pact, Insomnia)")</f>
        <v>API Testing &amp; Contract Testing (Postman, Pact, Insomnia)</v>
      </c>
      <c r="D427" s="7" t="str">
        <f>IFERROR(__xludf.DUMMYFUNCTION("""COMPUTED_VALUE"""),"S092")</f>
        <v>S092</v>
      </c>
      <c r="E427" s="7" t="str">
        <f>IFERROR(__xludf.DUMMYFUNCTION("""COMPUTED_VALUE"""),"OAuth 2.0, OpenID Connect (OIDC) &amp; SSO")</f>
        <v>OAuth 2.0, OpenID Connect (OIDC) &amp; SSO</v>
      </c>
      <c r="F427" s="7" t="str">
        <f>IFERROR(__xludf.DUMMYFUNCTION("""COMPUTED_VALUE"""),"S103 unlocks S092")</f>
        <v>S103 unlocks S092</v>
      </c>
    </row>
    <row r="428">
      <c r="A428" s="7" t="str">
        <f>IFERROR(__xludf.DUMMYFUNCTION("""COMPUTED_VALUE"""),"PE0427")</f>
        <v>PE0427</v>
      </c>
      <c r="B428" s="7" t="str">
        <f>IFERROR(__xludf.DUMMYFUNCTION("""COMPUTED_VALUE"""),"S103")</f>
        <v>S103</v>
      </c>
      <c r="C428" s="7" t="str">
        <f>IFERROR(__xludf.DUMMYFUNCTION("""COMPUTED_VALUE"""),"API Testing &amp; Contract Testing (Postman, Pact, Insomnia)")</f>
        <v>API Testing &amp; Contract Testing (Postman, Pact, Insomnia)</v>
      </c>
      <c r="D428" s="7" t="str">
        <f>IFERROR(__xludf.DUMMYFUNCTION("""COMPUTED_VALUE"""),"S093")</f>
        <v>S093</v>
      </c>
      <c r="E428" s="7" t="str">
        <f>IFERROR(__xludf.DUMMYFUNCTION("""COMPUTED_VALUE"""),"Role-Based &amp; Attribute-Based Access Control (RBAC/ABAC)")</f>
        <v>Role-Based &amp; Attribute-Based Access Control (RBAC/ABAC)</v>
      </c>
      <c r="F428" s="7" t="str">
        <f>IFERROR(__xludf.DUMMYFUNCTION("""COMPUTED_VALUE"""),"S103 unlocks S093")</f>
        <v>S103 unlocks S093</v>
      </c>
    </row>
    <row r="429">
      <c r="A429" s="7" t="str">
        <f>IFERROR(__xludf.DUMMYFUNCTION("""COMPUTED_VALUE"""),"PE0428")</f>
        <v>PE0428</v>
      </c>
      <c r="B429" s="7" t="str">
        <f>IFERROR(__xludf.DUMMYFUNCTION("""COMPUTED_VALUE"""),"S103")</f>
        <v>S103</v>
      </c>
      <c r="C429" s="7" t="str">
        <f>IFERROR(__xludf.DUMMYFUNCTION("""COMPUTED_VALUE"""),"API Testing &amp; Contract Testing (Postman, Pact, Insomnia)")</f>
        <v>API Testing &amp; Contract Testing (Postman, Pact, Insomnia)</v>
      </c>
      <c r="D429" s="7" t="str">
        <f>IFERROR(__xludf.DUMMYFUNCTION("""COMPUTED_VALUE"""),"S097")</f>
        <v>S097</v>
      </c>
      <c r="E429" s="7" t="str">
        <f>IFERROR(__xludf.DUMMYFUNCTION("""COMPUTED_VALUE"""),"Message Brokers &amp; Queues (RabbitMQ, ActiveMQ)")</f>
        <v>Message Brokers &amp; Queues (RabbitMQ, ActiveMQ)</v>
      </c>
      <c r="F429" s="7" t="str">
        <f>IFERROR(__xludf.DUMMYFUNCTION("""COMPUTED_VALUE"""),"S103 unlocks S097")</f>
        <v>S103 unlocks S097</v>
      </c>
    </row>
    <row r="430">
      <c r="A430" s="7" t="str">
        <f>IFERROR(__xludf.DUMMYFUNCTION("""COMPUTED_VALUE"""),"PE0429")</f>
        <v>PE0429</v>
      </c>
      <c r="B430" s="7" t="str">
        <f>IFERROR(__xludf.DUMMYFUNCTION("""COMPUTED_VALUE"""),"S103")</f>
        <v>S103</v>
      </c>
      <c r="C430" s="7" t="str">
        <f>IFERROR(__xludf.DUMMYFUNCTION("""COMPUTED_VALUE"""),"API Testing &amp; Contract Testing (Postman, Pact, Insomnia)")</f>
        <v>API Testing &amp; Contract Testing (Postman, Pact, Insomnia)</v>
      </c>
      <c r="D430" s="7" t="str">
        <f>IFERROR(__xludf.DUMMYFUNCTION("""COMPUTED_VALUE"""),"S099")</f>
        <v>S099</v>
      </c>
      <c r="E430" s="7" t="str">
        <f>IFERROR(__xludf.DUMMYFUNCTION("""COMPUTED_VALUE"""),"Backend Caching Strategies (In-Memory, CDN, Write-Through)")</f>
        <v>Backend Caching Strategies (In-Memory, CDN, Write-Through)</v>
      </c>
      <c r="F430" s="7" t="str">
        <f>IFERROR(__xludf.DUMMYFUNCTION("""COMPUTED_VALUE"""),"S103 unlocks S099")</f>
        <v>S103 unlocks S099</v>
      </c>
    </row>
    <row r="431">
      <c r="A431" s="7" t="str">
        <f>IFERROR(__xludf.DUMMYFUNCTION("""COMPUTED_VALUE"""),"PE0430")</f>
        <v>PE0430</v>
      </c>
      <c r="B431" s="7" t="str">
        <f>IFERROR(__xludf.DUMMYFUNCTION("""COMPUTED_VALUE"""),"S103")</f>
        <v>S103</v>
      </c>
      <c r="C431" s="7" t="str">
        <f>IFERROR(__xludf.DUMMYFUNCTION("""COMPUTED_VALUE"""),"API Testing &amp; Contract Testing (Postman, Pact, Insomnia)")</f>
        <v>API Testing &amp; Contract Testing (Postman, Pact, Insomnia)</v>
      </c>
      <c r="D431" s="7" t="str">
        <f>IFERROR(__xludf.DUMMYFUNCTION("""COMPUTED_VALUE"""),"S101")</f>
        <v>S101</v>
      </c>
      <c r="E431" s="7" t="str">
        <f>IFERROR(__xludf.DUMMYFUNCTION("""COMPUTED_VALUE"""),"Background Jobs &amp; Task Queues (Celery, BullMQ)")</f>
        <v>Background Jobs &amp; Task Queues (Celery, BullMQ)</v>
      </c>
      <c r="F431" s="7" t="str">
        <f>IFERROR(__xludf.DUMMYFUNCTION("""COMPUTED_VALUE"""),"S103 unlocks S101")</f>
        <v>S103 unlocks S101</v>
      </c>
    </row>
    <row r="432">
      <c r="A432" s="7" t="str">
        <f>IFERROR(__xludf.DUMMYFUNCTION("""COMPUTED_VALUE"""),"PE0431")</f>
        <v>PE0431</v>
      </c>
      <c r="B432" s="7" t="str">
        <f>IFERROR(__xludf.DUMMYFUNCTION("""COMPUTED_VALUE"""),"S103")</f>
        <v>S103</v>
      </c>
      <c r="C432" s="7" t="str">
        <f>IFERROR(__xludf.DUMMYFUNCTION("""COMPUTED_VALUE"""),"API Testing &amp; Contract Testing (Postman, Pact, Insomnia)")</f>
        <v>API Testing &amp; Contract Testing (Postman, Pact, Insomnia)</v>
      </c>
      <c r="D432" s="7" t="str">
        <f>IFERROR(__xludf.DUMMYFUNCTION("""COMPUTED_VALUE"""),"S104")</f>
        <v>S104</v>
      </c>
      <c r="E432" s="7" t="str">
        <f>IFERROR(__xludf.DUMMYFUNCTION("""COMPUTED_VALUE"""),"Load &amp; Performance Testing (JMeter, k6, Locust)")</f>
        <v>Load &amp; Performance Testing (JMeter, k6, Locust)</v>
      </c>
      <c r="F432" s="7" t="str">
        <f>IFERROR(__xludf.DUMMYFUNCTION("""COMPUTED_VALUE"""),"S103 unlocks S104")</f>
        <v>S103 unlocks S104</v>
      </c>
    </row>
    <row r="433">
      <c r="A433" s="7" t="str">
        <f>IFERROR(__xludf.DUMMYFUNCTION("""COMPUTED_VALUE"""),"PE0432")</f>
        <v>PE0432</v>
      </c>
      <c r="B433" s="7" t="str">
        <f>IFERROR(__xludf.DUMMYFUNCTION("""COMPUTED_VALUE"""),"S103")</f>
        <v>S103</v>
      </c>
      <c r="C433" s="7" t="str">
        <f>IFERROR(__xludf.DUMMYFUNCTION("""COMPUTED_VALUE"""),"API Testing &amp; Contract Testing (Postman, Pact, Insomnia)")</f>
        <v>API Testing &amp; Contract Testing (Postman, Pact, Insomnia)</v>
      </c>
      <c r="D433" s="7" t="str">
        <f>IFERROR(__xludf.DUMMYFUNCTION("""COMPUTED_VALUE"""),"S105")</f>
        <v>S105</v>
      </c>
      <c r="E433" s="7" t="str">
        <f>IFERROR(__xludf.DUMMYFUNCTION("""COMPUTED_VALUE"""),"Search Engines &amp; Full-Text Search (Elasticsearch, Algolia)")</f>
        <v>Search Engines &amp; Full-Text Search (Elasticsearch, Algolia)</v>
      </c>
      <c r="F433" s="7" t="str">
        <f>IFERROR(__xludf.DUMMYFUNCTION("""COMPUTED_VALUE"""),"S103 unlocks S105")</f>
        <v>S103 unlocks S105</v>
      </c>
    </row>
    <row r="434">
      <c r="A434" s="7" t="str">
        <f>IFERROR(__xludf.DUMMYFUNCTION("""COMPUTED_VALUE"""),"PE0433")</f>
        <v>PE0433</v>
      </c>
      <c r="B434" s="7" t="str">
        <f>IFERROR(__xludf.DUMMYFUNCTION("""COMPUTED_VALUE"""),"S106")</f>
        <v>S106</v>
      </c>
      <c r="C434" s="7" t="str">
        <f>IFERROR(__xludf.DUMMYFUNCTION("""COMPUTED_VALUE"""),"Relational Database Design &amp; Normalization (1NF-3NF)")</f>
        <v>Relational Database Design &amp; Normalization (1NF-3NF)</v>
      </c>
      <c r="D434" s="7" t="str">
        <f>IFERROR(__xludf.DUMMYFUNCTION("""COMPUTED_VALUE"""),"S108")</f>
        <v>S108</v>
      </c>
      <c r="E434" s="7" t="str">
        <f>IFERROR(__xludf.DUMMYFUNCTION("""COMPUTED_VALUE"""),"Advanced SQL (Window Functions, CTEs, Stored Procedures)")</f>
        <v>Advanced SQL (Window Functions, CTEs, Stored Procedures)</v>
      </c>
      <c r="F434" s="7" t="str">
        <f>IFERROR(__xludf.DUMMYFUNCTION("""COMPUTED_VALUE"""),"S106 unlocks S108")</f>
        <v>S106 unlocks S108</v>
      </c>
    </row>
    <row r="435">
      <c r="A435" s="7" t="str">
        <f>IFERROR(__xludf.DUMMYFUNCTION("""COMPUTED_VALUE"""),"PE0434")</f>
        <v>PE0434</v>
      </c>
      <c r="B435" s="7" t="str">
        <f>IFERROR(__xludf.DUMMYFUNCTION("""COMPUTED_VALUE"""),"S106")</f>
        <v>S106</v>
      </c>
      <c r="C435" s="7" t="str">
        <f>IFERROR(__xludf.DUMMYFUNCTION("""COMPUTED_VALUE"""),"Relational Database Design &amp; Normalization (1NF-3NF)")</f>
        <v>Relational Database Design &amp; Normalization (1NF-3NF)</v>
      </c>
      <c r="D435" s="7" t="str">
        <f>IFERROR(__xludf.DUMMYFUNCTION("""COMPUTED_VALUE"""),"S109")</f>
        <v>S109</v>
      </c>
      <c r="E435" s="7" t="str">
        <f>IFERROR(__xludf.DUMMYFUNCTION("""COMPUTED_VALUE"""),"PostgreSQL Administration &amp; Development")</f>
        <v>PostgreSQL Administration &amp; Development</v>
      </c>
      <c r="F435" s="7" t="str">
        <f>IFERROR(__xludf.DUMMYFUNCTION("""COMPUTED_VALUE"""),"S106 unlocks S109")</f>
        <v>S106 unlocks S109</v>
      </c>
    </row>
    <row r="436">
      <c r="A436" s="7" t="str">
        <f>IFERROR(__xludf.DUMMYFUNCTION("""COMPUTED_VALUE"""),"PE0435")</f>
        <v>PE0435</v>
      </c>
      <c r="B436" s="7" t="str">
        <f>IFERROR(__xludf.DUMMYFUNCTION("""COMPUTED_VALUE"""),"S106")</f>
        <v>S106</v>
      </c>
      <c r="C436" s="7" t="str">
        <f>IFERROR(__xludf.DUMMYFUNCTION("""COMPUTED_VALUE"""),"Relational Database Design &amp; Normalization (1NF-3NF)")</f>
        <v>Relational Database Design &amp; Normalization (1NF-3NF)</v>
      </c>
      <c r="D436" s="7" t="str">
        <f>IFERROR(__xludf.DUMMYFUNCTION("""COMPUTED_VALUE"""),"S111")</f>
        <v>S111</v>
      </c>
      <c r="E436" s="7" t="str">
        <f>IFERROR(__xludf.DUMMYFUNCTION("""COMPUTED_VALUE"""),"Microsoft SQL Server (T-SQL)")</f>
        <v>Microsoft SQL Server (T-SQL)</v>
      </c>
      <c r="F436" s="7" t="str">
        <f>IFERROR(__xludf.DUMMYFUNCTION("""COMPUTED_VALUE"""),"S106 unlocks S111")</f>
        <v>S106 unlocks S111</v>
      </c>
    </row>
    <row r="437">
      <c r="A437" s="7" t="str">
        <f>IFERROR(__xludf.DUMMYFUNCTION("""COMPUTED_VALUE"""),"PE0436")</f>
        <v>PE0436</v>
      </c>
      <c r="B437" s="7" t="str">
        <f>IFERROR(__xludf.DUMMYFUNCTION("""COMPUTED_VALUE"""),"S106")</f>
        <v>S106</v>
      </c>
      <c r="C437" s="7" t="str">
        <f>IFERROR(__xludf.DUMMYFUNCTION("""COMPUTED_VALUE"""),"Relational Database Design &amp; Normalization (1NF-3NF)")</f>
        <v>Relational Database Design &amp; Normalization (1NF-3NF)</v>
      </c>
      <c r="D437" s="7" t="str">
        <f>IFERROR(__xludf.DUMMYFUNCTION("""COMPUTED_VALUE"""),"S112")</f>
        <v>S112</v>
      </c>
      <c r="E437" s="7" t="str">
        <f>IFERROR(__xludf.DUMMYFUNCTION("""COMPUTED_VALUE"""),"Oracle Database &amp; PL/SQL")</f>
        <v>Oracle Database &amp; PL/SQL</v>
      </c>
      <c r="F437" s="7" t="str">
        <f>IFERROR(__xludf.DUMMYFUNCTION("""COMPUTED_VALUE"""),"S106 unlocks S112")</f>
        <v>S106 unlocks S112</v>
      </c>
    </row>
    <row r="438">
      <c r="A438" s="7" t="str">
        <f>IFERROR(__xludf.DUMMYFUNCTION("""COMPUTED_VALUE"""),"PE0437")</f>
        <v>PE0437</v>
      </c>
      <c r="B438" s="7" t="str">
        <f>IFERROR(__xludf.DUMMYFUNCTION("""COMPUTED_VALUE"""),"S106")</f>
        <v>S106</v>
      </c>
      <c r="C438" s="7" t="str">
        <f>IFERROR(__xludf.DUMMYFUNCTION("""COMPUTED_VALUE"""),"Relational Database Design &amp; Normalization (1NF-3NF)")</f>
        <v>Relational Database Design &amp; Normalization (1NF-3NF)</v>
      </c>
      <c r="D438" s="7" t="str">
        <f>IFERROR(__xludf.DUMMYFUNCTION("""COMPUTED_VALUE"""),"S117")</f>
        <v>S117</v>
      </c>
      <c r="E438" s="7" t="str">
        <f>IFERROR(__xludf.DUMMYFUNCTION("""COMPUTED_VALUE"""),"Database Backup, Point-in-Time Recovery &amp; Migration")</f>
        <v>Database Backup, Point-in-Time Recovery &amp; Migration</v>
      </c>
      <c r="F438" s="7" t="str">
        <f>IFERROR(__xludf.DUMMYFUNCTION("""COMPUTED_VALUE"""),"S106 unlocks S117")</f>
        <v>S106 unlocks S117</v>
      </c>
    </row>
    <row r="439">
      <c r="A439" s="7" t="str">
        <f>IFERROR(__xludf.DUMMYFUNCTION("""COMPUTED_VALUE"""),"PE0438")</f>
        <v>PE0438</v>
      </c>
      <c r="B439" s="7" t="str">
        <f>IFERROR(__xludf.DUMMYFUNCTION("""COMPUTED_VALUE"""),"S106")</f>
        <v>S106</v>
      </c>
      <c r="C439" s="7" t="str">
        <f>IFERROR(__xludf.DUMMYFUNCTION("""COMPUTED_VALUE"""),"Relational Database Design &amp; Normalization (1NF-3NF)")</f>
        <v>Relational Database Design &amp; Normalization (1NF-3NF)</v>
      </c>
      <c r="D439" s="7" t="str">
        <f>IFERROR(__xludf.DUMMYFUNCTION("""COMPUTED_VALUE"""),"S118")</f>
        <v>S118</v>
      </c>
      <c r="E439" s="7" t="str">
        <f>IFERROR(__xludf.DUMMYFUNCTION("""COMPUTED_VALUE"""),"Object-Relational Mapping (ORM: Hibernate, JPA, Prisma, SQLAlchemy)")</f>
        <v>Object-Relational Mapping (ORM: Hibernate, JPA, Prisma, SQLAlchemy)</v>
      </c>
      <c r="F439" s="7" t="str">
        <f>IFERROR(__xludf.DUMMYFUNCTION("""COMPUTED_VALUE"""),"S106 unlocks S118")</f>
        <v>S106 unlocks S118</v>
      </c>
    </row>
    <row r="440">
      <c r="A440" s="7" t="str">
        <f>IFERROR(__xludf.DUMMYFUNCTION("""COMPUTED_VALUE"""),"PE0439")</f>
        <v>PE0439</v>
      </c>
      <c r="B440" s="7" t="str">
        <f>IFERROR(__xludf.DUMMYFUNCTION("""COMPUTED_VALUE"""),"S106")</f>
        <v>S106</v>
      </c>
      <c r="C440" s="7" t="str">
        <f>IFERROR(__xludf.DUMMYFUNCTION("""COMPUTED_VALUE"""),"Relational Database Design &amp; Normalization (1NF-3NF)")</f>
        <v>Relational Database Design &amp; Normalization (1NF-3NF)</v>
      </c>
      <c r="D440" s="7" t="str">
        <f>IFERROR(__xludf.DUMMYFUNCTION("""COMPUTED_VALUE"""),"S119")</f>
        <v>S119</v>
      </c>
      <c r="E440" s="7" t="str">
        <f>IFERROR(__xludf.DUMMYFUNCTION("""COMPUTED_VALUE"""),"Document Databases (MongoDB)")</f>
        <v>Document Databases (MongoDB)</v>
      </c>
      <c r="F440" s="7" t="str">
        <f>IFERROR(__xludf.DUMMYFUNCTION("""COMPUTED_VALUE"""),"S106 unlocks S119")</f>
        <v>S106 unlocks S119</v>
      </c>
    </row>
    <row r="441">
      <c r="A441" s="7" t="str">
        <f>IFERROR(__xludf.DUMMYFUNCTION("""COMPUTED_VALUE"""),"PE0440")</f>
        <v>PE0440</v>
      </c>
      <c r="B441" s="7" t="str">
        <f>IFERROR(__xludf.DUMMYFUNCTION("""COMPUTED_VALUE"""),"S106")</f>
        <v>S106</v>
      </c>
      <c r="C441" s="7" t="str">
        <f>IFERROR(__xludf.DUMMYFUNCTION("""COMPUTED_VALUE"""),"Relational Database Design &amp; Normalization (1NF-3NF)")</f>
        <v>Relational Database Design &amp; Normalization (1NF-3NF)</v>
      </c>
      <c r="D441" s="7" t="str">
        <f>IFERROR(__xludf.DUMMYFUNCTION("""COMPUTED_VALUE"""),"S120")</f>
        <v>S120</v>
      </c>
      <c r="E441" s="7" t="str">
        <f>IFERROR(__xludf.DUMMYFUNCTION("""COMPUTED_VALUE"""),"Key-Value Stores &amp; In-Memory DBs (Redis, Memcached)")</f>
        <v>Key-Value Stores &amp; In-Memory DBs (Redis, Memcached)</v>
      </c>
      <c r="F441" s="7" t="str">
        <f>IFERROR(__xludf.DUMMYFUNCTION("""COMPUTED_VALUE"""),"S106 unlocks S120")</f>
        <v>S106 unlocks S120</v>
      </c>
    </row>
    <row r="442">
      <c r="A442" s="7" t="str">
        <f>IFERROR(__xludf.DUMMYFUNCTION("""COMPUTED_VALUE"""),"PE0441")</f>
        <v>PE0441</v>
      </c>
      <c r="B442" s="7" t="str">
        <f>IFERROR(__xludf.DUMMYFUNCTION("""COMPUTED_VALUE"""),"S106")</f>
        <v>S106</v>
      </c>
      <c r="C442" s="7" t="str">
        <f>IFERROR(__xludf.DUMMYFUNCTION("""COMPUTED_VALUE"""),"Relational Database Design &amp; Normalization (1NF-3NF)")</f>
        <v>Relational Database Design &amp; Normalization (1NF-3NF)</v>
      </c>
      <c r="D442" s="7" t="str">
        <f>IFERROR(__xludf.DUMMYFUNCTION("""COMPUTED_VALUE"""),"S122")</f>
        <v>S122</v>
      </c>
      <c r="E442" s="7" t="str">
        <f>IFERROR(__xludf.DUMMYFUNCTION("""COMPUTED_VALUE"""),"Cloud NoSQL Databases (AWS DynamoDB, Firestore)")</f>
        <v>Cloud NoSQL Databases (AWS DynamoDB, Firestore)</v>
      </c>
      <c r="F442" s="7" t="str">
        <f>IFERROR(__xludf.DUMMYFUNCTION("""COMPUTED_VALUE"""),"S106 unlocks S122")</f>
        <v>S106 unlocks S122</v>
      </c>
    </row>
    <row r="443">
      <c r="A443" s="7" t="str">
        <f>IFERROR(__xludf.DUMMYFUNCTION("""COMPUTED_VALUE"""),"PE0442")</f>
        <v>PE0442</v>
      </c>
      <c r="B443" s="7" t="str">
        <f>IFERROR(__xludf.DUMMYFUNCTION("""COMPUTED_VALUE"""),"S106")</f>
        <v>S106</v>
      </c>
      <c r="C443" s="7" t="str">
        <f>IFERROR(__xludf.DUMMYFUNCTION("""COMPUTED_VALUE"""),"Relational Database Design &amp; Normalization (1NF-3NF)")</f>
        <v>Relational Database Design &amp; Normalization (1NF-3NF)</v>
      </c>
      <c r="D443" s="7" t="str">
        <f>IFERROR(__xludf.DUMMYFUNCTION("""COMPUTED_VALUE"""),"S124")</f>
        <v>S124</v>
      </c>
      <c r="E443" s="7" t="str">
        <f>IFERROR(__xludf.DUMMYFUNCTION("""COMPUTED_VALUE"""),"Time-Series Databases (InfluxDB, TimescaleDB)")</f>
        <v>Time-Series Databases (InfluxDB, TimescaleDB)</v>
      </c>
      <c r="F443" s="7" t="str">
        <f>IFERROR(__xludf.DUMMYFUNCTION("""COMPUTED_VALUE"""),"S106 unlocks S124")</f>
        <v>S106 unlocks S124</v>
      </c>
    </row>
    <row r="444">
      <c r="A444" s="7" t="str">
        <f>IFERROR(__xludf.DUMMYFUNCTION("""COMPUTED_VALUE"""),"PE0443")</f>
        <v>PE0443</v>
      </c>
      <c r="B444" s="7" t="str">
        <f>IFERROR(__xludf.DUMMYFUNCTION("""COMPUTED_VALUE"""),"S106")</f>
        <v>S106</v>
      </c>
      <c r="C444" s="7" t="str">
        <f>IFERROR(__xludf.DUMMYFUNCTION("""COMPUTED_VALUE"""),"Relational Database Design &amp; Normalization (1NF-3NF)")</f>
        <v>Relational Database Design &amp; Normalization (1NF-3NF)</v>
      </c>
      <c r="D444" s="7" t="str">
        <f>IFERROR(__xludf.DUMMYFUNCTION("""COMPUTED_VALUE"""),"S126")</f>
        <v>S126</v>
      </c>
      <c r="E444" s="7" t="str">
        <f>IFERROR(__xludf.DUMMYFUNCTION("""COMPUTED_VALUE"""),"ETL / ELT Data Pipeline Design")</f>
        <v>ETL / ELT Data Pipeline Design</v>
      </c>
      <c r="F444" s="7" t="str">
        <f>IFERROR(__xludf.DUMMYFUNCTION("""COMPUTED_VALUE"""),"S106 unlocks S126")</f>
        <v>S106 unlocks S126</v>
      </c>
    </row>
    <row r="445">
      <c r="A445" s="7" t="str">
        <f>IFERROR(__xludf.DUMMYFUNCTION("""COMPUTED_VALUE"""),"PE0444")</f>
        <v>PE0444</v>
      </c>
      <c r="B445" s="7" t="str">
        <f>IFERROR(__xludf.DUMMYFUNCTION("""COMPUTED_VALUE"""),"S106")</f>
        <v>S106</v>
      </c>
      <c r="C445" s="7" t="str">
        <f>IFERROR(__xludf.DUMMYFUNCTION("""COMPUTED_VALUE"""),"Relational Database Design &amp; Normalization (1NF-3NF)")</f>
        <v>Relational Database Design &amp; Normalization (1NF-3NF)</v>
      </c>
      <c r="D445" s="7" t="str">
        <f>IFERROR(__xludf.DUMMYFUNCTION("""COMPUTED_VALUE"""),"S130")</f>
        <v>S130</v>
      </c>
      <c r="E445" s="7" t="str">
        <f>IFERROR(__xludf.DUMMYFUNCTION("""COMPUTED_VALUE"""),"Data Transformation &amp; Analytics Engineering (dbt)")</f>
        <v>Data Transformation &amp; Analytics Engineering (dbt)</v>
      </c>
      <c r="F445" s="7" t="str">
        <f>IFERROR(__xludf.DUMMYFUNCTION("""COMPUTED_VALUE"""),"S106 unlocks S130")</f>
        <v>S106 unlocks S130</v>
      </c>
    </row>
    <row r="446">
      <c r="A446" s="7" t="str">
        <f>IFERROR(__xludf.DUMMYFUNCTION("""COMPUTED_VALUE"""),"PE0445")</f>
        <v>PE0445</v>
      </c>
      <c r="B446" s="7" t="str">
        <f>IFERROR(__xludf.DUMMYFUNCTION("""COMPUTED_VALUE"""),"S106")</f>
        <v>S106</v>
      </c>
      <c r="C446" s="7" t="str">
        <f>IFERROR(__xludf.DUMMYFUNCTION("""COMPUTED_VALUE"""),"Relational Database Design &amp; Normalization (1NF-3NF)")</f>
        <v>Relational Database Design &amp; Normalization (1NF-3NF)</v>
      </c>
      <c r="D446" s="7" t="str">
        <f>IFERROR(__xludf.DUMMYFUNCTION("""COMPUTED_VALUE"""),"S133")</f>
        <v>S133</v>
      </c>
      <c r="E446" s="7" t="str">
        <f>IFERROR(__xludf.DUMMYFUNCTION("""COMPUTED_VALUE"""),"Big Data Storage &amp; Hadoop Ecosystem (HDFS, Parquet, Avro)")</f>
        <v>Big Data Storage &amp; Hadoop Ecosystem (HDFS, Parquet, Avro)</v>
      </c>
      <c r="F446" s="7" t="str">
        <f>IFERROR(__xludf.DUMMYFUNCTION("""COMPUTED_VALUE"""),"S106 unlocks S133")</f>
        <v>S106 unlocks S133</v>
      </c>
    </row>
    <row r="447">
      <c r="A447" s="7" t="str">
        <f>IFERROR(__xludf.DUMMYFUNCTION("""COMPUTED_VALUE"""),"PE0446")</f>
        <v>PE0446</v>
      </c>
      <c r="B447" s="7" t="str">
        <f>IFERROR(__xludf.DUMMYFUNCTION("""COMPUTED_VALUE"""),"S106")</f>
        <v>S106</v>
      </c>
      <c r="C447" s="7" t="str">
        <f>IFERROR(__xludf.DUMMYFUNCTION("""COMPUTED_VALUE"""),"Relational Database Design &amp; Normalization (1NF-3NF)")</f>
        <v>Relational Database Design &amp; Normalization (1NF-3NF)</v>
      </c>
      <c r="D447" s="7" t="str">
        <f>IFERROR(__xludf.DUMMYFUNCTION("""COMPUTED_VALUE"""),"S134")</f>
        <v>S134</v>
      </c>
      <c r="E447" s="7" t="str">
        <f>IFERROR(__xludf.DUMMYFUNCTION("""COMPUTED_VALUE"""),"Data Modeling (Star Schema, Snowflake Schema, Data Vault)")</f>
        <v>Data Modeling (Star Schema, Snowflake Schema, Data Vault)</v>
      </c>
      <c r="F447" s="7" t="str">
        <f>IFERROR(__xludf.DUMMYFUNCTION("""COMPUTED_VALUE"""),"S106 unlocks S134")</f>
        <v>S106 unlocks S134</v>
      </c>
    </row>
    <row r="448">
      <c r="A448" s="7" t="str">
        <f>IFERROR(__xludf.DUMMYFUNCTION("""COMPUTED_VALUE"""),"PE0447")</f>
        <v>PE0447</v>
      </c>
      <c r="B448" s="7" t="str">
        <f>IFERROR(__xludf.DUMMYFUNCTION("""COMPUTED_VALUE"""),"S106")</f>
        <v>S106</v>
      </c>
      <c r="C448" s="7" t="str">
        <f>IFERROR(__xludf.DUMMYFUNCTION("""COMPUTED_VALUE"""),"Relational Database Design &amp; Normalization (1NF-3NF)")</f>
        <v>Relational Database Design &amp; Normalization (1NF-3NF)</v>
      </c>
      <c r="D448" s="7" t="str">
        <f>IFERROR(__xludf.DUMMYFUNCTION("""COMPUTED_VALUE"""),"S135")</f>
        <v>S135</v>
      </c>
      <c r="E448" s="7" t="str">
        <f>IFERROR(__xludf.DUMMYFUNCTION("""COMPUTED_VALUE"""),"Data Quality, Lineage &amp; Governance (Great Expectations, Collibra)")</f>
        <v>Data Quality, Lineage &amp; Governance (Great Expectations, Collibra)</v>
      </c>
      <c r="F448" s="7" t="str">
        <f>IFERROR(__xludf.DUMMYFUNCTION("""COMPUTED_VALUE"""),"S106 unlocks S135")</f>
        <v>S106 unlocks S135</v>
      </c>
    </row>
    <row r="449">
      <c r="A449" s="7" t="str">
        <f>IFERROR(__xludf.DUMMYFUNCTION("""COMPUTED_VALUE"""),"PE0448")</f>
        <v>PE0448</v>
      </c>
      <c r="B449" s="7" t="str">
        <f>IFERROR(__xludf.DUMMYFUNCTION("""COMPUTED_VALUE"""),"S107")</f>
        <v>S107</v>
      </c>
      <c r="C449" s="7" t="str">
        <f>IFERROR(__xludf.DUMMYFUNCTION("""COMPUTED_VALUE"""),"SQL Querying (Joins, Aggregations, Subqueries)")</f>
        <v>SQL Querying (Joins, Aggregations, Subqueries)</v>
      </c>
      <c r="D449" s="7" t="str">
        <f>IFERROR(__xludf.DUMMYFUNCTION("""COMPUTED_VALUE"""),"S108")</f>
        <v>S108</v>
      </c>
      <c r="E449" s="7" t="str">
        <f>IFERROR(__xludf.DUMMYFUNCTION("""COMPUTED_VALUE"""),"Advanced SQL (Window Functions, CTEs, Stored Procedures)")</f>
        <v>Advanced SQL (Window Functions, CTEs, Stored Procedures)</v>
      </c>
      <c r="F449" s="7" t="str">
        <f>IFERROR(__xludf.DUMMYFUNCTION("""COMPUTED_VALUE"""),"S107 unlocks S108")</f>
        <v>S107 unlocks S108</v>
      </c>
    </row>
    <row r="450">
      <c r="A450" s="7" t="str">
        <f>IFERROR(__xludf.DUMMYFUNCTION("""COMPUTED_VALUE"""),"PE0449")</f>
        <v>PE0449</v>
      </c>
      <c r="B450" s="7" t="str">
        <f>IFERROR(__xludf.DUMMYFUNCTION("""COMPUTED_VALUE"""),"S107")</f>
        <v>S107</v>
      </c>
      <c r="C450" s="7" t="str">
        <f>IFERROR(__xludf.DUMMYFUNCTION("""COMPUTED_VALUE"""),"SQL Querying (Joins, Aggregations, Subqueries)")</f>
        <v>SQL Querying (Joins, Aggregations, Subqueries)</v>
      </c>
      <c r="D450" s="7" t="str">
        <f>IFERROR(__xludf.DUMMYFUNCTION("""COMPUTED_VALUE"""),"S109")</f>
        <v>S109</v>
      </c>
      <c r="E450" s="7" t="str">
        <f>IFERROR(__xludf.DUMMYFUNCTION("""COMPUTED_VALUE"""),"PostgreSQL Administration &amp; Development")</f>
        <v>PostgreSQL Administration &amp; Development</v>
      </c>
      <c r="F450" s="7" t="str">
        <f>IFERROR(__xludf.DUMMYFUNCTION("""COMPUTED_VALUE"""),"S107 unlocks S109")</f>
        <v>S107 unlocks S109</v>
      </c>
    </row>
    <row r="451">
      <c r="A451" s="7" t="str">
        <f>IFERROR(__xludf.DUMMYFUNCTION("""COMPUTED_VALUE"""),"PE0450")</f>
        <v>PE0450</v>
      </c>
      <c r="B451" s="7" t="str">
        <f>IFERROR(__xludf.DUMMYFUNCTION("""COMPUTED_VALUE"""),"S107")</f>
        <v>S107</v>
      </c>
      <c r="C451" s="7" t="str">
        <f>IFERROR(__xludf.DUMMYFUNCTION("""COMPUTED_VALUE"""),"SQL Querying (Joins, Aggregations, Subqueries)")</f>
        <v>SQL Querying (Joins, Aggregations, Subqueries)</v>
      </c>
      <c r="D451" s="7" t="str">
        <f>IFERROR(__xludf.DUMMYFUNCTION("""COMPUTED_VALUE"""),"S111")</f>
        <v>S111</v>
      </c>
      <c r="E451" s="7" t="str">
        <f>IFERROR(__xludf.DUMMYFUNCTION("""COMPUTED_VALUE"""),"Microsoft SQL Server (T-SQL)")</f>
        <v>Microsoft SQL Server (T-SQL)</v>
      </c>
      <c r="F451" s="7" t="str">
        <f>IFERROR(__xludf.DUMMYFUNCTION("""COMPUTED_VALUE"""),"S107 unlocks S111")</f>
        <v>S107 unlocks S111</v>
      </c>
    </row>
    <row r="452">
      <c r="A452" s="7" t="str">
        <f>IFERROR(__xludf.DUMMYFUNCTION("""COMPUTED_VALUE"""),"PE0451")</f>
        <v>PE0451</v>
      </c>
      <c r="B452" s="7" t="str">
        <f>IFERROR(__xludf.DUMMYFUNCTION("""COMPUTED_VALUE"""),"S107")</f>
        <v>S107</v>
      </c>
      <c r="C452" s="7" t="str">
        <f>IFERROR(__xludf.DUMMYFUNCTION("""COMPUTED_VALUE"""),"SQL Querying (Joins, Aggregations, Subqueries)")</f>
        <v>SQL Querying (Joins, Aggregations, Subqueries)</v>
      </c>
      <c r="D452" s="7" t="str">
        <f>IFERROR(__xludf.DUMMYFUNCTION("""COMPUTED_VALUE"""),"S112")</f>
        <v>S112</v>
      </c>
      <c r="E452" s="7" t="str">
        <f>IFERROR(__xludf.DUMMYFUNCTION("""COMPUTED_VALUE"""),"Oracle Database &amp; PL/SQL")</f>
        <v>Oracle Database &amp; PL/SQL</v>
      </c>
      <c r="F452" s="7" t="str">
        <f>IFERROR(__xludf.DUMMYFUNCTION("""COMPUTED_VALUE"""),"S107 unlocks S112")</f>
        <v>S107 unlocks S112</v>
      </c>
    </row>
    <row r="453">
      <c r="A453" s="7" t="str">
        <f>IFERROR(__xludf.DUMMYFUNCTION("""COMPUTED_VALUE"""),"PE0452")</f>
        <v>PE0452</v>
      </c>
      <c r="B453" s="7" t="str">
        <f>IFERROR(__xludf.DUMMYFUNCTION("""COMPUTED_VALUE"""),"S107")</f>
        <v>S107</v>
      </c>
      <c r="C453" s="7" t="str">
        <f>IFERROR(__xludf.DUMMYFUNCTION("""COMPUTED_VALUE"""),"SQL Querying (Joins, Aggregations, Subqueries)")</f>
        <v>SQL Querying (Joins, Aggregations, Subqueries)</v>
      </c>
      <c r="D453" s="7" t="str">
        <f>IFERROR(__xludf.DUMMYFUNCTION("""COMPUTED_VALUE"""),"S117")</f>
        <v>S117</v>
      </c>
      <c r="E453" s="7" t="str">
        <f>IFERROR(__xludf.DUMMYFUNCTION("""COMPUTED_VALUE"""),"Database Backup, Point-in-Time Recovery &amp; Migration")</f>
        <v>Database Backup, Point-in-Time Recovery &amp; Migration</v>
      </c>
      <c r="F453" s="7" t="str">
        <f>IFERROR(__xludf.DUMMYFUNCTION("""COMPUTED_VALUE"""),"S107 unlocks S117")</f>
        <v>S107 unlocks S117</v>
      </c>
    </row>
    <row r="454">
      <c r="A454" s="7" t="str">
        <f>IFERROR(__xludf.DUMMYFUNCTION("""COMPUTED_VALUE"""),"PE0453")</f>
        <v>PE0453</v>
      </c>
      <c r="B454" s="7" t="str">
        <f>IFERROR(__xludf.DUMMYFUNCTION("""COMPUTED_VALUE"""),"S107")</f>
        <v>S107</v>
      </c>
      <c r="C454" s="7" t="str">
        <f>IFERROR(__xludf.DUMMYFUNCTION("""COMPUTED_VALUE"""),"SQL Querying (Joins, Aggregations, Subqueries)")</f>
        <v>SQL Querying (Joins, Aggregations, Subqueries)</v>
      </c>
      <c r="D454" s="7" t="str">
        <f>IFERROR(__xludf.DUMMYFUNCTION("""COMPUTED_VALUE"""),"S118")</f>
        <v>S118</v>
      </c>
      <c r="E454" s="7" t="str">
        <f>IFERROR(__xludf.DUMMYFUNCTION("""COMPUTED_VALUE"""),"Object-Relational Mapping (ORM: Hibernate, JPA, Prisma, SQLAlchemy)")</f>
        <v>Object-Relational Mapping (ORM: Hibernate, JPA, Prisma, SQLAlchemy)</v>
      </c>
      <c r="F454" s="7" t="str">
        <f>IFERROR(__xludf.DUMMYFUNCTION("""COMPUTED_VALUE"""),"S107 unlocks S118")</f>
        <v>S107 unlocks S118</v>
      </c>
    </row>
    <row r="455">
      <c r="A455" s="7" t="str">
        <f>IFERROR(__xludf.DUMMYFUNCTION("""COMPUTED_VALUE"""),"PE0454")</f>
        <v>PE0454</v>
      </c>
      <c r="B455" s="7" t="str">
        <f>IFERROR(__xludf.DUMMYFUNCTION("""COMPUTED_VALUE"""),"S107")</f>
        <v>S107</v>
      </c>
      <c r="C455" s="7" t="str">
        <f>IFERROR(__xludf.DUMMYFUNCTION("""COMPUTED_VALUE"""),"SQL Querying (Joins, Aggregations, Subqueries)")</f>
        <v>SQL Querying (Joins, Aggregations, Subqueries)</v>
      </c>
      <c r="D455" s="7" t="str">
        <f>IFERROR(__xludf.DUMMYFUNCTION("""COMPUTED_VALUE"""),"S119")</f>
        <v>S119</v>
      </c>
      <c r="E455" s="7" t="str">
        <f>IFERROR(__xludf.DUMMYFUNCTION("""COMPUTED_VALUE"""),"Document Databases (MongoDB)")</f>
        <v>Document Databases (MongoDB)</v>
      </c>
      <c r="F455" s="7" t="str">
        <f>IFERROR(__xludf.DUMMYFUNCTION("""COMPUTED_VALUE"""),"S107 unlocks S119")</f>
        <v>S107 unlocks S119</v>
      </c>
    </row>
    <row r="456">
      <c r="A456" s="7" t="str">
        <f>IFERROR(__xludf.DUMMYFUNCTION("""COMPUTED_VALUE"""),"PE0455")</f>
        <v>PE0455</v>
      </c>
      <c r="B456" s="7" t="str">
        <f>IFERROR(__xludf.DUMMYFUNCTION("""COMPUTED_VALUE"""),"S107")</f>
        <v>S107</v>
      </c>
      <c r="C456" s="7" t="str">
        <f>IFERROR(__xludf.DUMMYFUNCTION("""COMPUTED_VALUE"""),"SQL Querying (Joins, Aggregations, Subqueries)")</f>
        <v>SQL Querying (Joins, Aggregations, Subqueries)</v>
      </c>
      <c r="D456" s="7" t="str">
        <f>IFERROR(__xludf.DUMMYFUNCTION("""COMPUTED_VALUE"""),"S120")</f>
        <v>S120</v>
      </c>
      <c r="E456" s="7" t="str">
        <f>IFERROR(__xludf.DUMMYFUNCTION("""COMPUTED_VALUE"""),"Key-Value Stores &amp; In-Memory DBs (Redis, Memcached)")</f>
        <v>Key-Value Stores &amp; In-Memory DBs (Redis, Memcached)</v>
      </c>
      <c r="F456" s="7" t="str">
        <f>IFERROR(__xludf.DUMMYFUNCTION("""COMPUTED_VALUE"""),"S107 unlocks S120")</f>
        <v>S107 unlocks S120</v>
      </c>
    </row>
    <row r="457">
      <c r="A457" s="7" t="str">
        <f>IFERROR(__xludf.DUMMYFUNCTION("""COMPUTED_VALUE"""),"PE0456")</f>
        <v>PE0456</v>
      </c>
      <c r="B457" s="7" t="str">
        <f>IFERROR(__xludf.DUMMYFUNCTION("""COMPUTED_VALUE"""),"S107")</f>
        <v>S107</v>
      </c>
      <c r="C457" s="7" t="str">
        <f>IFERROR(__xludf.DUMMYFUNCTION("""COMPUTED_VALUE"""),"SQL Querying (Joins, Aggregations, Subqueries)")</f>
        <v>SQL Querying (Joins, Aggregations, Subqueries)</v>
      </c>
      <c r="D457" s="7" t="str">
        <f>IFERROR(__xludf.DUMMYFUNCTION("""COMPUTED_VALUE"""),"S122")</f>
        <v>S122</v>
      </c>
      <c r="E457" s="7" t="str">
        <f>IFERROR(__xludf.DUMMYFUNCTION("""COMPUTED_VALUE"""),"Cloud NoSQL Databases (AWS DynamoDB, Firestore)")</f>
        <v>Cloud NoSQL Databases (AWS DynamoDB, Firestore)</v>
      </c>
      <c r="F457" s="7" t="str">
        <f>IFERROR(__xludf.DUMMYFUNCTION("""COMPUTED_VALUE"""),"S107 unlocks S122")</f>
        <v>S107 unlocks S122</v>
      </c>
    </row>
    <row r="458">
      <c r="A458" s="7" t="str">
        <f>IFERROR(__xludf.DUMMYFUNCTION("""COMPUTED_VALUE"""),"PE0457")</f>
        <v>PE0457</v>
      </c>
      <c r="B458" s="7" t="str">
        <f>IFERROR(__xludf.DUMMYFUNCTION("""COMPUTED_VALUE"""),"S107")</f>
        <v>S107</v>
      </c>
      <c r="C458" s="7" t="str">
        <f>IFERROR(__xludf.DUMMYFUNCTION("""COMPUTED_VALUE"""),"SQL Querying (Joins, Aggregations, Subqueries)")</f>
        <v>SQL Querying (Joins, Aggregations, Subqueries)</v>
      </c>
      <c r="D458" s="7" t="str">
        <f>IFERROR(__xludf.DUMMYFUNCTION("""COMPUTED_VALUE"""),"S124")</f>
        <v>S124</v>
      </c>
      <c r="E458" s="7" t="str">
        <f>IFERROR(__xludf.DUMMYFUNCTION("""COMPUTED_VALUE"""),"Time-Series Databases (InfluxDB, TimescaleDB)")</f>
        <v>Time-Series Databases (InfluxDB, TimescaleDB)</v>
      </c>
      <c r="F458" s="7" t="str">
        <f>IFERROR(__xludf.DUMMYFUNCTION("""COMPUTED_VALUE"""),"S107 unlocks S124")</f>
        <v>S107 unlocks S124</v>
      </c>
    </row>
    <row r="459">
      <c r="A459" s="7" t="str">
        <f>IFERROR(__xludf.DUMMYFUNCTION("""COMPUTED_VALUE"""),"PE0458")</f>
        <v>PE0458</v>
      </c>
      <c r="B459" s="7" t="str">
        <f>IFERROR(__xludf.DUMMYFUNCTION("""COMPUTED_VALUE"""),"S107")</f>
        <v>S107</v>
      </c>
      <c r="C459" s="7" t="str">
        <f>IFERROR(__xludf.DUMMYFUNCTION("""COMPUTED_VALUE"""),"SQL Querying (Joins, Aggregations, Subqueries)")</f>
        <v>SQL Querying (Joins, Aggregations, Subqueries)</v>
      </c>
      <c r="D459" s="7" t="str">
        <f>IFERROR(__xludf.DUMMYFUNCTION("""COMPUTED_VALUE"""),"S126")</f>
        <v>S126</v>
      </c>
      <c r="E459" s="7" t="str">
        <f>IFERROR(__xludf.DUMMYFUNCTION("""COMPUTED_VALUE"""),"ETL / ELT Data Pipeline Design")</f>
        <v>ETL / ELT Data Pipeline Design</v>
      </c>
      <c r="F459" s="7" t="str">
        <f>IFERROR(__xludf.DUMMYFUNCTION("""COMPUTED_VALUE"""),"S107 unlocks S126")</f>
        <v>S107 unlocks S126</v>
      </c>
    </row>
    <row r="460">
      <c r="A460" s="7" t="str">
        <f>IFERROR(__xludf.DUMMYFUNCTION("""COMPUTED_VALUE"""),"PE0459")</f>
        <v>PE0459</v>
      </c>
      <c r="B460" s="7" t="str">
        <f>IFERROR(__xludf.DUMMYFUNCTION("""COMPUTED_VALUE"""),"S107")</f>
        <v>S107</v>
      </c>
      <c r="C460" s="7" t="str">
        <f>IFERROR(__xludf.DUMMYFUNCTION("""COMPUTED_VALUE"""),"SQL Querying (Joins, Aggregations, Subqueries)")</f>
        <v>SQL Querying (Joins, Aggregations, Subqueries)</v>
      </c>
      <c r="D460" s="7" t="str">
        <f>IFERROR(__xludf.DUMMYFUNCTION("""COMPUTED_VALUE"""),"S130")</f>
        <v>S130</v>
      </c>
      <c r="E460" s="7" t="str">
        <f>IFERROR(__xludf.DUMMYFUNCTION("""COMPUTED_VALUE"""),"Data Transformation &amp; Analytics Engineering (dbt)")</f>
        <v>Data Transformation &amp; Analytics Engineering (dbt)</v>
      </c>
      <c r="F460" s="7" t="str">
        <f>IFERROR(__xludf.DUMMYFUNCTION("""COMPUTED_VALUE"""),"S107 unlocks S130")</f>
        <v>S107 unlocks S130</v>
      </c>
    </row>
    <row r="461">
      <c r="A461" s="7" t="str">
        <f>IFERROR(__xludf.DUMMYFUNCTION("""COMPUTED_VALUE"""),"PE0460")</f>
        <v>PE0460</v>
      </c>
      <c r="B461" s="7" t="str">
        <f>IFERROR(__xludf.DUMMYFUNCTION("""COMPUTED_VALUE"""),"S107")</f>
        <v>S107</v>
      </c>
      <c r="C461" s="7" t="str">
        <f>IFERROR(__xludf.DUMMYFUNCTION("""COMPUTED_VALUE"""),"SQL Querying (Joins, Aggregations, Subqueries)")</f>
        <v>SQL Querying (Joins, Aggregations, Subqueries)</v>
      </c>
      <c r="D461" s="7" t="str">
        <f>IFERROR(__xludf.DUMMYFUNCTION("""COMPUTED_VALUE"""),"S133")</f>
        <v>S133</v>
      </c>
      <c r="E461" s="7" t="str">
        <f>IFERROR(__xludf.DUMMYFUNCTION("""COMPUTED_VALUE"""),"Big Data Storage &amp; Hadoop Ecosystem (HDFS, Parquet, Avro)")</f>
        <v>Big Data Storage &amp; Hadoop Ecosystem (HDFS, Parquet, Avro)</v>
      </c>
      <c r="F461" s="7" t="str">
        <f>IFERROR(__xludf.DUMMYFUNCTION("""COMPUTED_VALUE"""),"S107 unlocks S133")</f>
        <v>S107 unlocks S133</v>
      </c>
    </row>
    <row r="462">
      <c r="A462" s="7" t="str">
        <f>IFERROR(__xludf.DUMMYFUNCTION("""COMPUTED_VALUE"""),"PE0461")</f>
        <v>PE0461</v>
      </c>
      <c r="B462" s="7" t="str">
        <f>IFERROR(__xludf.DUMMYFUNCTION("""COMPUTED_VALUE"""),"S107")</f>
        <v>S107</v>
      </c>
      <c r="C462" s="7" t="str">
        <f>IFERROR(__xludf.DUMMYFUNCTION("""COMPUTED_VALUE"""),"SQL Querying (Joins, Aggregations, Subqueries)")</f>
        <v>SQL Querying (Joins, Aggregations, Subqueries)</v>
      </c>
      <c r="D462" s="7" t="str">
        <f>IFERROR(__xludf.DUMMYFUNCTION("""COMPUTED_VALUE"""),"S134")</f>
        <v>S134</v>
      </c>
      <c r="E462" s="7" t="str">
        <f>IFERROR(__xludf.DUMMYFUNCTION("""COMPUTED_VALUE"""),"Data Modeling (Star Schema, Snowflake Schema, Data Vault)")</f>
        <v>Data Modeling (Star Schema, Snowflake Schema, Data Vault)</v>
      </c>
      <c r="F462" s="7" t="str">
        <f>IFERROR(__xludf.DUMMYFUNCTION("""COMPUTED_VALUE"""),"S107 unlocks S134")</f>
        <v>S107 unlocks S134</v>
      </c>
    </row>
    <row r="463">
      <c r="A463" s="7" t="str">
        <f>IFERROR(__xludf.DUMMYFUNCTION("""COMPUTED_VALUE"""),"PE0462")</f>
        <v>PE0462</v>
      </c>
      <c r="B463" s="7" t="str">
        <f>IFERROR(__xludf.DUMMYFUNCTION("""COMPUTED_VALUE"""),"S107")</f>
        <v>S107</v>
      </c>
      <c r="C463" s="7" t="str">
        <f>IFERROR(__xludf.DUMMYFUNCTION("""COMPUTED_VALUE"""),"SQL Querying (Joins, Aggregations, Subqueries)")</f>
        <v>SQL Querying (Joins, Aggregations, Subqueries)</v>
      </c>
      <c r="D463" s="7" t="str">
        <f>IFERROR(__xludf.DUMMYFUNCTION("""COMPUTED_VALUE"""),"S135")</f>
        <v>S135</v>
      </c>
      <c r="E463" s="7" t="str">
        <f>IFERROR(__xludf.DUMMYFUNCTION("""COMPUTED_VALUE"""),"Data Quality, Lineage &amp; Governance (Great Expectations, Collibra)")</f>
        <v>Data Quality, Lineage &amp; Governance (Great Expectations, Collibra)</v>
      </c>
      <c r="F463" s="7" t="str">
        <f>IFERROR(__xludf.DUMMYFUNCTION("""COMPUTED_VALUE"""),"S107 unlocks S135")</f>
        <v>S107 unlocks S135</v>
      </c>
    </row>
    <row r="464">
      <c r="A464" s="7" t="str">
        <f>IFERROR(__xludf.DUMMYFUNCTION("""COMPUTED_VALUE"""),"PE0463")</f>
        <v>PE0463</v>
      </c>
      <c r="B464" s="7" t="str">
        <f>IFERROR(__xludf.DUMMYFUNCTION("""COMPUTED_VALUE"""),"S110")</f>
        <v>S110</v>
      </c>
      <c r="C464" s="7" t="str">
        <f>IFERROR(__xludf.DUMMYFUNCTION("""COMPUTED_VALUE"""),"MySQL &amp; MariaDB Management")</f>
        <v>MySQL &amp; MariaDB Management</v>
      </c>
      <c r="D464" s="7" t="str">
        <f>IFERROR(__xludf.DUMMYFUNCTION("""COMPUTED_VALUE"""),"S108")</f>
        <v>S108</v>
      </c>
      <c r="E464" s="7" t="str">
        <f>IFERROR(__xludf.DUMMYFUNCTION("""COMPUTED_VALUE"""),"Advanced SQL (Window Functions, CTEs, Stored Procedures)")</f>
        <v>Advanced SQL (Window Functions, CTEs, Stored Procedures)</v>
      </c>
      <c r="F464" s="7" t="str">
        <f>IFERROR(__xludf.DUMMYFUNCTION("""COMPUTED_VALUE"""),"S110 unlocks S108")</f>
        <v>S110 unlocks S108</v>
      </c>
    </row>
    <row r="465">
      <c r="A465" s="7" t="str">
        <f>IFERROR(__xludf.DUMMYFUNCTION("""COMPUTED_VALUE"""),"PE0464")</f>
        <v>PE0464</v>
      </c>
      <c r="B465" s="7" t="str">
        <f>IFERROR(__xludf.DUMMYFUNCTION("""COMPUTED_VALUE"""),"S110")</f>
        <v>S110</v>
      </c>
      <c r="C465" s="7" t="str">
        <f>IFERROR(__xludf.DUMMYFUNCTION("""COMPUTED_VALUE"""),"MySQL &amp; MariaDB Management")</f>
        <v>MySQL &amp; MariaDB Management</v>
      </c>
      <c r="D465" s="7" t="str">
        <f>IFERROR(__xludf.DUMMYFUNCTION("""COMPUTED_VALUE"""),"S109")</f>
        <v>S109</v>
      </c>
      <c r="E465" s="7" t="str">
        <f>IFERROR(__xludf.DUMMYFUNCTION("""COMPUTED_VALUE"""),"PostgreSQL Administration &amp; Development")</f>
        <v>PostgreSQL Administration &amp; Development</v>
      </c>
      <c r="F465" s="7" t="str">
        <f>IFERROR(__xludf.DUMMYFUNCTION("""COMPUTED_VALUE"""),"S110 unlocks S109")</f>
        <v>S110 unlocks S109</v>
      </c>
    </row>
    <row r="466">
      <c r="A466" s="7" t="str">
        <f>IFERROR(__xludf.DUMMYFUNCTION("""COMPUTED_VALUE"""),"PE0465")</f>
        <v>PE0465</v>
      </c>
      <c r="B466" s="7" t="str">
        <f>IFERROR(__xludf.DUMMYFUNCTION("""COMPUTED_VALUE"""),"S110")</f>
        <v>S110</v>
      </c>
      <c r="C466" s="7" t="str">
        <f>IFERROR(__xludf.DUMMYFUNCTION("""COMPUTED_VALUE"""),"MySQL &amp; MariaDB Management")</f>
        <v>MySQL &amp; MariaDB Management</v>
      </c>
      <c r="D466" s="7" t="str">
        <f>IFERROR(__xludf.DUMMYFUNCTION("""COMPUTED_VALUE"""),"S111")</f>
        <v>S111</v>
      </c>
      <c r="E466" s="7" t="str">
        <f>IFERROR(__xludf.DUMMYFUNCTION("""COMPUTED_VALUE"""),"Microsoft SQL Server (T-SQL)")</f>
        <v>Microsoft SQL Server (T-SQL)</v>
      </c>
      <c r="F466" s="7" t="str">
        <f>IFERROR(__xludf.DUMMYFUNCTION("""COMPUTED_VALUE"""),"S110 unlocks S111")</f>
        <v>S110 unlocks S111</v>
      </c>
    </row>
    <row r="467">
      <c r="A467" s="7" t="str">
        <f>IFERROR(__xludf.DUMMYFUNCTION("""COMPUTED_VALUE"""),"PE0466")</f>
        <v>PE0466</v>
      </c>
      <c r="B467" s="7" t="str">
        <f>IFERROR(__xludf.DUMMYFUNCTION("""COMPUTED_VALUE"""),"S110")</f>
        <v>S110</v>
      </c>
      <c r="C467" s="7" t="str">
        <f>IFERROR(__xludf.DUMMYFUNCTION("""COMPUTED_VALUE"""),"MySQL &amp; MariaDB Management")</f>
        <v>MySQL &amp; MariaDB Management</v>
      </c>
      <c r="D467" s="7" t="str">
        <f>IFERROR(__xludf.DUMMYFUNCTION("""COMPUTED_VALUE"""),"S112")</f>
        <v>S112</v>
      </c>
      <c r="E467" s="7" t="str">
        <f>IFERROR(__xludf.DUMMYFUNCTION("""COMPUTED_VALUE"""),"Oracle Database &amp; PL/SQL")</f>
        <v>Oracle Database &amp; PL/SQL</v>
      </c>
      <c r="F467" s="7" t="str">
        <f>IFERROR(__xludf.DUMMYFUNCTION("""COMPUTED_VALUE"""),"S110 unlocks S112")</f>
        <v>S110 unlocks S112</v>
      </c>
    </row>
    <row r="468">
      <c r="A468" s="7" t="str">
        <f>IFERROR(__xludf.DUMMYFUNCTION("""COMPUTED_VALUE"""),"PE0467")</f>
        <v>PE0467</v>
      </c>
      <c r="B468" s="7" t="str">
        <f>IFERROR(__xludf.DUMMYFUNCTION("""COMPUTED_VALUE"""),"S110")</f>
        <v>S110</v>
      </c>
      <c r="C468" s="7" t="str">
        <f>IFERROR(__xludf.DUMMYFUNCTION("""COMPUTED_VALUE"""),"MySQL &amp; MariaDB Management")</f>
        <v>MySQL &amp; MariaDB Management</v>
      </c>
      <c r="D468" s="7" t="str">
        <f>IFERROR(__xludf.DUMMYFUNCTION("""COMPUTED_VALUE"""),"S117")</f>
        <v>S117</v>
      </c>
      <c r="E468" s="7" t="str">
        <f>IFERROR(__xludf.DUMMYFUNCTION("""COMPUTED_VALUE"""),"Database Backup, Point-in-Time Recovery &amp; Migration")</f>
        <v>Database Backup, Point-in-Time Recovery &amp; Migration</v>
      </c>
      <c r="F468" s="7" t="str">
        <f>IFERROR(__xludf.DUMMYFUNCTION("""COMPUTED_VALUE"""),"S110 unlocks S117")</f>
        <v>S110 unlocks S117</v>
      </c>
    </row>
    <row r="469">
      <c r="A469" s="7" t="str">
        <f>IFERROR(__xludf.DUMMYFUNCTION("""COMPUTED_VALUE"""),"PE0468")</f>
        <v>PE0468</v>
      </c>
      <c r="B469" s="7" t="str">
        <f>IFERROR(__xludf.DUMMYFUNCTION("""COMPUTED_VALUE"""),"S110")</f>
        <v>S110</v>
      </c>
      <c r="C469" s="7" t="str">
        <f>IFERROR(__xludf.DUMMYFUNCTION("""COMPUTED_VALUE"""),"MySQL &amp; MariaDB Management")</f>
        <v>MySQL &amp; MariaDB Management</v>
      </c>
      <c r="D469" s="7" t="str">
        <f>IFERROR(__xludf.DUMMYFUNCTION("""COMPUTED_VALUE"""),"S118")</f>
        <v>S118</v>
      </c>
      <c r="E469" s="7" t="str">
        <f>IFERROR(__xludf.DUMMYFUNCTION("""COMPUTED_VALUE"""),"Object-Relational Mapping (ORM: Hibernate, JPA, Prisma, SQLAlchemy)")</f>
        <v>Object-Relational Mapping (ORM: Hibernate, JPA, Prisma, SQLAlchemy)</v>
      </c>
      <c r="F469" s="7" t="str">
        <f>IFERROR(__xludf.DUMMYFUNCTION("""COMPUTED_VALUE"""),"S110 unlocks S118")</f>
        <v>S110 unlocks S118</v>
      </c>
    </row>
    <row r="470">
      <c r="A470" s="7" t="str">
        <f>IFERROR(__xludf.DUMMYFUNCTION("""COMPUTED_VALUE"""),"PE0469")</f>
        <v>PE0469</v>
      </c>
      <c r="B470" s="7" t="str">
        <f>IFERROR(__xludf.DUMMYFUNCTION("""COMPUTED_VALUE"""),"S110")</f>
        <v>S110</v>
      </c>
      <c r="C470" s="7" t="str">
        <f>IFERROR(__xludf.DUMMYFUNCTION("""COMPUTED_VALUE"""),"MySQL &amp; MariaDB Management")</f>
        <v>MySQL &amp; MariaDB Management</v>
      </c>
      <c r="D470" s="7" t="str">
        <f>IFERROR(__xludf.DUMMYFUNCTION("""COMPUTED_VALUE"""),"S119")</f>
        <v>S119</v>
      </c>
      <c r="E470" s="7" t="str">
        <f>IFERROR(__xludf.DUMMYFUNCTION("""COMPUTED_VALUE"""),"Document Databases (MongoDB)")</f>
        <v>Document Databases (MongoDB)</v>
      </c>
      <c r="F470" s="7" t="str">
        <f>IFERROR(__xludf.DUMMYFUNCTION("""COMPUTED_VALUE"""),"S110 unlocks S119")</f>
        <v>S110 unlocks S119</v>
      </c>
    </row>
    <row r="471">
      <c r="A471" s="7" t="str">
        <f>IFERROR(__xludf.DUMMYFUNCTION("""COMPUTED_VALUE"""),"PE0470")</f>
        <v>PE0470</v>
      </c>
      <c r="B471" s="7" t="str">
        <f>IFERROR(__xludf.DUMMYFUNCTION("""COMPUTED_VALUE"""),"S110")</f>
        <v>S110</v>
      </c>
      <c r="C471" s="7" t="str">
        <f>IFERROR(__xludf.DUMMYFUNCTION("""COMPUTED_VALUE"""),"MySQL &amp; MariaDB Management")</f>
        <v>MySQL &amp; MariaDB Management</v>
      </c>
      <c r="D471" s="7" t="str">
        <f>IFERROR(__xludf.DUMMYFUNCTION("""COMPUTED_VALUE"""),"S120")</f>
        <v>S120</v>
      </c>
      <c r="E471" s="7" t="str">
        <f>IFERROR(__xludf.DUMMYFUNCTION("""COMPUTED_VALUE"""),"Key-Value Stores &amp; In-Memory DBs (Redis, Memcached)")</f>
        <v>Key-Value Stores &amp; In-Memory DBs (Redis, Memcached)</v>
      </c>
      <c r="F471" s="7" t="str">
        <f>IFERROR(__xludf.DUMMYFUNCTION("""COMPUTED_VALUE"""),"S110 unlocks S120")</f>
        <v>S110 unlocks S120</v>
      </c>
    </row>
    <row r="472">
      <c r="A472" s="7" t="str">
        <f>IFERROR(__xludf.DUMMYFUNCTION("""COMPUTED_VALUE"""),"PE0471")</f>
        <v>PE0471</v>
      </c>
      <c r="B472" s="7" t="str">
        <f>IFERROR(__xludf.DUMMYFUNCTION("""COMPUTED_VALUE"""),"S110")</f>
        <v>S110</v>
      </c>
      <c r="C472" s="7" t="str">
        <f>IFERROR(__xludf.DUMMYFUNCTION("""COMPUTED_VALUE"""),"MySQL &amp; MariaDB Management")</f>
        <v>MySQL &amp; MariaDB Management</v>
      </c>
      <c r="D472" s="7" t="str">
        <f>IFERROR(__xludf.DUMMYFUNCTION("""COMPUTED_VALUE"""),"S122")</f>
        <v>S122</v>
      </c>
      <c r="E472" s="7" t="str">
        <f>IFERROR(__xludf.DUMMYFUNCTION("""COMPUTED_VALUE"""),"Cloud NoSQL Databases (AWS DynamoDB, Firestore)")</f>
        <v>Cloud NoSQL Databases (AWS DynamoDB, Firestore)</v>
      </c>
      <c r="F472" s="7" t="str">
        <f>IFERROR(__xludf.DUMMYFUNCTION("""COMPUTED_VALUE"""),"S110 unlocks S122")</f>
        <v>S110 unlocks S122</v>
      </c>
    </row>
    <row r="473">
      <c r="A473" s="7" t="str">
        <f>IFERROR(__xludf.DUMMYFUNCTION("""COMPUTED_VALUE"""),"PE0472")</f>
        <v>PE0472</v>
      </c>
      <c r="B473" s="7" t="str">
        <f>IFERROR(__xludf.DUMMYFUNCTION("""COMPUTED_VALUE"""),"S110")</f>
        <v>S110</v>
      </c>
      <c r="C473" s="7" t="str">
        <f>IFERROR(__xludf.DUMMYFUNCTION("""COMPUTED_VALUE"""),"MySQL &amp; MariaDB Management")</f>
        <v>MySQL &amp; MariaDB Management</v>
      </c>
      <c r="D473" s="7" t="str">
        <f>IFERROR(__xludf.DUMMYFUNCTION("""COMPUTED_VALUE"""),"S124")</f>
        <v>S124</v>
      </c>
      <c r="E473" s="7" t="str">
        <f>IFERROR(__xludf.DUMMYFUNCTION("""COMPUTED_VALUE"""),"Time-Series Databases (InfluxDB, TimescaleDB)")</f>
        <v>Time-Series Databases (InfluxDB, TimescaleDB)</v>
      </c>
      <c r="F473" s="7" t="str">
        <f>IFERROR(__xludf.DUMMYFUNCTION("""COMPUTED_VALUE"""),"S110 unlocks S124")</f>
        <v>S110 unlocks S124</v>
      </c>
    </row>
    <row r="474">
      <c r="A474" s="7" t="str">
        <f>IFERROR(__xludf.DUMMYFUNCTION("""COMPUTED_VALUE"""),"PE0473")</f>
        <v>PE0473</v>
      </c>
      <c r="B474" s="7" t="str">
        <f>IFERROR(__xludf.DUMMYFUNCTION("""COMPUTED_VALUE"""),"S110")</f>
        <v>S110</v>
      </c>
      <c r="C474" s="7" t="str">
        <f>IFERROR(__xludf.DUMMYFUNCTION("""COMPUTED_VALUE"""),"MySQL &amp; MariaDB Management")</f>
        <v>MySQL &amp; MariaDB Management</v>
      </c>
      <c r="D474" s="7" t="str">
        <f>IFERROR(__xludf.DUMMYFUNCTION("""COMPUTED_VALUE"""),"S126")</f>
        <v>S126</v>
      </c>
      <c r="E474" s="7" t="str">
        <f>IFERROR(__xludf.DUMMYFUNCTION("""COMPUTED_VALUE"""),"ETL / ELT Data Pipeline Design")</f>
        <v>ETL / ELT Data Pipeline Design</v>
      </c>
      <c r="F474" s="7" t="str">
        <f>IFERROR(__xludf.DUMMYFUNCTION("""COMPUTED_VALUE"""),"S110 unlocks S126")</f>
        <v>S110 unlocks S126</v>
      </c>
    </row>
    <row r="475">
      <c r="A475" s="7" t="str">
        <f>IFERROR(__xludf.DUMMYFUNCTION("""COMPUTED_VALUE"""),"PE0474")</f>
        <v>PE0474</v>
      </c>
      <c r="B475" s="7" t="str">
        <f>IFERROR(__xludf.DUMMYFUNCTION("""COMPUTED_VALUE"""),"S110")</f>
        <v>S110</v>
      </c>
      <c r="C475" s="7" t="str">
        <f>IFERROR(__xludf.DUMMYFUNCTION("""COMPUTED_VALUE"""),"MySQL &amp; MariaDB Management")</f>
        <v>MySQL &amp; MariaDB Management</v>
      </c>
      <c r="D475" s="7" t="str">
        <f>IFERROR(__xludf.DUMMYFUNCTION("""COMPUTED_VALUE"""),"S130")</f>
        <v>S130</v>
      </c>
      <c r="E475" s="7" t="str">
        <f>IFERROR(__xludf.DUMMYFUNCTION("""COMPUTED_VALUE"""),"Data Transformation &amp; Analytics Engineering (dbt)")</f>
        <v>Data Transformation &amp; Analytics Engineering (dbt)</v>
      </c>
      <c r="F475" s="7" t="str">
        <f>IFERROR(__xludf.DUMMYFUNCTION("""COMPUTED_VALUE"""),"S110 unlocks S130")</f>
        <v>S110 unlocks S130</v>
      </c>
    </row>
    <row r="476">
      <c r="A476" s="7" t="str">
        <f>IFERROR(__xludf.DUMMYFUNCTION("""COMPUTED_VALUE"""),"PE0475")</f>
        <v>PE0475</v>
      </c>
      <c r="B476" s="7" t="str">
        <f>IFERROR(__xludf.DUMMYFUNCTION("""COMPUTED_VALUE"""),"S110")</f>
        <v>S110</v>
      </c>
      <c r="C476" s="7" t="str">
        <f>IFERROR(__xludf.DUMMYFUNCTION("""COMPUTED_VALUE"""),"MySQL &amp; MariaDB Management")</f>
        <v>MySQL &amp; MariaDB Management</v>
      </c>
      <c r="D476" s="7" t="str">
        <f>IFERROR(__xludf.DUMMYFUNCTION("""COMPUTED_VALUE"""),"S133")</f>
        <v>S133</v>
      </c>
      <c r="E476" s="7" t="str">
        <f>IFERROR(__xludf.DUMMYFUNCTION("""COMPUTED_VALUE"""),"Big Data Storage &amp; Hadoop Ecosystem (HDFS, Parquet, Avro)")</f>
        <v>Big Data Storage &amp; Hadoop Ecosystem (HDFS, Parquet, Avro)</v>
      </c>
      <c r="F476" s="7" t="str">
        <f>IFERROR(__xludf.DUMMYFUNCTION("""COMPUTED_VALUE"""),"S110 unlocks S133")</f>
        <v>S110 unlocks S133</v>
      </c>
    </row>
    <row r="477">
      <c r="A477" s="7" t="str">
        <f>IFERROR(__xludf.DUMMYFUNCTION("""COMPUTED_VALUE"""),"PE0476")</f>
        <v>PE0476</v>
      </c>
      <c r="B477" s="7" t="str">
        <f>IFERROR(__xludf.DUMMYFUNCTION("""COMPUTED_VALUE"""),"S110")</f>
        <v>S110</v>
      </c>
      <c r="C477" s="7" t="str">
        <f>IFERROR(__xludf.DUMMYFUNCTION("""COMPUTED_VALUE"""),"MySQL &amp; MariaDB Management")</f>
        <v>MySQL &amp; MariaDB Management</v>
      </c>
      <c r="D477" s="7" t="str">
        <f>IFERROR(__xludf.DUMMYFUNCTION("""COMPUTED_VALUE"""),"S134")</f>
        <v>S134</v>
      </c>
      <c r="E477" s="7" t="str">
        <f>IFERROR(__xludf.DUMMYFUNCTION("""COMPUTED_VALUE"""),"Data Modeling (Star Schema, Snowflake Schema, Data Vault)")</f>
        <v>Data Modeling (Star Schema, Snowflake Schema, Data Vault)</v>
      </c>
      <c r="F477" s="7" t="str">
        <f>IFERROR(__xludf.DUMMYFUNCTION("""COMPUTED_VALUE"""),"S110 unlocks S134")</f>
        <v>S110 unlocks S134</v>
      </c>
    </row>
    <row r="478">
      <c r="A478" s="7" t="str">
        <f>IFERROR(__xludf.DUMMYFUNCTION("""COMPUTED_VALUE"""),"PE0477")</f>
        <v>PE0477</v>
      </c>
      <c r="B478" s="7" t="str">
        <f>IFERROR(__xludf.DUMMYFUNCTION("""COMPUTED_VALUE"""),"S110")</f>
        <v>S110</v>
      </c>
      <c r="C478" s="7" t="str">
        <f>IFERROR(__xludf.DUMMYFUNCTION("""COMPUTED_VALUE"""),"MySQL &amp; MariaDB Management")</f>
        <v>MySQL &amp; MariaDB Management</v>
      </c>
      <c r="D478" s="7" t="str">
        <f>IFERROR(__xludf.DUMMYFUNCTION("""COMPUTED_VALUE"""),"S135")</f>
        <v>S135</v>
      </c>
      <c r="E478" s="7" t="str">
        <f>IFERROR(__xludf.DUMMYFUNCTION("""COMPUTED_VALUE"""),"Data Quality, Lineage &amp; Governance (Great Expectations, Collibra)")</f>
        <v>Data Quality, Lineage &amp; Governance (Great Expectations, Collibra)</v>
      </c>
      <c r="F478" s="7" t="str">
        <f>IFERROR(__xludf.DUMMYFUNCTION("""COMPUTED_VALUE"""),"S110 unlocks S135")</f>
        <v>S110 unlocks S135</v>
      </c>
    </row>
    <row r="479">
      <c r="A479" s="7" t="str">
        <f>IFERROR(__xludf.DUMMYFUNCTION("""COMPUTED_VALUE"""),"PE0478")</f>
        <v>PE0478</v>
      </c>
      <c r="B479" s="7" t="str">
        <f>IFERROR(__xludf.DUMMYFUNCTION("""COMPUTED_VALUE"""),"S113")</f>
        <v>S113</v>
      </c>
      <c r="C479" s="7" t="str">
        <f>IFERROR(__xludf.DUMMYFUNCTION("""COMPUTED_VALUE"""),"SQLite Embedded Databases")</f>
        <v>SQLite Embedded Databases</v>
      </c>
      <c r="D479" s="7" t="str">
        <f>IFERROR(__xludf.DUMMYFUNCTION("""COMPUTED_VALUE"""),"S108")</f>
        <v>S108</v>
      </c>
      <c r="E479" s="7" t="str">
        <f>IFERROR(__xludf.DUMMYFUNCTION("""COMPUTED_VALUE"""),"Advanced SQL (Window Functions, CTEs, Stored Procedures)")</f>
        <v>Advanced SQL (Window Functions, CTEs, Stored Procedures)</v>
      </c>
      <c r="F479" s="7" t="str">
        <f>IFERROR(__xludf.DUMMYFUNCTION("""COMPUTED_VALUE"""),"S113 unlocks S108")</f>
        <v>S113 unlocks S108</v>
      </c>
    </row>
    <row r="480">
      <c r="A480" s="7" t="str">
        <f>IFERROR(__xludf.DUMMYFUNCTION("""COMPUTED_VALUE"""),"PE0479")</f>
        <v>PE0479</v>
      </c>
      <c r="B480" s="7" t="str">
        <f>IFERROR(__xludf.DUMMYFUNCTION("""COMPUTED_VALUE"""),"S113")</f>
        <v>S113</v>
      </c>
      <c r="C480" s="7" t="str">
        <f>IFERROR(__xludf.DUMMYFUNCTION("""COMPUTED_VALUE"""),"SQLite Embedded Databases")</f>
        <v>SQLite Embedded Databases</v>
      </c>
      <c r="D480" s="7" t="str">
        <f>IFERROR(__xludf.DUMMYFUNCTION("""COMPUTED_VALUE"""),"S109")</f>
        <v>S109</v>
      </c>
      <c r="E480" s="7" t="str">
        <f>IFERROR(__xludf.DUMMYFUNCTION("""COMPUTED_VALUE"""),"PostgreSQL Administration &amp; Development")</f>
        <v>PostgreSQL Administration &amp; Development</v>
      </c>
      <c r="F480" s="7" t="str">
        <f>IFERROR(__xludf.DUMMYFUNCTION("""COMPUTED_VALUE"""),"S113 unlocks S109")</f>
        <v>S113 unlocks S109</v>
      </c>
    </row>
    <row r="481">
      <c r="A481" s="7" t="str">
        <f>IFERROR(__xludf.DUMMYFUNCTION("""COMPUTED_VALUE"""),"PE0480")</f>
        <v>PE0480</v>
      </c>
      <c r="B481" s="7" t="str">
        <f>IFERROR(__xludf.DUMMYFUNCTION("""COMPUTED_VALUE"""),"S113")</f>
        <v>S113</v>
      </c>
      <c r="C481" s="7" t="str">
        <f>IFERROR(__xludf.DUMMYFUNCTION("""COMPUTED_VALUE"""),"SQLite Embedded Databases")</f>
        <v>SQLite Embedded Databases</v>
      </c>
      <c r="D481" s="7" t="str">
        <f>IFERROR(__xludf.DUMMYFUNCTION("""COMPUTED_VALUE"""),"S111")</f>
        <v>S111</v>
      </c>
      <c r="E481" s="7" t="str">
        <f>IFERROR(__xludf.DUMMYFUNCTION("""COMPUTED_VALUE"""),"Microsoft SQL Server (T-SQL)")</f>
        <v>Microsoft SQL Server (T-SQL)</v>
      </c>
      <c r="F481" s="7" t="str">
        <f>IFERROR(__xludf.DUMMYFUNCTION("""COMPUTED_VALUE"""),"S113 unlocks S111")</f>
        <v>S113 unlocks S111</v>
      </c>
    </row>
    <row r="482">
      <c r="A482" s="7" t="str">
        <f>IFERROR(__xludf.DUMMYFUNCTION("""COMPUTED_VALUE"""),"PE0481")</f>
        <v>PE0481</v>
      </c>
      <c r="B482" s="7" t="str">
        <f>IFERROR(__xludf.DUMMYFUNCTION("""COMPUTED_VALUE"""),"S113")</f>
        <v>S113</v>
      </c>
      <c r="C482" s="7" t="str">
        <f>IFERROR(__xludf.DUMMYFUNCTION("""COMPUTED_VALUE"""),"SQLite Embedded Databases")</f>
        <v>SQLite Embedded Databases</v>
      </c>
      <c r="D482" s="7" t="str">
        <f>IFERROR(__xludf.DUMMYFUNCTION("""COMPUTED_VALUE"""),"S112")</f>
        <v>S112</v>
      </c>
      <c r="E482" s="7" t="str">
        <f>IFERROR(__xludf.DUMMYFUNCTION("""COMPUTED_VALUE"""),"Oracle Database &amp; PL/SQL")</f>
        <v>Oracle Database &amp; PL/SQL</v>
      </c>
      <c r="F482" s="7" t="str">
        <f>IFERROR(__xludf.DUMMYFUNCTION("""COMPUTED_VALUE"""),"S113 unlocks S112")</f>
        <v>S113 unlocks S112</v>
      </c>
    </row>
    <row r="483">
      <c r="A483" s="7" t="str">
        <f>IFERROR(__xludf.DUMMYFUNCTION("""COMPUTED_VALUE"""),"PE0482")</f>
        <v>PE0482</v>
      </c>
      <c r="B483" s="7" t="str">
        <f>IFERROR(__xludf.DUMMYFUNCTION("""COMPUTED_VALUE"""),"S113")</f>
        <v>S113</v>
      </c>
      <c r="C483" s="7" t="str">
        <f>IFERROR(__xludf.DUMMYFUNCTION("""COMPUTED_VALUE"""),"SQLite Embedded Databases")</f>
        <v>SQLite Embedded Databases</v>
      </c>
      <c r="D483" s="7" t="str">
        <f>IFERROR(__xludf.DUMMYFUNCTION("""COMPUTED_VALUE"""),"S117")</f>
        <v>S117</v>
      </c>
      <c r="E483" s="7" t="str">
        <f>IFERROR(__xludf.DUMMYFUNCTION("""COMPUTED_VALUE"""),"Database Backup, Point-in-Time Recovery &amp; Migration")</f>
        <v>Database Backup, Point-in-Time Recovery &amp; Migration</v>
      </c>
      <c r="F483" s="7" t="str">
        <f>IFERROR(__xludf.DUMMYFUNCTION("""COMPUTED_VALUE"""),"S113 unlocks S117")</f>
        <v>S113 unlocks S117</v>
      </c>
    </row>
    <row r="484">
      <c r="A484" s="7" t="str">
        <f>IFERROR(__xludf.DUMMYFUNCTION("""COMPUTED_VALUE"""),"PE0483")</f>
        <v>PE0483</v>
      </c>
      <c r="B484" s="7" t="str">
        <f>IFERROR(__xludf.DUMMYFUNCTION("""COMPUTED_VALUE"""),"S113")</f>
        <v>S113</v>
      </c>
      <c r="C484" s="7" t="str">
        <f>IFERROR(__xludf.DUMMYFUNCTION("""COMPUTED_VALUE"""),"SQLite Embedded Databases")</f>
        <v>SQLite Embedded Databases</v>
      </c>
      <c r="D484" s="7" t="str">
        <f>IFERROR(__xludf.DUMMYFUNCTION("""COMPUTED_VALUE"""),"S118")</f>
        <v>S118</v>
      </c>
      <c r="E484" s="7" t="str">
        <f>IFERROR(__xludf.DUMMYFUNCTION("""COMPUTED_VALUE"""),"Object-Relational Mapping (ORM: Hibernate, JPA, Prisma, SQLAlchemy)")</f>
        <v>Object-Relational Mapping (ORM: Hibernate, JPA, Prisma, SQLAlchemy)</v>
      </c>
      <c r="F484" s="7" t="str">
        <f>IFERROR(__xludf.DUMMYFUNCTION("""COMPUTED_VALUE"""),"S113 unlocks S118")</f>
        <v>S113 unlocks S118</v>
      </c>
    </row>
    <row r="485">
      <c r="A485" s="7" t="str">
        <f>IFERROR(__xludf.DUMMYFUNCTION("""COMPUTED_VALUE"""),"PE0484")</f>
        <v>PE0484</v>
      </c>
      <c r="B485" s="7" t="str">
        <f>IFERROR(__xludf.DUMMYFUNCTION("""COMPUTED_VALUE"""),"S113")</f>
        <v>S113</v>
      </c>
      <c r="C485" s="7" t="str">
        <f>IFERROR(__xludf.DUMMYFUNCTION("""COMPUTED_VALUE"""),"SQLite Embedded Databases")</f>
        <v>SQLite Embedded Databases</v>
      </c>
      <c r="D485" s="7" t="str">
        <f>IFERROR(__xludf.DUMMYFUNCTION("""COMPUTED_VALUE"""),"S119")</f>
        <v>S119</v>
      </c>
      <c r="E485" s="7" t="str">
        <f>IFERROR(__xludf.DUMMYFUNCTION("""COMPUTED_VALUE"""),"Document Databases (MongoDB)")</f>
        <v>Document Databases (MongoDB)</v>
      </c>
      <c r="F485" s="7" t="str">
        <f>IFERROR(__xludf.DUMMYFUNCTION("""COMPUTED_VALUE"""),"S113 unlocks S119")</f>
        <v>S113 unlocks S119</v>
      </c>
    </row>
    <row r="486">
      <c r="A486" s="7" t="str">
        <f>IFERROR(__xludf.DUMMYFUNCTION("""COMPUTED_VALUE"""),"PE0485")</f>
        <v>PE0485</v>
      </c>
      <c r="B486" s="7" t="str">
        <f>IFERROR(__xludf.DUMMYFUNCTION("""COMPUTED_VALUE"""),"S113")</f>
        <v>S113</v>
      </c>
      <c r="C486" s="7" t="str">
        <f>IFERROR(__xludf.DUMMYFUNCTION("""COMPUTED_VALUE"""),"SQLite Embedded Databases")</f>
        <v>SQLite Embedded Databases</v>
      </c>
      <c r="D486" s="7" t="str">
        <f>IFERROR(__xludf.DUMMYFUNCTION("""COMPUTED_VALUE"""),"S120")</f>
        <v>S120</v>
      </c>
      <c r="E486" s="7" t="str">
        <f>IFERROR(__xludf.DUMMYFUNCTION("""COMPUTED_VALUE"""),"Key-Value Stores &amp; In-Memory DBs (Redis, Memcached)")</f>
        <v>Key-Value Stores &amp; In-Memory DBs (Redis, Memcached)</v>
      </c>
      <c r="F486" s="7" t="str">
        <f>IFERROR(__xludf.DUMMYFUNCTION("""COMPUTED_VALUE"""),"S113 unlocks S120")</f>
        <v>S113 unlocks S120</v>
      </c>
    </row>
    <row r="487">
      <c r="A487" s="7" t="str">
        <f>IFERROR(__xludf.DUMMYFUNCTION("""COMPUTED_VALUE"""),"PE0486")</f>
        <v>PE0486</v>
      </c>
      <c r="B487" s="7" t="str">
        <f>IFERROR(__xludf.DUMMYFUNCTION("""COMPUTED_VALUE"""),"S113")</f>
        <v>S113</v>
      </c>
      <c r="C487" s="7" t="str">
        <f>IFERROR(__xludf.DUMMYFUNCTION("""COMPUTED_VALUE"""),"SQLite Embedded Databases")</f>
        <v>SQLite Embedded Databases</v>
      </c>
      <c r="D487" s="7" t="str">
        <f>IFERROR(__xludf.DUMMYFUNCTION("""COMPUTED_VALUE"""),"S122")</f>
        <v>S122</v>
      </c>
      <c r="E487" s="7" t="str">
        <f>IFERROR(__xludf.DUMMYFUNCTION("""COMPUTED_VALUE"""),"Cloud NoSQL Databases (AWS DynamoDB, Firestore)")</f>
        <v>Cloud NoSQL Databases (AWS DynamoDB, Firestore)</v>
      </c>
      <c r="F487" s="7" t="str">
        <f>IFERROR(__xludf.DUMMYFUNCTION("""COMPUTED_VALUE"""),"S113 unlocks S122")</f>
        <v>S113 unlocks S122</v>
      </c>
    </row>
    <row r="488">
      <c r="A488" s="7" t="str">
        <f>IFERROR(__xludf.DUMMYFUNCTION("""COMPUTED_VALUE"""),"PE0487")</f>
        <v>PE0487</v>
      </c>
      <c r="B488" s="7" t="str">
        <f>IFERROR(__xludf.DUMMYFUNCTION("""COMPUTED_VALUE"""),"S113")</f>
        <v>S113</v>
      </c>
      <c r="C488" s="7" t="str">
        <f>IFERROR(__xludf.DUMMYFUNCTION("""COMPUTED_VALUE"""),"SQLite Embedded Databases")</f>
        <v>SQLite Embedded Databases</v>
      </c>
      <c r="D488" s="7" t="str">
        <f>IFERROR(__xludf.DUMMYFUNCTION("""COMPUTED_VALUE"""),"S124")</f>
        <v>S124</v>
      </c>
      <c r="E488" s="7" t="str">
        <f>IFERROR(__xludf.DUMMYFUNCTION("""COMPUTED_VALUE"""),"Time-Series Databases (InfluxDB, TimescaleDB)")</f>
        <v>Time-Series Databases (InfluxDB, TimescaleDB)</v>
      </c>
      <c r="F488" s="7" t="str">
        <f>IFERROR(__xludf.DUMMYFUNCTION("""COMPUTED_VALUE"""),"S113 unlocks S124")</f>
        <v>S113 unlocks S124</v>
      </c>
    </row>
    <row r="489">
      <c r="A489" s="7" t="str">
        <f>IFERROR(__xludf.DUMMYFUNCTION("""COMPUTED_VALUE"""),"PE0488")</f>
        <v>PE0488</v>
      </c>
      <c r="B489" s="7" t="str">
        <f>IFERROR(__xludf.DUMMYFUNCTION("""COMPUTED_VALUE"""),"S113")</f>
        <v>S113</v>
      </c>
      <c r="C489" s="7" t="str">
        <f>IFERROR(__xludf.DUMMYFUNCTION("""COMPUTED_VALUE"""),"SQLite Embedded Databases")</f>
        <v>SQLite Embedded Databases</v>
      </c>
      <c r="D489" s="7" t="str">
        <f>IFERROR(__xludf.DUMMYFUNCTION("""COMPUTED_VALUE"""),"S126")</f>
        <v>S126</v>
      </c>
      <c r="E489" s="7" t="str">
        <f>IFERROR(__xludf.DUMMYFUNCTION("""COMPUTED_VALUE"""),"ETL / ELT Data Pipeline Design")</f>
        <v>ETL / ELT Data Pipeline Design</v>
      </c>
      <c r="F489" s="7" t="str">
        <f>IFERROR(__xludf.DUMMYFUNCTION("""COMPUTED_VALUE"""),"S113 unlocks S126")</f>
        <v>S113 unlocks S126</v>
      </c>
    </row>
    <row r="490">
      <c r="A490" s="7" t="str">
        <f>IFERROR(__xludf.DUMMYFUNCTION("""COMPUTED_VALUE"""),"PE0489")</f>
        <v>PE0489</v>
      </c>
      <c r="B490" s="7" t="str">
        <f>IFERROR(__xludf.DUMMYFUNCTION("""COMPUTED_VALUE"""),"S113")</f>
        <v>S113</v>
      </c>
      <c r="C490" s="7" t="str">
        <f>IFERROR(__xludf.DUMMYFUNCTION("""COMPUTED_VALUE"""),"SQLite Embedded Databases")</f>
        <v>SQLite Embedded Databases</v>
      </c>
      <c r="D490" s="7" t="str">
        <f>IFERROR(__xludf.DUMMYFUNCTION("""COMPUTED_VALUE"""),"S130")</f>
        <v>S130</v>
      </c>
      <c r="E490" s="7" t="str">
        <f>IFERROR(__xludf.DUMMYFUNCTION("""COMPUTED_VALUE"""),"Data Transformation &amp; Analytics Engineering (dbt)")</f>
        <v>Data Transformation &amp; Analytics Engineering (dbt)</v>
      </c>
      <c r="F490" s="7" t="str">
        <f>IFERROR(__xludf.DUMMYFUNCTION("""COMPUTED_VALUE"""),"S113 unlocks S130")</f>
        <v>S113 unlocks S130</v>
      </c>
    </row>
    <row r="491">
      <c r="A491" s="7" t="str">
        <f>IFERROR(__xludf.DUMMYFUNCTION("""COMPUTED_VALUE"""),"PE0490")</f>
        <v>PE0490</v>
      </c>
      <c r="B491" s="7" t="str">
        <f>IFERROR(__xludf.DUMMYFUNCTION("""COMPUTED_VALUE"""),"S113")</f>
        <v>S113</v>
      </c>
      <c r="C491" s="7" t="str">
        <f>IFERROR(__xludf.DUMMYFUNCTION("""COMPUTED_VALUE"""),"SQLite Embedded Databases")</f>
        <v>SQLite Embedded Databases</v>
      </c>
      <c r="D491" s="7" t="str">
        <f>IFERROR(__xludf.DUMMYFUNCTION("""COMPUTED_VALUE"""),"S133")</f>
        <v>S133</v>
      </c>
      <c r="E491" s="7" t="str">
        <f>IFERROR(__xludf.DUMMYFUNCTION("""COMPUTED_VALUE"""),"Big Data Storage &amp; Hadoop Ecosystem (HDFS, Parquet, Avro)")</f>
        <v>Big Data Storage &amp; Hadoop Ecosystem (HDFS, Parquet, Avro)</v>
      </c>
      <c r="F491" s="7" t="str">
        <f>IFERROR(__xludf.DUMMYFUNCTION("""COMPUTED_VALUE"""),"S113 unlocks S133")</f>
        <v>S113 unlocks S133</v>
      </c>
    </row>
    <row r="492">
      <c r="A492" s="7" t="str">
        <f>IFERROR(__xludf.DUMMYFUNCTION("""COMPUTED_VALUE"""),"PE0491")</f>
        <v>PE0491</v>
      </c>
      <c r="B492" s="7" t="str">
        <f>IFERROR(__xludf.DUMMYFUNCTION("""COMPUTED_VALUE"""),"S113")</f>
        <v>S113</v>
      </c>
      <c r="C492" s="7" t="str">
        <f>IFERROR(__xludf.DUMMYFUNCTION("""COMPUTED_VALUE"""),"SQLite Embedded Databases")</f>
        <v>SQLite Embedded Databases</v>
      </c>
      <c r="D492" s="7" t="str">
        <f>IFERROR(__xludf.DUMMYFUNCTION("""COMPUTED_VALUE"""),"S134")</f>
        <v>S134</v>
      </c>
      <c r="E492" s="7" t="str">
        <f>IFERROR(__xludf.DUMMYFUNCTION("""COMPUTED_VALUE"""),"Data Modeling (Star Schema, Snowflake Schema, Data Vault)")</f>
        <v>Data Modeling (Star Schema, Snowflake Schema, Data Vault)</v>
      </c>
      <c r="F492" s="7" t="str">
        <f>IFERROR(__xludf.DUMMYFUNCTION("""COMPUTED_VALUE"""),"S113 unlocks S134")</f>
        <v>S113 unlocks S134</v>
      </c>
    </row>
    <row r="493">
      <c r="A493" s="7" t="str">
        <f>IFERROR(__xludf.DUMMYFUNCTION("""COMPUTED_VALUE"""),"PE0492")</f>
        <v>PE0492</v>
      </c>
      <c r="B493" s="7" t="str">
        <f>IFERROR(__xludf.DUMMYFUNCTION("""COMPUTED_VALUE"""),"S113")</f>
        <v>S113</v>
      </c>
      <c r="C493" s="7" t="str">
        <f>IFERROR(__xludf.DUMMYFUNCTION("""COMPUTED_VALUE"""),"SQLite Embedded Databases")</f>
        <v>SQLite Embedded Databases</v>
      </c>
      <c r="D493" s="7" t="str">
        <f>IFERROR(__xludf.DUMMYFUNCTION("""COMPUTED_VALUE"""),"S135")</f>
        <v>S135</v>
      </c>
      <c r="E493" s="7" t="str">
        <f>IFERROR(__xludf.DUMMYFUNCTION("""COMPUTED_VALUE"""),"Data Quality, Lineage &amp; Governance (Great Expectations, Collibra)")</f>
        <v>Data Quality, Lineage &amp; Governance (Great Expectations, Collibra)</v>
      </c>
      <c r="F493" s="7" t="str">
        <f>IFERROR(__xludf.DUMMYFUNCTION("""COMPUTED_VALUE"""),"S113 unlocks S135")</f>
        <v>S113 unlocks S135</v>
      </c>
    </row>
    <row r="494">
      <c r="A494" s="7" t="str">
        <f>IFERROR(__xludf.DUMMYFUNCTION("""COMPUTED_VALUE"""),"PE0493")</f>
        <v>PE0493</v>
      </c>
      <c r="B494" s="7" t="str">
        <f>IFERROR(__xludf.DUMMYFUNCTION("""COMPUTED_VALUE"""),"S136")</f>
        <v>S136</v>
      </c>
      <c r="C494" s="7" t="str">
        <f>IFERROR(__xludf.DUMMYFUNCTION("""COMPUTED_VALUE"""),"Probability Theory &amp; Descriptive Statistics")</f>
        <v>Probability Theory &amp; Descriptive Statistics</v>
      </c>
      <c r="D494" s="7" t="str">
        <f>IFERROR(__xludf.DUMMYFUNCTION("""COMPUTED_VALUE"""),"S137")</f>
        <v>S137</v>
      </c>
      <c r="E494" s="7" t="str">
        <f>IFERROR(__xludf.DUMMYFUNCTION("""COMPUTED_VALUE"""),"Inferential Statistics, Hypothesis Testing &amp; A/B Testing")</f>
        <v>Inferential Statistics, Hypothesis Testing &amp; A/B Testing</v>
      </c>
      <c r="F494" s="7" t="str">
        <f>IFERROR(__xludf.DUMMYFUNCTION("""COMPUTED_VALUE"""),"S136 unlocks S137")</f>
        <v>S136 unlocks S137</v>
      </c>
    </row>
    <row r="495">
      <c r="A495" s="7" t="str">
        <f>IFERROR(__xludf.DUMMYFUNCTION("""COMPUTED_VALUE"""),"PE0494")</f>
        <v>PE0494</v>
      </c>
      <c r="B495" s="7" t="str">
        <f>IFERROR(__xludf.DUMMYFUNCTION("""COMPUTED_VALUE"""),"S136")</f>
        <v>S136</v>
      </c>
      <c r="C495" s="7" t="str">
        <f>IFERROR(__xludf.DUMMYFUNCTION("""COMPUTED_VALUE"""),"Probability Theory &amp; Descriptive Statistics")</f>
        <v>Probability Theory &amp; Descriptive Statistics</v>
      </c>
      <c r="D495" s="7" t="str">
        <f>IFERROR(__xludf.DUMMYFUNCTION("""COMPUTED_VALUE"""),"S142")</f>
        <v>S142</v>
      </c>
      <c r="E495" s="7" t="str">
        <f>IFERROR(__xludf.DUMMYFUNCTION("""COMPUTED_VALUE"""),"Statistical Programming in R")</f>
        <v>Statistical Programming in R</v>
      </c>
      <c r="F495" s="7" t="str">
        <f>IFERROR(__xludf.DUMMYFUNCTION("""COMPUTED_VALUE"""),"S136 unlocks S142")</f>
        <v>S136 unlocks S142</v>
      </c>
    </row>
    <row r="496">
      <c r="A496" s="7" t="str">
        <f>IFERROR(__xludf.DUMMYFUNCTION("""COMPUTED_VALUE"""),"PE0495")</f>
        <v>PE0495</v>
      </c>
      <c r="B496" s="7" t="str">
        <f>IFERROR(__xludf.DUMMYFUNCTION("""COMPUTED_VALUE"""),"S136")</f>
        <v>S136</v>
      </c>
      <c r="C496" s="7" t="str">
        <f>IFERROR(__xludf.DUMMYFUNCTION("""COMPUTED_VALUE"""),"Probability Theory &amp; Descriptive Statistics")</f>
        <v>Probability Theory &amp; Descriptive Statistics</v>
      </c>
      <c r="D496" s="7" t="str">
        <f>IFERROR(__xludf.DUMMYFUNCTION("""COMPUTED_VALUE"""),"S147")</f>
        <v>S147</v>
      </c>
      <c r="E496" s="7" t="str">
        <f>IFERROR(__xludf.DUMMYFUNCTION("""COMPUTED_VALUE"""),"Feature Engineering, Selection &amp; Dimensionality Reduction (PCA)")</f>
        <v>Feature Engineering, Selection &amp; Dimensionality Reduction (PCA)</v>
      </c>
      <c r="F496" s="7" t="str">
        <f>IFERROR(__xludf.DUMMYFUNCTION("""COMPUTED_VALUE"""),"S136 unlocks S147")</f>
        <v>S136 unlocks S147</v>
      </c>
    </row>
    <row r="497">
      <c r="A497" s="7" t="str">
        <f>IFERROR(__xludf.DUMMYFUNCTION("""COMPUTED_VALUE"""),"PE0496")</f>
        <v>PE0496</v>
      </c>
      <c r="B497" s="7" t="str">
        <f>IFERROR(__xludf.DUMMYFUNCTION("""COMPUTED_VALUE"""),"S136")</f>
        <v>S136</v>
      </c>
      <c r="C497" s="7" t="str">
        <f>IFERROR(__xludf.DUMMYFUNCTION("""COMPUTED_VALUE"""),"Probability Theory &amp; Descriptive Statistics")</f>
        <v>Probability Theory &amp; Descriptive Statistics</v>
      </c>
      <c r="D497" s="7" t="str">
        <f>IFERROR(__xludf.DUMMYFUNCTION("""COMPUTED_VALUE"""),"S148")</f>
        <v>S148</v>
      </c>
      <c r="E497" s="7" t="str">
        <f>IFERROR(__xludf.DUMMYFUNCTION("""COMPUTED_VALUE"""),"Supervised Machine Learning (Regression, Classification, SVM)")</f>
        <v>Supervised Machine Learning (Regression, Classification, SVM)</v>
      </c>
      <c r="F497" s="7" t="str">
        <f>IFERROR(__xludf.DUMMYFUNCTION("""COMPUTED_VALUE"""),"S136 unlocks S148")</f>
        <v>S136 unlocks S148</v>
      </c>
    </row>
    <row r="498">
      <c r="A498" s="7" t="str">
        <f>IFERROR(__xludf.DUMMYFUNCTION("""COMPUTED_VALUE"""),"PE0497")</f>
        <v>PE0497</v>
      </c>
      <c r="B498" s="7" t="str">
        <f>IFERROR(__xludf.DUMMYFUNCTION("""COMPUTED_VALUE"""),"S136")</f>
        <v>S136</v>
      </c>
      <c r="C498" s="7" t="str">
        <f>IFERROR(__xludf.DUMMYFUNCTION("""COMPUTED_VALUE"""),"Probability Theory &amp; Descriptive Statistics")</f>
        <v>Probability Theory &amp; Descriptive Statistics</v>
      </c>
      <c r="D498" s="7" t="str">
        <f>IFERROR(__xludf.DUMMYFUNCTION("""COMPUTED_VALUE"""),"S149")</f>
        <v>S149</v>
      </c>
      <c r="E498" s="7" t="str">
        <f>IFERROR(__xludf.DUMMYFUNCTION("""COMPUTED_VALUE"""),"Ensemble Methods (Random Forests, XGBoost, LightGBM)")</f>
        <v>Ensemble Methods (Random Forests, XGBoost, LightGBM)</v>
      </c>
      <c r="F498" s="7" t="str">
        <f>IFERROR(__xludf.DUMMYFUNCTION("""COMPUTED_VALUE"""),"S136 unlocks S149")</f>
        <v>S136 unlocks S149</v>
      </c>
    </row>
    <row r="499">
      <c r="A499" s="7" t="str">
        <f>IFERROR(__xludf.DUMMYFUNCTION("""COMPUTED_VALUE"""),"PE0498")</f>
        <v>PE0498</v>
      </c>
      <c r="B499" s="7" t="str">
        <f>IFERROR(__xludf.DUMMYFUNCTION("""COMPUTED_VALUE"""),"S136")</f>
        <v>S136</v>
      </c>
      <c r="C499" s="7" t="str">
        <f>IFERROR(__xludf.DUMMYFUNCTION("""COMPUTED_VALUE"""),"Probability Theory &amp; Descriptive Statistics")</f>
        <v>Probability Theory &amp; Descriptive Statistics</v>
      </c>
      <c r="D499" s="7" t="str">
        <f>IFERROR(__xludf.DUMMYFUNCTION("""COMPUTED_VALUE"""),"S150")</f>
        <v>S150</v>
      </c>
      <c r="E499" s="7" t="str">
        <f>IFERROR(__xludf.DUMMYFUNCTION("""COMPUTED_VALUE"""),"Unsupervised Learning (K-Means, Hierarchical Clustering, Anomaly Detection)")</f>
        <v>Unsupervised Learning (K-Means, Hierarchical Clustering, Anomaly Detection)</v>
      </c>
      <c r="F499" s="7" t="str">
        <f>IFERROR(__xludf.DUMMYFUNCTION("""COMPUTED_VALUE"""),"S136 unlocks S150")</f>
        <v>S136 unlocks S150</v>
      </c>
    </row>
    <row r="500">
      <c r="A500" s="7" t="str">
        <f>IFERROR(__xludf.DUMMYFUNCTION("""COMPUTED_VALUE"""),"PE0499")</f>
        <v>PE0499</v>
      </c>
      <c r="B500" s="7" t="str">
        <f>IFERROR(__xludf.DUMMYFUNCTION("""COMPUTED_VALUE"""),"S136")</f>
        <v>S136</v>
      </c>
      <c r="C500" s="7" t="str">
        <f>IFERROR(__xludf.DUMMYFUNCTION("""COMPUTED_VALUE"""),"Probability Theory &amp; Descriptive Statistics")</f>
        <v>Probability Theory &amp; Descriptive Statistics</v>
      </c>
      <c r="D500" s="7" t="str">
        <f>IFERROR(__xludf.DUMMYFUNCTION("""COMPUTED_VALUE"""),"S151")</f>
        <v>S151</v>
      </c>
      <c r="E500" s="7" t="str">
        <f>IFERROR(__xludf.DUMMYFUNCTION("""COMPUTED_VALUE"""),"Model Evaluation Metrics, Cross-Validation &amp; Hyperparameter Tuning")</f>
        <v>Model Evaluation Metrics, Cross-Validation &amp; Hyperparameter Tuning</v>
      </c>
      <c r="F500" s="7" t="str">
        <f>IFERROR(__xludf.DUMMYFUNCTION("""COMPUTED_VALUE"""),"S136 unlocks S151")</f>
        <v>S136 unlocks S151</v>
      </c>
    </row>
    <row r="501">
      <c r="A501" s="7" t="str">
        <f>IFERROR(__xludf.DUMMYFUNCTION("""COMPUTED_VALUE"""),"PE0500")</f>
        <v>PE0500</v>
      </c>
      <c r="B501" s="7" t="str">
        <f>IFERROR(__xludf.DUMMYFUNCTION("""COMPUTED_VALUE"""),"S136")</f>
        <v>S136</v>
      </c>
      <c r="C501" s="7" t="str">
        <f>IFERROR(__xludf.DUMMYFUNCTION("""COMPUTED_VALUE"""),"Probability Theory &amp; Descriptive Statistics")</f>
        <v>Probability Theory &amp; Descriptive Statistics</v>
      </c>
      <c r="D501" s="7" t="str">
        <f>IFERROR(__xludf.DUMMYFUNCTION("""COMPUTED_VALUE"""),"S154")</f>
        <v>S154</v>
      </c>
      <c r="E501" s="7" t="str">
        <f>IFERROR(__xludf.DUMMYFUNCTION("""COMPUTED_VALUE"""),"Neural Networks &amp; Deep Learning Fundamentals")</f>
        <v>Neural Networks &amp; Deep Learning Fundamentals</v>
      </c>
      <c r="F501" s="7" t="str">
        <f>IFERROR(__xludf.DUMMYFUNCTION("""COMPUTED_VALUE"""),"S136 unlocks S154")</f>
        <v>S136 unlocks S154</v>
      </c>
    </row>
    <row r="502">
      <c r="A502" s="7" t="str">
        <f>IFERROR(__xludf.DUMMYFUNCTION("""COMPUTED_VALUE"""),"PE0501")</f>
        <v>PE0501</v>
      </c>
      <c r="B502" s="7" t="str">
        <f>IFERROR(__xludf.DUMMYFUNCTION("""COMPUTED_VALUE"""),"S136")</f>
        <v>S136</v>
      </c>
      <c r="C502" s="7" t="str">
        <f>IFERROR(__xludf.DUMMYFUNCTION("""COMPUTED_VALUE"""),"Probability Theory &amp; Descriptive Statistics")</f>
        <v>Probability Theory &amp; Descriptive Statistics</v>
      </c>
      <c r="D502" s="7" t="str">
        <f>IFERROR(__xludf.DUMMYFUNCTION("""COMPUTED_VALUE"""),"S157")</f>
        <v>S157</v>
      </c>
      <c r="E502" s="7" t="str">
        <f>IFERROR(__xludf.DUMMYFUNCTION("""COMPUTED_VALUE"""),"Natural Language Processing (Tokenization, Embeddings, SpaCy, NLTK)")</f>
        <v>Natural Language Processing (Tokenization, Embeddings, SpaCy, NLTK)</v>
      </c>
      <c r="F502" s="7" t="str">
        <f>IFERROR(__xludf.DUMMYFUNCTION("""COMPUTED_VALUE"""),"S136 unlocks S157")</f>
        <v>S136 unlocks S157</v>
      </c>
    </row>
    <row r="503">
      <c r="A503" s="7" t="str">
        <f>IFERROR(__xludf.DUMMYFUNCTION("""COMPUTED_VALUE"""),"PE0502")</f>
        <v>PE0502</v>
      </c>
      <c r="B503" s="7" t="str">
        <f>IFERROR(__xludf.DUMMYFUNCTION("""COMPUTED_VALUE"""),"S136")</f>
        <v>S136</v>
      </c>
      <c r="C503" s="7" t="str">
        <f>IFERROR(__xludf.DUMMYFUNCTION("""COMPUTED_VALUE"""),"Probability Theory &amp; Descriptive Statistics")</f>
        <v>Probability Theory &amp; Descriptive Statistics</v>
      </c>
      <c r="D503" s="7" t="str">
        <f>IFERROR(__xludf.DUMMYFUNCTION("""COMPUTED_VALUE"""),"S161")</f>
        <v>S161</v>
      </c>
      <c r="E503" s="7" t="str">
        <f>IFERROR(__xludf.DUMMYFUNCTION("""COMPUTED_VALUE"""),"Computer Vision &amp; Image Processing (OpenCV)")</f>
        <v>Computer Vision &amp; Image Processing (OpenCV)</v>
      </c>
      <c r="F503" s="7" t="str">
        <f>IFERROR(__xludf.DUMMYFUNCTION("""COMPUTED_VALUE"""),"S136 unlocks S161")</f>
        <v>S136 unlocks S161</v>
      </c>
    </row>
    <row r="504">
      <c r="A504" s="7" t="str">
        <f>IFERROR(__xludf.DUMMYFUNCTION("""COMPUTED_VALUE"""),"PE0503")</f>
        <v>PE0503</v>
      </c>
      <c r="B504" s="7" t="str">
        <f>IFERROR(__xludf.DUMMYFUNCTION("""COMPUTED_VALUE"""),"S136")</f>
        <v>S136</v>
      </c>
      <c r="C504" s="7" t="str">
        <f>IFERROR(__xludf.DUMMYFUNCTION("""COMPUTED_VALUE"""),"Probability Theory &amp; Descriptive Statistics")</f>
        <v>Probability Theory &amp; Descriptive Statistics</v>
      </c>
      <c r="D504" s="7" t="str">
        <f>IFERROR(__xludf.DUMMYFUNCTION("""COMPUTED_VALUE"""),"S167")</f>
        <v>S167</v>
      </c>
      <c r="E504" s="7" t="str">
        <f>IFERROR(__xludf.DUMMYFUNCTION("""COMPUTED_VALUE"""),"AI Ethics, Bias Mitigation &amp; Explainable AI (SHAP, LIME)")</f>
        <v>AI Ethics, Bias Mitigation &amp; Explainable AI (SHAP, LIME)</v>
      </c>
      <c r="F504" s="7" t="str">
        <f>IFERROR(__xludf.DUMMYFUNCTION("""COMPUTED_VALUE"""),"S136 unlocks S167")</f>
        <v>S136 unlocks S167</v>
      </c>
    </row>
    <row r="505">
      <c r="A505" s="7" t="str">
        <f>IFERROR(__xludf.DUMMYFUNCTION("""COMPUTED_VALUE"""),"PE0504")</f>
        <v>PE0504</v>
      </c>
      <c r="B505" s="7" t="str">
        <f>IFERROR(__xludf.DUMMYFUNCTION("""COMPUTED_VALUE"""),"S138")</f>
        <v>S138</v>
      </c>
      <c r="C505" s="7" t="str">
        <f>IFERROR(__xludf.DUMMYFUNCTION("""COMPUTED_VALUE"""),"Linear Algebra, Calculus &amp; Optimization for ML")</f>
        <v>Linear Algebra, Calculus &amp; Optimization for ML</v>
      </c>
      <c r="D505" s="7" t="str">
        <f>IFERROR(__xludf.DUMMYFUNCTION("""COMPUTED_VALUE"""),"S137")</f>
        <v>S137</v>
      </c>
      <c r="E505" s="7" t="str">
        <f>IFERROR(__xludf.DUMMYFUNCTION("""COMPUTED_VALUE"""),"Inferential Statistics, Hypothesis Testing &amp; A/B Testing")</f>
        <v>Inferential Statistics, Hypothesis Testing &amp; A/B Testing</v>
      </c>
      <c r="F505" s="7" t="str">
        <f>IFERROR(__xludf.DUMMYFUNCTION("""COMPUTED_VALUE"""),"S138 unlocks S137")</f>
        <v>S138 unlocks S137</v>
      </c>
    </row>
    <row r="506">
      <c r="A506" s="7" t="str">
        <f>IFERROR(__xludf.DUMMYFUNCTION("""COMPUTED_VALUE"""),"PE0505")</f>
        <v>PE0505</v>
      </c>
      <c r="B506" s="7" t="str">
        <f>IFERROR(__xludf.DUMMYFUNCTION("""COMPUTED_VALUE"""),"S138")</f>
        <v>S138</v>
      </c>
      <c r="C506" s="7" t="str">
        <f>IFERROR(__xludf.DUMMYFUNCTION("""COMPUTED_VALUE"""),"Linear Algebra, Calculus &amp; Optimization for ML")</f>
        <v>Linear Algebra, Calculus &amp; Optimization for ML</v>
      </c>
      <c r="D506" s="7" t="str">
        <f>IFERROR(__xludf.DUMMYFUNCTION("""COMPUTED_VALUE"""),"S142")</f>
        <v>S142</v>
      </c>
      <c r="E506" s="7" t="str">
        <f>IFERROR(__xludf.DUMMYFUNCTION("""COMPUTED_VALUE"""),"Statistical Programming in R")</f>
        <v>Statistical Programming in R</v>
      </c>
      <c r="F506" s="7" t="str">
        <f>IFERROR(__xludf.DUMMYFUNCTION("""COMPUTED_VALUE"""),"S138 unlocks S142")</f>
        <v>S138 unlocks S142</v>
      </c>
    </row>
    <row r="507">
      <c r="A507" s="7" t="str">
        <f>IFERROR(__xludf.DUMMYFUNCTION("""COMPUTED_VALUE"""),"PE0506")</f>
        <v>PE0506</v>
      </c>
      <c r="B507" s="7" t="str">
        <f>IFERROR(__xludf.DUMMYFUNCTION("""COMPUTED_VALUE"""),"S138")</f>
        <v>S138</v>
      </c>
      <c r="C507" s="7" t="str">
        <f>IFERROR(__xludf.DUMMYFUNCTION("""COMPUTED_VALUE"""),"Linear Algebra, Calculus &amp; Optimization for ML")</f>
        <v>Linear Algebra, Calculus &amp; Optimization for ML</v>
      </c>
      <c r="D507" s="7" t="str">
        <f>IFERROR(__xludf.DUMMYFUNCTION("""COMPUTED_VALUE"""),"S147")</f>
        <v>S147</v>
      </c>
      <c r="E507" s="7" t="str">
        <f>IFERROR(__xludf.DUMMYFUNCTION("""COMPUTED_VALUE"""),"Feature Engineering, Selection &amp; Dimensionality Reduction (PCA)")</f>
        <v>Feature Engineering, Selection &amp; Dimensionality Reduction (PCA)</v>
      </c>
      <c r="F507" s="7" t="str">
        <f>IFERROR(__xludf.DUMMYFUNCTION("""COMPUTED_VALUE"""),"S138 unlocks S147")</f>
        <v>S138 unlocks S147</v>
      </c>
    </row>
    <row r="508">
      <c r="A508" s="7" t="str">
        <f>IFERROR(__xludf.DUMMYFUNCTION("""COMPUTED_VALUE"""),"PE0507")</f>
        <v>PE0507</v>
      </c>
      <c r="B508" s="7" t="str">
        <f>IFERROR(__xludf.DUMMYFUNCTION("""COMPUTED_VALUE"""),"S138")</f>
        <v>S138</v>
      </c>
      <c r="C508" s="7" t="str">
        <f>IFERROR(__xludf.DUMMYFUNCTION("""COMPUTED_VALUE"""),"Linear Algebra, Calculus &amp; Optimization for ML")</f>
        <v>Linear Algebra, Calculus &amp; Optimization for ML</v>
      </c>
      <c r="D508" s="7" t="str">
        <f>IFERROR(__xludf.DUMMYFUNCTION("""COMPUTED_VALUE"""),"S148")</f>
        <v>S148</v>
      </c>
      <c r="E508" s="7" t="str">
        <f>IFERROR(__xludf.DUMMYFUNCTION("""COMPUTED_VALUE"""),"Supervised Machine Learning (Regression, Classification, SVM)")</f>
        <v>Supervised Machine Learning (Regression, Classification, SVM)</v>
      </c>
      <c r="F508" s="7" t="str">
        <f>IFERROR(__xludf.DUMMYFUNCTION("""COMPUTED_VALUE"""),"S138 unlocks S148")</f>
        <v>S138 unlocks S148</v>
      </c>
    </row>
    <row r="509">
      <c r="A509" s="7" t="str">
        <f>IFERROR(__xludf.DUMMYFUNCTION("""COMPUTED_VALUE"""),"PE0508")</f>
        <v>PE0508</v>
      </c>
      <c r="B509" s="7" t="str">
        <f>IFERROR(__xludf.DUMMYFUNCTION("""COMPUTED_VALUE"""),"S138")</f>
        <v>S138</v>
      </c>
      <c r="C509" s="7" t="str">
        <f>IFERROR(__xludf.DUMMYFUNCTION("""COMPUTED_VALUE"""),"Linear Algebra, Calculus &amp; Optimization for ML")</f>
        <v>Linear Algebra, Calculus &amp; Optimization for ML</v>
      </c>
      <c r="D509" s="7" t="str">
        <f>IFERROR(__xludf.DUMMYFUNCTION("""COMPUTED_VALUE"""),"S149")</f>
        <v>S149</v>
      </c>
      <c r="E509" s="7" t="str">
        <f>IFERROR(__xludf.DUMMYFUNCTION("""COMPUTED_VALUE"""),"Ensemble Methods (Random Forests, XGBoost, LightGBM)")</f>
        <v>Ensemble Methods (Random Forests, XGBoost, LightGBM)</v>
      </c>
      <c r="F509" s="7" t="str">
        <f>IFERROR(__xludf.DUMMYFUNCTION("""COMPUTED_VALUE"""),"S138 unlocks S149")</f>
        <v>S138 unlocks S149</v>
      </c>
    </row>
    <row r="510">
      <c r="A510" s="7" t="str">
        <f>IFERROR(__xludf.DUMMYFUNCTION("""COMPUTED_VALUE"""),"PE0509")</f>
        <v>PE0509</v>
      </c>
      <c r="B510" s="7" t="str">
        <f>IFERROR(__xludf.DUMMYFUNCTION("""COMPUTED_VALUE"""),"S138")</f>
        <v>S138</v>
      </c>
      <c r="C510" s="7" t="str">
        <f>IFERROR(__xludf.DUMMYFUNCTION("""COMPUTED_VALUE"""),"Linear Algebra, Calculus &amp; Optimization for ML")</f>
        <v>Linear Algebra, Calculus &amp; Optimization for ML</v>
      </c>
      <c r="D510" s="7" t="str">
        <f>IFERROR(__xludf.DUMMYFUNCTION("""COMPUTED_VALUE"""),"S150")</f>
        <v>S150</v>
      </c>
      <c r="E510" s="7" t="str">
        <f>IFERROR(__xludf.DUMMYFUNCTION("""COMPUTED_VALUE"""),"Unsupervised Learning (K-Means, Hierarchical Clustering, Anomaly Detection)")</f>
        <v>Unsupervised Learning (K-Means, Hierarchical Clustering, Anomaly Detection)</v>
      </c>
      <c r="F510" s="7" t="str">
        <f>IFERROR(__xludf.DUMMYFUNCTION("""COMPUTED_VALUE"""),"S138 unlocks S150")</f>
        <v>S138 unlocks S150</v>
      </c>
    </row>
    <row r="511">
      <c r="A511" s="7" t="str">
        <f>IFERROR(__xludf.DUMMYFUNCTION("""COMPUTED_VALUE"""),"PE0510")</f>
        <v>PE0510</v>
      </c>
      <c r="B511" s="7" t="str">
        <f>IFERROR(__xludf.DUMMYFUNCTION("""COMPUTED_VALUE"""),"S138")</f>
        <v>S138</v>
      </c>
      <c r="C511" s="7" t="str">
        <f>IFERROR(__xludf.DUMMYFUNCTION("""COMPUTED_VALUE"""),"Linear Algebra, Calculus &amp; Optimization for ML")</f>
        <v>Linear Algebra, Calculus &amp; Optimization for ML</v>
      </c>
      <c r="D511" s="7" t="str">
        <f>IFERROR(__xludf.DUMMYFUNCTION("""COMPUTED_VALUE"""),"S151")</f>
        <v>S151</v>
      </c>
      <c r="E511" s="7" t="str">
        <f>IFERROR(__xludf.DUMMYFUNCTION("""COMPUTED_VALUE"""),"Model Evaluation Metrics, Cross-Validation &amp; Hyperparameter Tuning")</f>
        <v>Model Evaluation Metrics, Cross-Validation &amp; Hyperparameter Tuning</v>
      </c>
      <c r="F511" s="7" t="str">
        <f>IFERROR(__xludf.DUMMYFUNCTION("""COMPUTED_VALUE"""),"S138 unlocks S151")</f>
        <v>S138 unlocks S151</v>
      </c>
    </row>
    <row r="512">
      <c r="A512" s="7" t="str">
        <f>IFERROR(__xludf.DUMMYFUNCTION("""COMPUTED_VALUE"""),"PE0511")</f>
        <v>PE0511</v>
      </c>
      <c r="B512" s="7" t="str">
        <f>IFERROR(__xludf.DUMMYFUNCTION("""COMPUTED_VALUE"""),"S138")</f>
        <v>S138</v>
      </c>
      <c r="C512" s="7" t="str">
        <f>IFERROR(__xludf.DUMMYFUNCTION("""COMPUTED_VALUE"""),"Linear Algebra, Calculus &amp; Optimization for ML")</f>
        <v>Linear Algebra, Calculus &amp; Optimization for ML</v>
      </c>
      <c r="D512" s="7" t="str">
        <f>IFERROR(__xludf.DUMMYFUNCTION("""COMPUTED_VALUE"""),"S154")</f>
        <v>S154</v>
      </c>
      <c r="E512" s="7" t="str">
        <f>IFERROR(__xludf.DUMMYFUNCTION("""COMPUTED_VALUE"""),"Neural Networks &amp; Deep Learning Fundamentals")</f>
        <v>Neural Networks &amp; Deep Learning Fundamentals</v>
      </c>
      <c r="F512" s="7" t="str">
        <f>IFERROR(__xludf.DUMMYFUNCTION("""COMPUTED_VALUE"""),"S138 unlocks S154")</f>
        <v>S138 unlocks S154</v>
      </c>
    </row>
    <row r="513">
      <c r="A513" s="7" t="str">
        <f>IFERROR(__xludf.DUMMYFUNCTION("""COMPUTED_VALUE"""),"PE0512")</f>
        <v>PE0512</v>
      </c>
      <c r="B513" s="7" t="str">
        <f>IFERROR(__xludf.DUMMYFUNCTION("""COMPUTED_VALUE"""),"S138")</f>
        <v>S138</v>
      </c>
      <c r="C513" s="7" t="str">
        <f>IFERROR(__xludf.DUMMYFUNCTION("""COMPUTED_VALUE"""),"Linear Algebra, Calculus &amp; Optimization for ML")</f>
        <v>Linear Algebra, Calculus &amp; Optimization for ML</v>
      </c>
      <c r="D513" s="7" t="str">
        <f>IFERROR(__xludf.DUMMYFUNCTION("""COMPUTED_VALUE"""),"S157")</f>
        <v>S157</v>
      </c>
      <c r="E513" s="7" t="str">
        <f>IFERROR(__xludf.DUMMYFUNCTION("""COMPUTED_VALUE"""),"Natural Language Processing (Tokenization, Embeddings, SpaCy, NLTK)")</f>
        <v>Natural Language Processing (Tokenization, Embeddings, SpaCy, NLTK)</v>
      </c>
      <c r="F513" s="7" t="str">
        <f>IFERROR(__xludf.DUMMYFUNCTION("""COMPUTED_VALUE"""),"S138 unlocks S157")</f>
        <v>S138 unlocks S157</v>
      </c>
    </row>
    <row r="514">
      <c r="A514" s="7" t="str">
        <f>IFERROR(__xludf.DUMMYFUNCTION("""COMPUTED_VALUE"""),"PE0513")</f>
        <v>PE0513</v>
      </c>
      <c r="B514" s="7" t="str">
        <f>IFERROR(__xludf.DUMMYFUNCTION("""COMPUTED_VALUE"""),"S138")</f>
        <v>S138</v>
      </c>
      <c r="C514" s="7" t="str">
        <f>IFERROR(__xludf.DUMMYFUNCTION("""COMPUTED_VALUE"""),"Linear Algebra, Calculus &amp; Optimization for ML")</f>
        <v>Linear Algebra, Calculus &amp; Optimization for ML</v>
      </c>
      <c r="D514" s="7" t="str">
        <f>IFERROR(__xludf.DUMMYFUNCTION("""COMPUTED_VALUE"""),"S161")</f>
        <v>S161</v>
      </c>
      <c r="E514" s="7" t="str">
        <f>IFERROR(__xludf.DUMMYFUNCTION("""COMPUTED_VALUE"""),"Computer Vision &amp; Image Processing (OpenCV)")</f>
        <v>Computer Vision &amp; Image Processing (OpenCV)</v>
      </c>
      <c r="F514" s="7" t="str">
        <f>IFERROR(__xludf.DUMMYFUNCTION("""COMPUTED_VALUE"""),"S138 unlocks S161")</f>
        <v>S138 unlocks S161</v>
      </c>
    </row>
    <row r="515">
      <c r="A515" s="7" t="str">
        <f>IFERROR(__xludf.DUMMYFUNCTION("""COMPUTED_VALUE"""),"PE0514")</f>
        <v>PE0514</v>
      </c>
      <c r="B515" s="7" t="str">
        <f>IFERROR(__xludf.DUMMYFUNCTION("""COMPUTED_VALUE"""),"S138")</f>
        <v>S138</v>
      </c>
      <c r="C515" s="7" t="str">
        <f>IFERROR(__xludf.DUMMYFUNCTION("""COMPUTED_VALUE"""),"Linear Algebra, Calculus &amp; Optimization for ML")</f>
        <v>Linear Algebra, Calculus &amp; Optimization for ML</v>
      </c>
      <c r="D515" s="7" t="str">
        <f>IFERROR(__xludf.DUMMYFUNCTION("""COMPUTED_VALUE"""),"S167")</f>
        <v>S167</v>
      </c>
      <c r="E515" s="7" t="str">
        <f>IFERROR(__xludf.DUMMYFUNCTION("""COMPUTED_VALUE"""),"AI Ethics, Bias Mitigation &amp; Explainable AI (SHAP, LIME)")</f>
        <v>AI Ethics, Bias Mitigation &amp; Explainable AI (SHAP, LIME)</v>
      </c>
      <c r="F515" s="7" t="str">
        <f>IFERROR(__xludf.DUMMYFUNCTION("""COMPUTED_VALUE"""),"S138 unlocks S167")</f>
        <v>S138 unlocks S167</v>
      </c>
    </row>
    <row r="516">
      <c r="A516" s="7" t="str">
        <f>IFERROR(__xludf.DUMMYFUNCTION("""COMPUTED_VALUE"""),"PE0515")</f>
        <v>PE0515</v>
      </c>
      <c r="B516" s="7" t="str">
        <f>IFERROR(__xludf.DUMMYFUNCTION("""COMPUTED_VALUE"""),"S139")</f>
        <v>S139</v>
      </c>
      <c r="C516" s="7" t="str">
        <f>IFERROR(__xludf.DUMMYFUNCTION("""COMPUTED_VALUE"""),"Scientific Computing with NumPy &amp; SciPy")</f>
        <v>Scientific Computing with NumPy &amp; SciPy</v>
      </c>
      <c r="D516" s="7" t="str">
        <f>IFERROR(__xludf.DUMMYFUNCTION("""COMPUTED_VALUE"""),"S137")</f>
        <v>S137</v>
      </c>
      <c r="E516" s="7" t="str">
        <f>IFERROR(__xludf.DUMMYFUNCTION("""COMPUTED_VALUE"""),"Inferential Statistics, Hypothesis Testing &amp; A/B Testing")</f>
        <v>Inferential Statistics, Hypothesis Testing &amp; A/B Testing</v>
      </c>
      <c r="F516" s="7" t="str">
        <f>IFERROR(__xludf.DUMMYFUNCTION("""COMPUTED_VALUE"""),"S139 unlocks S137")</f>
        <v>S139 unlocks S137</v>
      </c>
    </row>
    <row r="517">
      <c r="A517" s="7" t="str">
        <f>IFERROR(__xludf.DUMMYFUNCTION("""COMPUTED_VALUE"""),"PE0516")</f>
        <v>PE0516</v>
      </c>
      <c r="B517" s="7" t="str">
        <f>IFERROR(__xludf.DUMMYFUNCTION("""COMPUTED_VALUE"""),"S139")</f>
        <v>S139</v>
      </c>
      <c r="C517" s="7" t="str">
        <f>IFERROR(__xludf.DUMMYFUNCTION("""COMPUTED_VALUE"""),"Scientific Computing with NumPy &amp; SciPy")</f>
        <v>Scientific Computing with NumPy &amp; SciPy</v>
      </c>
      <c r="D517" s="7" t="str">
        <f>IFERROR(__xludf.DUMMYFUNCTION("""COMPUTED_VALUE"""),"S142")</f>
        <v>S142</v>
      </c>
      <c r="E517" s="7" t="str">
        <f>IFERROR(__xludf.DUMMYFUNCTION("""COMPUTED_VALUE"""),"Statistical Programming in R")</f>
        <v>Statistical Programming in R</v>
      </c>
      <c r="F517" s="7" t="str">
        <f>IFERROR(__xludf.DUMMYFUNCTION("""COMPUTED_VALUE"""),"S139 unlocks S142")</f>
        <v>S139 unlocks S142</v>
      </c>
    </row>
    <row r="518">
      <c r="A518" s="7" t="str">
        <f>IFERROR(__xludf.DUMMYFUNCTION("""COMPUTED_VALUE"""),"PE0517")</f>
        <v>PE0517</v>
      </c>
      <c r="B518" s="7" t="str">
        <f>IFERROR(__xludf.DUMMYFUNCTION("""COMPUTED_VALUE"""),"S139")</f>
        <v>S139</v>
      </c>
      <c r="C518" s="7" t="str">
        <f>IFERROR(__xludf.DUMMYFUNCTION("""COMPUTED_VALUE"""),"Scientific Computing with NumPy &amp; SciPy")</f>
        <v>Scientific Computing with NumPy &amp; SciPy</v>
      </c>
      <c r="D518" s="7" t="str">
        <f>IFERROR(__xludf.DUMMYFUNCTION("""COMPUTED_VALUE"""),"S147")</f>
        <v>S147</v>
      </c>
      <c r="E518" s="7" t="str">
        <f>IFERROR(__xludf.DUMMYFUNCTION("""COMPUTED_VALUE"""),"Feature Engineering, Selection &amp; Dimensionality Reduction (PCA)")</f>
        <v>Feature Engineering, Selection &amp; Dimensionality Reduction (PCA)</v>
      </c>
      <c r="F518" s="7" t="str">
        <f>IFERROR(__xludf.DUMMYFUNCTION("""COMPUTED_VALUE"""),"S139 unlocks S147")</f>
        <v>S139 unlocks S147</v>
      </c>
    </row>
    <row r="519">
      <c r="A519" s="7" t="str">
        <f>IFERROR(__xludf.DUMMYFUNCTION("""COMPUTED_VALUE"""),"PE0518")</f>
        <v>PE0518</v>
      </c>
      <c r="B519" s="7" t="str">
        <f>IFERROR(__xludf.DUMMYFUNCTION("""COMPUTED_VALUE"""),"S139")</f>
        <v>S139</v>
      </c>
      <c r="C519" s="7" t="str">
        <f>IFERROR(__xludf.DUMMYFUNCTION("""COMPUTED_VALUE"""),"Scientific Computing with NumPy &amp; SciPy")</f>
        <v>Scientific Computing with NumPy &amp; SciPy</v>
      </c>
      <c r="D519" s="7" t="str">
        <f>IFERROR(__xludf.DUMMYFUNCTION("""COMPUTED_VALUE"""),"S148")</f>
        <v>S148</v>
      </c>
      <c r="E519" s="7" t="str">
        <f>IFERROR(__xludf.DUMMYFUNCTION("""COMPUTED_VALUE"""),"Supervised Machine Learning (Regression, Classification, SVM)")</f>
        <v>Supervised Machine Learning (Regression, Classification, SVM)</v>
      </c>
      <c r="F519" s="7" t="str">
        <f>IFERROR(__xludf.DUMMYFUNCTION("""COMPUTED_VALUE"""),"S139 unlocks S148")</f>
        <v>S139 unlocks S148</v>
      </c>
    </row>
    <row r="520">
      <c r="A520" s="7" t="str">
        <f>IFERROR(__xludf.DUMMYFUNCTION("""COMPUTED_VALUE"""),"PE0519")</f>
        <v>PE0519</v>
      </c>
      <c r="B520" s="7" t="str">
        <f>IFERROR(__xludf.DUMMYFUNCTION("""COMPUTED_VALUE"""),"S139")</f>
        <v>S139</v>
      </c>
      <c r="C520" s="7" t="str">
        <f>IFERROR(__xludf.DUMMYFUNCTION("""COMPUTED_VALUE"""),"Scientific Computing with NumPy &amp; SciPy")</f>
        <v>Scientific Computing with NumPy &amp; SciPy</v>
      </c>
      <c r="D520" s="7" t="str">
        <f>IFERROR(__xludf.DUMMYFUNCTION("""COMPUTED_VALUE"""),"S149")</f>
        <v>S149</v>
      </c>
      <c r="E520" s="7" t="str">
        <f>IFERROR(__xludf.DUMMYFUNCTION("""COMPUTED_VALUE"""),"Ensemble Methods (Random Forests, XGBoost, LightGBM)")</f>
        <v>Ensemble Methods (Random Forests, XGBoost, LightGBM)</v>
      </c>
      <c r="F520" s="7" t="str">
        <f>IFERROR(__xludf.DUMMYFUNCTION("""COMPUTED_VALUE"""),"S139 unlocks S149")</f>
        <v>S139 unlocks S149</v>
      </c>
    </row>
    <row r="521">
      <c r="A521" s="7" t="str">
        <f>IFERROR(__xludf.DUMMYFUNCTION("""COMPUTED_VALUE"""),"PE0520")</f>
        <v>PE0520</v>
      </c>
      <c r="B521" s="7" t="str">
        <f>IFERROR(__xludf.DUMMYFUNCTION("""COMPUTED_VALUE"""),"S139")</f>
        <v>S139</v>
      </c>
      <c r="C521" s="7" t="str">
        <f>IFERROR(__xludf.DUMMYFUNCTION("""COMPUTED_VALUE"""),"Scientific Computing with NumPy &amp; SciPy")</f>
        <v>Scientific Computing with NumPy &amp; SciPy</v>
      </c>
      <c r="D521" s="7" t="str">
        <f>IFERROR(__xludf.DUMMYFUNCTION("""COMPUTED_VALUE"""),"S150")</f>
        <v>S150</v>
      </c>
      <c r="E521" s="7" t="str">
        <f>IFERROR(__xludf.DUMMYFUNCTION("""COMPUTED_VALUE"""),"Unsupervised Learning (K-Means, Hierarchical Clustering, Anomaly Detection)")</f>
        <v>Unsupervised Learning (K-Means, Hierarchical Clustering, Anomaly Detection)</v>
      </c>
      <c r="F521" s="7" t="str">
        <f>IFERROR(__xludf.DUMMYFUNCTION("""COMPUTED_VALUE"""),"S139 unlocks S150")</f>
        <v>S139 unlocks S150</v>
      </c>
    </row>
    <row r="522">
      <c r="A522" s="7" t="str">
        <f>IFERROR(__xludf.DUMMYFUNCTION("""COMPUTED_VALUE"""),"PE0521")</f>
        <v>PE0521</v>
      </c>
      <c r="B522" s="7" t="str">
        <f>IFERROR(__xludf.DUMMYFUNCTION("""COMPUTED_VALUE"""),"S139")</f>
        <v>S139</v>
      </c>
      <c r="C522" s="7" t="str">
        <f>IFERROR(__xludf.DUMMYFUNCTION("""COMPUTED_VALUE"""),"Scientific Computing with NumPy &amp; SciPy")</f>
        <v>Scientific Computing with NumPy &amp; SciPy</v>
      </c>
      <c r="D522" s="7" t="str">
        <f>IFERROR(__xludf.DUMMYFUNCTION("""COMPUTED_VALUE"""),"S151")</f>
        <v>S151</v>
      </c>
      <c r="E522" s="7" t="str">
        <f>IFERROR(__xludf.DUMMYFUNCTION("""COMPUTED_VALUE"""),"Model Evaluation Metrics, Cross-Validation &amp; Hyperparameter Tuning")</f>
        <v>Model Evaluation Metrics, Cross-Validation &amp; Hyperparameter Tuning</v>
      </c>
      <c r="F522" s="7" t="str">
        <f>IFERROR(__xludf.DUMMYFUNCTION("""COMPUTED_VALUE"""),"S139 unlocks S151")</f>
        <v>S139 unlocks S151</v>
      </c>
    </row>
    <row r="523">
      <c r="A523" s="7" t="str">
        <f>IFERROR(__xludf.DUMMYFUNCTION("""COMPUTED_VALUE"""),"PE0522")</f>
        <v>PE0522</v>
      </c>
      <c r="B523" s="7" t="str">
        <f>IFERROR(__xludf.DUMMYFUNCTION("""COMPUTED_VALUE"""),"S139")</f>
        <v>S139</v>
      </c>
      <c r="C523" s="7" t="str">
        <f>IFERROR(__xludf.DUMMYFUNCTION("""COMPUTED_VALUE"""),"Scientific Computing with NumPy &amp; SciPy")</f>
        <v>Scientific Computing with NumPy &amp; SciPy</v>
      </c>
      <c r="D523" s="7" t="str">
        <f>IFERROR(__xludf.DUMMYFUNCTION("""COMPUTED_VALUE"""),"S154")</f>
        <v>S154</v>
      </c>
      <c r="E523" s="7" t="str">
        <f>IFERROR(__xludf.DUMMYFUNCTION("""COMPUTED_VALUE"""),"Neural Networks &amp; Deep Learning Fundamentals")</f>
        <v>Neural Networks &amp; Deep Learning Fundamentals</v>
      </c>
      <c r="F523" s="7" t="str">
        <f>IFERROR(__xludf.DUMMYFUNCTION("""COMPUTED_VALUE"""),"S139 unlocks S154")</f>
        <v>S139 unlocks S154</v>
      </c>
    </row>
    <row r="524">
      <c r="A524" s="7" t="str">
        <f>IFERROR(__xludf.DUMMYFUNCTION("""COMPUTED_VALUE"""),"PE0523")</f>
        <v>PE0523</v>
      </c>
      <c r="B524" s="7" t="str">
        <f>IFERROR(__xludf.DUMMYFUNCTION("""COMPUTED_VALUE"""),"S139")</f>
        <v>S139</v>
      </c>
      <c r="C524" s="7" t="str">
        <f>IFERROR(__xludf.DUMMYFUNCTION("""COMPUTED_VALUE"""),"Scientific Computing with NumPy &amp; SciPy")</f>
        <v>Scientific Computing with NumPy &amp; SciPy</v>
      </c>
      <c r="D524" s="7" t="str">
        <f>IFERROR(__xludf.DUMMYFUNCTION("""COMPUTED_VALUE"""),"S157")</f>
        <v>S157</v>
      </c>
      <c r="E524" s="7" t="str">
        <f>IFERROR(__xludf.DUMMYFUNCTION("""COMPUTED_VALUE"""),"Natural Language Processing (Tokenization, Embeddings, SpaCy, NLTK)")</f>
        <v>Natural Language Processing (Tokenization, Embeddings, SpaCy, NLTK)</v>
      </c>
      <c r="F524" s="7" t="str">
        <f>IFERROR(__xludf.DUMMYFUNCTION("""COMPUTED_VALUE"""),"S139 unlocks S157")</f>
        <v>S139 unlocks S157</v>
      </c>
    </row>
    <row r="525">
      <c r="A525" s="7" t="str">
        <f>IFERROR(__xludf.DUMMYFUNCTION("""COMPUTED_VALUE"""),"PE0524")</f>
        <v>PE0524</v>
      </c>
      <c r="B525" s="7" t="str">
        <f>IFERROR(__xludf.DUMMYFUNCTION("""COMPUTED_VALUE"""),"S139")</f>
        <v>S139</v>
      </c>
      <c r="C525" s="7" t="str">
        <f>IFERROR(__xludf.DUMMYFUNCTION("""COMPUTED_VALUE"""),"Scientific Computing with NumPy &amp; SciPy")</f>
        <v>Scientific Computing with NumPy &amp; SciPy</v>
      </c>
      <c r="D525" s="7" t="str">
        <f>IFERROR(__xludf.DUMMYFUNCTION("""COMPUTED_VALUE"""),"S161")</f>
        <v>S161</v>
      </c>
      <c r="E525" s="7" t="str">
        <f>IFERROR(__xludf.DUMMYFUNCTION("""COMPUTED_VALUE"""),"Computer Vision &amp; Image Processing (OpenCV)")</f>
        <v>Computer Vision &amp; Image Processing (OpenCV)</v>
      </c>
      <c r="F525" s="7" t="str">
        <f>IFERROR(__xludf.DUMMYFUNCTION("""COMPUTED_VALUE"""),"S139 unlocks S161")</f>
        <v>S139 unlocks S161</v>
      </c>
    </row>
    <row r="526">
      <c r="A526" s="7" t="str">
        <f>IFERROR(__xludf.DUMMYFUNCTION("""COMPUTED_VALUE"""),"PE0525")</f>
        <v>PE0525</v>
      </c>
      <c r="B526" s="7" t="str">
        <f>IFERROR(__xludf.DUMMYFUNCTION("""COMPUTED_VALUE"""),"S139")</f>
        <v>S139</v>
      </c>
      <c r="C526" s="7" t="str">
        <f>IFERROR(__xludf.DUMMYFUNCTION("""COMPUTED_VALUE"""),"Scientific Computing with NumPy &amp; SciPy")</f>
        <v>Scientific Computing with NumPy &amp; SciPy</v>
      </c>
      <c r="D526" s="7" t="str">
        <f>IFERROR(__xludf.DUMMYFUNCTION("""COMPUTED_VALUE"""),"S167")</f>
        <v>S167</v>
      </c>
      <c r="E526" s="7" t="str">
        <f>IFERROR(__xludf.DUMMYFUNCTION("""COMPUTED_VALUE"""),"AI Ethics, Bias Mitigation &amp; Explainable AI (SHAP, LIME)")</f>
        <v>AI Ethics, Bias Mitigation &amp; Explainable AI (SHAP, LIME)</v>
      </c>
      <c r="F526" s="7" t="str">
        <f>IFERROR(__xludf.DUMMYFUNCTION("""COMPUTED_VALUE"""),"S139 unlocks S167")</f>
        <v>S139 unlocks S167</v>
      </c>
    </row>
    <row r="527">
      <c r="A527" s="7" t="str">
        <f>IFERROR(__xludf.DUMMYFUNCTION("""COMPUTED_VALUE"""),"PE0526")</f>
        <v>PE0526</v>
      </c>
      <c r="B527" s="7" t="str">
        <f>IFERROR(__xludf.DUMMYFUNCTION("""COMPUTED_VALUE"""),"S140")</f>
        <v>S140</v>
      </c>
      <c r="C527" s="7" t="str">
        <f>IFERROR(__xludf.DUMMYFUNCTION("""COMPUTED_VALUE"""),"Data Manipulation &amp; Analysis with Pandas / Polars")</f>
        <v>Data Manipulation &amp; Analysis with Pandas / Polars</v>
      </c>
      <c r="D527" s="7" t="str">
        <f>IFERROR(__xludf.DUMMYFUNCTION("""COMPUTED_VALUE"""),"S137")</f>
        <v>S137</v>
      </c>
      <c r="E527" s="7" t="str">
        <f>IFERROR(__xludf.DUMMYFUNCTION("""COMPUTED_VALUE"""),"Inferential Statistics, Hypothesis Testing &amp; A/B Testing")</f>
        <v>Inferential Statistics, Hypothesis Testing &amp; A/B Testing</v>
      </c>
      <c r="F527" s="7" t="str">
        <f>IFERROR(__xludf.DUMMYFUNCTION("""COMPUTED_VALUE"""),"S140 unlocks S137")</f>
        <v>S140 unlocks S137</v>
      </c>
    </row>
    <row r="528">
      <c r="A528" s="7" t="str">
        <f>IFERROR(__xludf.DUMMYFUNCTION("""COMPUTED_VALUE"""),"PE0527")</f>
        <v>PE0527</v>
      </c>
      <c r="B528" s="7" t="str">
        <f>IFERROR(__xludf.DUMMYFUNCTION("""COMPUTED_VALUE"""),"S140")</f>
        <v>S140</v>
      </c>
      <c r="C528" s="7" t="str">
        <f>IFERROR(__xludf.DUMMYFUNCTION("""COMPUTED_VALUE"""),"Data Manipulation &amp; Analysis with Pandas / Polars")</f>
        <v>Data Manipulation &amp; Analysis with Pandas / Polars</v>
      </c>
      <c r="D528" s="7" t="str">
        <f>IFERROR(__xludf.DUMMYFUNCTION("""COMPUTED_VALUE"""),"S142")</f>
        <v>S142</v>
      </c>
      <c r="E528" s="7" t="str">
        <f>IFERROR(__xludf.DUMMYFUNCTION("""COMPUTED_VALUE"""),"Statistical Programming in R")</f>
        <v>Statistical Programming in R</v>
      </c>
      <c r="F528" s="7" t="str">
        <f>IFERROR(__xludf.DUMMYFUNCTION("""COMPUTED_VALUE"""),"S140 unlocks S142")</f>
        <v>S140 unlocks S142</v>
      </c>
    </row>
    <row r="529">
      <c r="A529" s="7" t="str">
        <f>IFERROR(__xludf.DUMMYFUNCTION("""COMPUTED_VALUE"""),"PE0528")</f>
        <v>PE0528</v>
      </c>
      <c r="B529" s="7" t="str">
        <f>IFERROR(__xludf.DUMMYFUNCTION("""COMPUTED_VALUE"""),"S140")</f>
        <v>S140</v>
      </c>
      <c r="C529" s="7" t="str">
        <f>IFERROR(__xludf.DUMMYFUNCTION("""COMPUTED_VALUE"""),"Data Manipulation &amp; Analysis with Pandas / Polars")</f>
        <v>Data Manipulation &amp; Analysis with Pandas / Polars</v>
      </c>
      <c r="D529" s="7" t="str">
        <f>IFERROR(__xludf.DUMMYFUNCTION("""COMPUTED_VALUE"""),"S147")</f>
        <v>S147</v>
      </c>
      <c r="E529" s="7" t="str">
        <f>IFERROR(__xludf.DUMMYFUNCTION("""COMPUTED_VALUE"""),"Feature Engineering, Selection &amp; Dimensionality Reduction (PCA)")</f>
        <v>Feature Engineering, Selection &amp; Dimensionality Reduction (PCA)</v>
      </c>
      <c r="F529" s="7" t="str">
        <f>IFERROR(__xludf.DUMMYFUNCTION("""COMPUTED_VALUE"""),"S140 unlocks S147")</f>
        <v>S140 unlocks S147</v>
      </c>
    </row>
    <row r="530">
      <c r="A530" s="7" t="str">
        <f>IFERROR(__xludf.DUMMYFUNCTION("""COMPUTED_VALUE"""),"PE0529")</f>
        <v>PE0529</v>
      </c>
      <c r="B530" s="7" t="str">
        <f>IFERROR(__xludf.DUMMYFUNCTION("""COMPUTED_VALUE"""),"S140")</f>
        <v>S140</v>
      </c>
      <c r="C530" s="7" t="str">
        <f>IFERROR(__xludf.DUMMYFUNCTION("""COMPUTED_VALUE"""),"Data Manipulation &amp; Analysis with Pandas / Polars")</f>
        <v>Data Manipulation &amp; Analysis with Pandas / Polars</v>
      </c>
      <c r="D530" s="7" t="str">
        <f>IFERROR(__xludf.DUMMYFUNCTION("""COMPUTED_VALUE"""),"S148")</f>
        <v>S148</v>
      </c>
      <c r="E530" s="7" t="str">
        <f>IFERROR(__xludf.DUMMYFUNCTION("""COMPUTED_VALUE"""),"Supervised Machine Learning (Regression, Classification, SVM)")</f>
        <v>Supervised Machine Learning (Regression, Classification, SVM)</v>
      </c>
      <c r="F530" s="7" t="str">
        <f>IFERROR(__xludf.DUMMYFUNCTION("""COMPUTED_VALUE"""),"S140 unlocks S148")</f>
        <v>S140 unlocks S148</v>
      </c>
    </row>
    <row r="531">
      <c r="A531" s="7" t="str">
        <f>IFERROR(__xludf.DUMMYFUNCTION("""COMPUTED_VALUE"""),"PE0530")</f>
        <v>PE0530</v>
      </c>
      <c r="B531" s="7" t="str">
        <f>IFERROR(__xludf.DUMMYFUNCTION("""COMPUTED_VALUE"""),"S140")</f>
        <v>S140</v>
      </c>
      <c r="C531" s="7" t="str">
        <f>IFERROR(__xludf.DUMMYFUNCTION("""COMPUTED_VALUE"""),"Data Manipulation &amp; Analysis with Pandas / Polars")</f>
        <v>Data Manipulation &amp; Analysis with Pandas / Polars</v>
      </c>
      <c r="D531" s="7" t="str">
        <f>IFERROR(__xludf.DUMMYFUNCTION("""COMPUTED_VALUE"""),"S149")</f>
        <v>S149</v>
      </c>
      <c r="E531" s="7" t="str">
        <f>IFERROR(__xludf.DUMMYFUNCTION("""COMPUTED_VALUE"""),"Ensemble Methods (Random Forests, XGBoost, LightGBM)")</f>
        <v>Ensemble Methods (Random Forests, XGBoost, LightGBM)</v>
      </c>
      <c r="F531" s="7" t="str">
        <f>IFERROR(__xludf.DUMMYFUNCTION("""COMPUTED_VALUE"""),"S140 unlocks S149")</f>
        <v>S140 unlocks S149</v>
      </c>
    </row>
    <row r="532">
      <c r="A532" s="7" t="str">
        <f>IFERROR(__xludf.DUMMYFUNCTION("""COMPUTED_VALUE"""),"PE0531")</f>
        <v>PE0531</v>
      </c>
      <c r="B532" s="7" t="str">
        <f>IFERROR(__xludf.DUMMYFUNCTION("""COMPUTED_VALUE"""),"S140")</f>
        <v>S140</v>
      </c>
      <c r="C532" s="7" t="str">
        <f>IFERROR(__xludf.DUMMYFUNCTION("""COMPUTED_VALUE"""),"Data Manipulation &amp; Analysis with Pandas / Polars")</f>
        <v>Data Manipulation &amp; Analysis with Pandas / Polars</v>
      </c>
      <c r="D532" s="7" t="str">
        <f>IFERROR(__xludf.DUMMYFUNCTION("""COMPUTED_VALUE"""),"S150")</f>
        <v>S150</v>
      </c>
      <c r="E532" s="7" t="str">
        <f>IFERROR(__xludf.DUMMYFUNCTION("""COMPUTED_VALUE"""),"Unsupervised Learning (K-Means, Hierarchical Clustering, Anomaly Detection)")</f>
        <v>Unsupervised Learning (K-Means, Hierarchical Clustering, Anomaly Detection)</v>
      </c>
      <c r="F532" s="7" t="str">
        <f>IFERROR(__xludf.DUMMYFUNCTION("""COMPUTED_VALUE"""),"S140 unlocks S150")</f>
        <v>S140 unlocks S150</v>
      </c>
    </row>
    <row r="533">
      <c r="A533" s="7" t="str">
        <f>IFERROR(__xludf.DUMMYFUNCTION("""COMPUTED_VALUE"""),"PE0532")</f>
        <v>PE0532</v>
      </c>
      <c r="B533" s="7" t="str">
        <f>IFERROR(__xludf.DUMMYFUNCTION("""COMPUTED_VALUE"""),"S140")</f>
        <v>S140</v>
      </c>
      <c r="C533" s="7" t="str">
        <f>IFERROR(__xludf.DUMMYFUNCTION("""COMPUTED_VALUE"""),"Data Manipulation &amp; Analysis with Pandas / Polars")</f>
        <v>Data Manipulation &amp; Analysis with Pandas / Polars</v>
      </c>
      <c r="D533" s="7" t="str">
        <f>IFERROR(__xludf.DUMMYFUNCTION("""COMPUTED_VALUE"""),"S151")</f>
        <v>S151</v>
      </c>
      <c r="E533" s="7" t="str">
        <f>IFERROR(__xludf.DUMMYFUNCTION("""COMPUTED_VALUE"""),"Model Evaluation Metrics, Cross-Validation &amp; Hyperparameter Tuning")</f>
        <v>Model Evaluation Metrics, Cross-Validation &amp; Hyperparameter Tuning</v>
      </c>
      <c r="F533" s="7" t="str">
        <f>IFERROR(__xludf.DUMMYFUNCTION("""COMPUTED_VALUE"""),"S140 unlocks S151")</f>
        <v>S140 unlocks S151</v>
      </c>
    </row>
    <row r="534">
      <c r="A534" s="7" t="str">
        <f>IFERROR(__xludf.DUMMYFUNCTION("""COMPUTED_VALUE"""),"PE0533")</f>
        <v>PE0533</v>
      </c>
      <c r="B534" s="7" t="str">
        <f>IFERROR(__xludf.DUMMYFUNCTION("""COMPUTED_VALUE"""),"S140")</f>
        <v>S140</v>
      </c>
      <c r="C534" s="7" t="str">
        <f>IFERROR(__xludf.DUMMYFUNCTION("""COMPUTED_VALUE"""),"Data Manipulation &amp; Analysis with Pandas / Polars")</f>
        <v>Data Manipulation &amp; Analysis with Pandas / Polars</v>
      </c>
      <c r="D534" s="7" t="str">
        <f>IFERROR(__xludf.DUMMYFUNCTION("""COMPUTED_VALUE"""),"S154")</f>
        <v>S154</v>
      </c>
      <c r="E534" s="7" t="str">
        <f>IFERROR(__xludf.DUMMYFUNCTION("""COMPUTED_VALUE"""),"Neural Networks &amp; Deep Learning Fundamentals")</f>
        <v>Neural Networks &amp; Deep Learning Fundamentals</v>
      </c>
      <c r="F534" s="7" t="str">
        <f>IFERROR(__xludf.DUMMYFUNCTION("""COMPUTED_VALUE"""),"S140 unlocks S154")</f>
        <v>S140 unlocks S154</v>
      </c>
    </row>
    <row r="535">
      <c r="A535" s="7" t="str">
        <f>IFERROR(__xludf.DUMMYFUNCTION("""COMPUTED_VALUE"""),"PE0534")</f>
        <v>PE0534</v>
      </c>
      <c r="B535" s="7" t="str">
        <f>IFERROR(__xludf.DUMMYFUNCTION("""COMPUTED_VALUE"""),"S140")</f>
        <v>S140</v>
      </c>
      <c r="C535" s="7" t="str">
        <f>IFERROR(__xludf.DUMMYFUNCTION("""COMPUTED_VALUE"""),"Data Manipulation &amp; Analysis with Pandas / Polars")</f>
        <v>Data Manipulation &amp; Analysis with Pandas / Polars</v>
      </c>
      <c r="D535" s="7" t="str">
        <f>IFERROR(__xludf.DUMMYFUNCTION("""COMPUTED_VALUE"""),"S157")</f>
        <v>S157</v>
      </c>
      <c r="E535" s="7" t="str">
        <f>IFERROR(__xludf.DUMMYFUNCTION("""COMPUTED_VALUE"""),"Natural Language Processing (Tokenization, Embeddings, SpaCy, NLTK)")</f>
        <v>Natural Language Processing (Tokenization, Embeddings, SpaCy, NLTK)</v>
      </c>
      <c r="F535" s="7" t="str">
        <f>IFERROR(__xludf.DUMMYFUNCTION("""COMPUTED_VALUE"""),"S140 unlocks S157")</f>
        <v>S140 unlocks S157</v>
      </c>
    </row>
    <row r="536">
      <c r="A536" s="7" t="str">
        <f>IFERROR(__xludf.DUMMYFUNCTION("""COMPUTED_VALUE"""),"PE0535")</f>
        <v>PE0535</v>
      </c>
      <c r="B536" s="7" t="str">
        <f>IFERROR(__xludf.DUMMYFUNCTION("""COMPUTED_VALUE"""),"S140")</f>
        <v>S140</v>
      </c>
      <c r="C536" s="7" t="str">
        <f>IFERROR(__xludf.DUMMYFUNCTION("""COMPUTED_VALUE"""),"Data Manipulation &amp; Analysis with Pandas / Polars")</f>
        <v>Data Manipulation &amp; Analysis with Pandas / Polars</v>
      </c>
      <c r="D536" s="7" t="str">
        <f>IFERROR(__xludf.DUMMYFUNCTION("""COMPUTED_VALUE"""),"S161")</f>
        <v>S161</v>
      </c>
      <c r="E536" s="7" t="str">
        <f>IFERROR(__xludf.DUMMYFUNCTION("""COMPUTED_VALUE"""),"Computer Vision &amp; Image Processing (OpenCV)")</f>
        <v>Computer Vision &amp; Image Processing (OpenCV)</v>
      </c>
      <c r="F536" s="7" t="str">
        <f>IFERROR(__xludf.DUMMYFUNCTION("""COMPUTED_VALUE"""),"S140 unlocks S161")</f>
        <v>S140 unlocks S161</v>
      </c>
    </row>
    <row r="537">
      <c r="A537" s="7" t="str">
        <f>IFERROR(__xludf.DUMMYFUNCTION("""COMPUTED_VALUE"""),"PE0536")</f>
        <v>PE0536</v>
      </c>
      <c r="B537" s="7" t="str">
        <f>IFERROR(__xludf.DUMMYFUNCTION("""COMPUTED_VALUE"""),"S140")</f>
        <v>S140</v>
      </c>
      <c r="C537" s="7" t="str">
        <f>IFERROR(__xludf.DUMMYFUNCTION("""COMPUTED_VALUE"""),"Data Manipulation &amp; Analysis with Pandas / Polars")</f>
        <v>Data Manipulation &amp; Analysis with Pandas / Polars</v>
      </c>
      <c r="D537" s="7" t="str">
        <f>IFERROR(__xludf.DUMMYFUNCTION("""COMPUTED_VALUE"""),"S167")</f>
        <v>S167</v>
      </c>
      <c r="E537" s="7" t="str">
        <f>IFERROR(__xludf.DUMMYFUNCTION("""COMPUTED_VALUE"""),"AI Ethics, Bias Mitigation &amp; Explainable AI (SHAP, LIME)")</f>
        <v>AI Ethics, Bias Mitigation &amp; Explainable AI (SHAP, LIME)</v>
      </c>
      <c r="F537" s="7" t="str">
        <f>IFERROR(__xludf.DUMMYFUNCTION("""COMPUTED_VALUE"""),"S140 unlocks S167")</f>
        <v>S140 unlocks S167</v>
      </c>
    </row>
    <row r="538">
      <c r="A538" s="7" t="str">
        <f>IFERROR(__xludf.DUMMYFUNCTION("""COMPUTED_VALUE"""),"PE0537")</f>
        <v>PE0537</v>
      </c>
      <c r="B538" s="7" t="str">
        <f>IFERROR(__xludf.DUMMYFUNCTION("""COMPUTED_VALUE"""),"S141")</f>
        <v>S141</v>
      </c>
      <c r="C538" s="7" t="str">
        <f>IFERROR(__xludf.DUMMYFUNCTION("""COMPUTED_VALUE"""),"Exploratory Data Analysis (EDA) &amp; Data Wrangling")</f>
        <v>Exploratory Data Analysis (EDA) &amp; Data Wrangling</v>
      </c>
      <c r="D538" s="7" t="str">
        <f>IFERROR(__xludf.DUMMYFUNCTION("""COMPUTED_VALUE"""),"S137")</f>
        <v>S137</v>
      </c>
      <c r="E538" s="7" t="str">
        <f>IFERROR(__xludf.DUMMYFUNCTION("""COMPUTED_VALUE"""),"Inferential Statistics, Hypothesis Testing &amp; A/B Testing")</f>
        <v>Inferential Statistics, Hypothesis Testing &amp; A/B Testing</v>
      </c>
      <c r="F538" s="7" t="str">
        <f>IFERROR(__xludf.DUMMYFUNCTION("""COMPUTED_VALUE"""),"S141 unlocks S137")</f>
        <v>S141 unlocks S137</v>
      </c>
    </row>
    <row r="539">
      <c r="A539" s="7" t="str">
        <f>IFERROR(__xludf.DUMMYFUNCTION("""COMPUTED_VALUE"""),"PE0538")</f>
        <v>PE0538</v>
      </c>
      <c r="B539" s="7" t="str">
        <f>IFERROR(__xludf.DUMMYFUNCTION("""COMPUTED_VALUE"""),"S141")</f>
        <v>S141</v>
      </c>
      <c r="C539" s="7" t="str">
        <f>IFERROR(__xludf.DUMMYFUNCTION("""COMPUTED_VALUE"""),"Exploratory Data Analysis (EDA) &amp; Data Wrangling")</f>
        <v>Exploratory Data Analysis (EDA) &amp; Data Wrangling</v>
      </c>
      <c r="D539" s="7" t="str">
        <f>IFERROR(__xludf.DUMMYFUNCTION("""COMPUTED_VALUE"""),"S142")</f>
        <v>S142</v>
      </c>
      <c r="E539" s="7" t="str">
        <f>IFERROR(__xludf.DUMMYFUNCTION("""COMPUTED_VALUE"""),"Statistical Programming in R")</f>
        <v>Statistical Programming in R</v>
      </c>
      <c r="F539" s="7" t="str">
        <f>IFERROR(__xludf.DUMMYFUNCTION("""COMPUTED_VALUE"""),"S141 unlocks S142")</f>
        <v>S141 unlocks S142</v>
      </c>
    </row>
    <row r="540">
      <c r="A540" s="7" t="str">
        <f>IFERROR(__xludf.DUMMYFUNCTION("""COMPUTED_VALUE"""),"PE0539")</f>
        <v>PE0539</v>
      </c>
      <c r="B540" s="7" t="str">
        <f>IFERROR(__xludf.DUMMYFUNCTION("""COMPUTED_VALUE"""),"S141")</f>
        <v>S141</v>
      </c>
      <c r="C540" s="7" t="str">
        <f>IFERROR(__xludf.DUMMYFUNCTION("""COMPUTED_VALUE"""),"Exploratory Data Analysis (EDA) &amp; Data Wrangling")</f>
        <v>Exploratory Data Analysis (EDA) &amp; Data Wrangling</v>
      </c>
      <c r="D540" s="7" t="str">
        <f>IFERROR(__xludf.DUMMYFUNCTION("""COMPUTED_VALUE"""),"S147")</f>
        <v>S147</v>
      </c>
      <c r="E540" s="7" t="str">
        <f>IFERROR(__xludf.DUMMYFUNCTION("""COMPUTED_VALUE"""),"Feature Engineering, Selection &amp; Dimensionality Reduction (PCA)")</f>
        <v>Feature Engineering, Selection &amp; Dimensionality Reduction (PCA)</v>
      </c>
      <c r="F540" s="7" t="str">
        <f>IFERROR(__xludf.DUMMYFUNCTION("""COMPUTED_VALUE"""),"S141 unlocks S147")</f>
        <v>S141 unlocks S147</v>
      </c>
    </row>
    <row r="541">
      <c r="A541" s="7" t="str">
        <f>IFERROR(__xludf.DUMMYFUNCTION("""COMPUTED_VALUE"""),"PE0540")</f>
        <v>PE0540</v>
      </c>
      <c r="B541" s="7" t="str">
        <f>IFERROR(__xludf.DUMMYFUNCTION("""COMPUTED_VALUE"""),"S141")</f>
        <v>S141</v>
      </c>
      <c r="C541" s="7" t="str">
        <f>IFERROR(__xludf.DUMMYFUNCTION("""COMPUTED_VALUE"""),"Exploratory Data Analysis (EDA) &amp; Data Wrangling")</f>
        <v>Exploratory Data Analysis (EDA) &amp; Data Wrangling</v>
      </c>
      <c r="D541" s="7" t="str">
        <f>IFERROR(__xludf.DUMMYFUNCTION("""COMPUTED_VALUE"""),"S148")</f>
        <v>S148</v>
      </c>
      <c r="E541" s="7" t="str">
        <f>IFERROR(__xludf.DUMMYFUNCTION("""COMPUTED_VALUE"""),"Supervised Machine Learning (Regression, Classification, SVM)")</f>
        <v>Supervised Machine Learning (Regression, Classification, SVM)</v>
      </c>
      <c r="F541" s="7" t="str">
        <f>IFERROR(__xludf.DUMMYFUNCTION("""COMPUTED_VALUE"""),"S141 unlocks S148")</f>
        <v>S141 unlocks S148</v>
      </c>
    </row>
    <row r="542">
      <c r="A542" s="7" t="str">
        <f>IFERROR(__xludf.DUMMYFUNCTION("""COMPUTED_VALUE"""),"PE0541")</f>
        <v>PE0541</v>
      </c>
      <c r="B542" s="7" t="str">
        <f>IFERROR(__xludf.DUMMYFUNCTION("""COMPUTED_VALUE"""),"S141")</f>
        <v>S141</v>
      </c>
      <c r="C542" s="7" t="str">
        <f>IFERROR(__xludf.DUMMYFUNCTION("""COMPUTED_VALUE"""),"Exploratory Data Analysis (EDA) &amp; Data Wrangling")</f>
        <v>Exploratory Data Analysis (EDA) &amp; Data Wrangling</v>
      </c>
      <c r="D542" s="7" t="str">
        <f>IFERROR(__xludf.DUMMYFUNCTION("""COMPUTED_VALUE"""),"S149")</f>
        <v>S149</v>
      </c>
      <c r="E542" s="7" t="str">
        <f>IFERROR(__xludf.DUMMYFUNCTION("""COMPUTED_VALUE"""),"Ensemble Methods (Random Forests, XGBoost, LightGBM)")</f>
        <v>Ensemble Methods (Random Forests, XGBoost, LightGBM)</v>
      </c>
      <c r="F542" s="7" t="str">
        <f>IFERROR(__xludf.DUMMYFUNCTION("""COMPUTED_VALUE"""),"S141 unlocks S149")</f>
        <v>S141 unlocks S149</v>
      </c>
    </row>
    <row r="543">
      <c r="A543" s="7" t="str">
        <f>IFERROR(__xludf.DUMMYFUNCTION("""COMPUTED_VALUE"""),"PE0542")</f>
        <v>PE0542</v>
      </c>
      <c r="B543" s="7" t="str">
        <f>IFERROR(__xludf.DUMMYFUNCTION("""COMPUTED_VALUE"""),"S141")</f>
        <v>S141</v>
      </c>
      <c r="C543" s="7" t="str">
        <f>IFERROR(__xludf.DUMMYFUNCTION("""COMPUTED_VALUE"""),"Exploratory Data Analysis (EDA) &amp; Data Wrangling")</f>
        <v>Exploratory Data Analysis (EDA) &amp; Data Wrangling</v>
      </c>
      <c r="D543" s="7" t="str">
        <f>IFERROR(__xludf.DUMMYFUNCTION("""COMPUTED_VALUE"""),"S150")</f>
        <v>S150</v>
      </c>
      <c r="E543" s="7" t="str">
        <f>IFERROR(__xludf.DUMMYFUNCTION("""COMPUTED_VALUE"""),"Unsupervised Learning (K-Means, Hierarchical Clustering, Anomaly Detection)")</f>
        <v>Unsupervised Learning (K-Means, Hierarchical Clustering, Anomaly Detection)</v>
      </c>
      <c r="F543" s="7" t="str">
        <f>IFERROR(__xludf.DUMMYFUNCTION("""COMPUTED_VALUE"""),"S141 unlocks S150")</f>
        <v>S141 unlocks S150</v>
      </c>
    </row>
    <row r="544">
      <c r="A544" s="7" t="str">
        <f>IFERROR(__xludf.DUMMYFUNCTION("""COMPUTED_VALUE"""),"PE0543")</f>
        <v>PE0543</v>
      </c>
      <c r="B544" s="7" t="str">
        <f>IFERROR(__xludf.DUMMYFUNCTION("""COMPUTED_VALUE"""),"S141")</f>
        <v>S141</v>
      </c>
      <c r="C544" s="7" t="str">
        <f>IFERROR(__xludf.DUMMYFUNCTION("""COMPUTED_VALUE"""),"Exploratory Data Analysis (EDA) &amp; Data Wrangling")</f>
        <v>Exploratory Data Analysis (EDA) &amp; Data Wrangling</v>
      </c>
      <c r="D544" s="7" t="str">
        <f>IFERROR(__xludf.DUMMYFUNCTION("""COMPUTED_VALUE"""),"S151")</f>
        <v>S151</v>
      </c>
      <c r="E544" s="7" t="str">
        <f>IFERROR(__xludf.DUMMYFUNCTION("""COMPUTED_VALUE"""),"Model Evaluation Metrics, Cross-Validation &amp; Hyperparameter Tuning")</f>
        <v>Model Evaluation Metrics, Cross-Validation &amp; Hyperparameter Tuning</v>
      </c>
      <c r="F544" s="7" t="str">
        <f>IFERROR(__xludf.DUMMYFUNCTION("""COMPUTED_VALUE"""),"S141 unlocks S151")</f>
        <v>S141 unlocks S151</v>
      </c>
    </row>
    <row r="545">
      <c r="A545" s="7" t="str">
        <f>IFERROR(__xludf.DUMMYFUNCTION("""COMPUTED_VALUE"""),"PE0544")</f>
        <v>PE0544</v>
      </c>
      <c r="B545" s="7" t="str">
        <f>IFERROR(__xludf.DUMMYFUNCTION("""COMPUTED_VALUE"""),"S141")</f>
        <v>S141</v>
      </c>
      <c r="C545" s="7" t="str">
        <f>IFERROR(__xludf.DUMMYFUNCTION("""COMPUTED_VALUE"""),"Exploratory Data Analysis (EDA) &amp; Data Wrangling")</f>
        <v>Exploratory Data Analysis (EDA) &amp; Data Wrangling</v>
      </c>
      <c r="D545" s="7" t="str">
        <f>IFERROR(__xludf.DUMMYFUNCTION("""COMPUTED_VALUE"""),"S154")</f>
        <v>S154</v>
      </c>
      <c r="E545" s="7" t="str">
        <f>IFERROR(__xludf.DUMMYFUNCTION("""COMPUTED_VALUE"""),"Neural Networks &amp; Deep Learning Fundamentals")</f>
        <v>Neural Networks &amp; Deep Learning Fundamentals</v>
      </c>
      <c r="F545" s="7" t="str">
        <f>IFERROR(__xludf.DUMMYFUNCTION("""COMPUTED_VALUE"""),"S141 unlocks S154")</f>
        <v>S141 unlocks S154</v>
      </c>
    </row>
    <row r="546">
      <c r="A546" s="7" t="str">
        <f>IFERROR(__xludf.DUMMYFUNCTION("""COMPUTED_VALUE"""),"PE0545")</f>
        <v>PE0545</v>
      </c>
      <c r="B546" s="7" t="str">
        <f>IFERROR(__xludf.DUMMYFUNCTION("""COMPUTED_VALUE"""),"S141")</f>
        <v>S141</v>
      </c>
      <c r="C546" s="7" t="str">
        <f>IFERROR(__xludf.DUMMYFUNCTION("""COMPUTED_VALUE"""),"Exploratory Data Analysis (EDA) &amp; Data Wrangling")</f>
        <v>Exploratory Data Analysis (EDA) &amp; Data Wrangling</v>
      </c>
      <c r="D546" s="7" t="str">
        <f>IFERROR(__xludf.DUMMYFUNCTION("""COMPUTED_VALUE"""),"S157")</f>
        <v>S157</v>
      </c>
      <c r="E546" s="7" t="str">
        <f>IFERROR(__xludf.DUMMYFUNCTION("""COMPUTED_VALUE"""),"Natural Language Processing (Tokenization, Embeddings, SpaCy, NLTK)")</f>
        <v>Natural Language Processing (Tokenization, Embeddings, SpaCy, NLTK)</v>
      </c>
      <c r="F546" s="7" t="str">
        <f>IFERROR(__xludf.DUMMYFUNCTION("""COMPUTED_VALUE"""),"S141 unlocks S157")</f>
        <v>S141 unlocks S157</v>
      </c>
    </row>
    <row r="547">
      <c r="A547" s="7" t="str">
        <f>IFERROR(__xludf.DUMMYFUNCTION("""COMPUTED_VALUE"""),"PE0546")</f>
        <v>PE0546</v>
      </c>
      <c r="B547" s="7" t="str">
        <f>IFERROR(__xludf.DUMMYFUNCTION("""COMPUTED_VALUE"""),"S141")</f>
        <v>S141</v>
      </c>
      <c r="C547" s="7" t="str">
        <f>IFERROR(__xludf.DUMMYFUNCTION("""COMPUTED_VALUE"""),"Exploratory Data Analysis (EDA) &amp; Data Wrangling")</f>
        <v>Exploratory Data Analysis (EDA) &amp; Data Wrangling</v>
      </c>
      <c r="D547" s="7" t="str">
        <f>IFERROR(__xludf.DUMMYFUNCTION("""COMPUTED_VALUE"""),"S161")</f>
        <v>S161</v>
      </c>
      <c r="E547" s="7" t="str">
        <f>IFERROR(__xludf.DUMMYFUNCTION("""COMPUTED_VALUE"""),"Computer Vision &amp; Image Processing (OpenCV)")</f>
        <v>Computer Vision &amp; Image Processing (OpenCV)</v>
      </c>
      <c r="F547" s="7" t="str">
        <f>IFERROR(__xludf.DUMMYFUNCTION("""COMPUTED_VALUE"""),"S141 unlocks S161")</f>
        <v>S141 unlocks S161</v>
      </c>
    </row>
    <row r="548">
      <c r="A548" s="7" t="str">
        <f>IFERROR(__xludf.DUMMYFUNCTION("""COMPUTED_VALUE"""),"PE0547")</f>
        <v>PE0547</v>
      </c>
      <c r="B548" s="7" t="str">
        <f>IFERROR(__xludf.DUMMYFUNCTION("""COMPUTED_VALUE"""),"S141")</f>
        <v>S141</v>
      </c>
      <c r="C548" s="7" t="str">
        <f>IFERROR(__xludf.DUMMYFUNCTION("""COMPUTED_VALUE"""),"Exploratory Data Analysis (EDA) &amp; Data Wrangling")</f>
        <v>Exploratory Data Analysis (EDA) &amp; Data Wrangling</v>
      </c>
      <c r="D548" s="7" t="str">
        <f>IFERROR(__xludf.DUMMYFUNCTION("""COMPUTED_VALUE"""),"S167")</f>
        <v>S167</v>
      </c>
      <c r="E548" s="7" t="str">
        <f>IFERROR(__xludf.DUMMYFUNCTION("""COMPUTED_VALUE"""),"AI Ethics, Bias Mitigation &amp; Explainable AI (SHAP, LIME)")</f>
        <v>AI Ethics, Bias Mitigation &amp; Explainable AI (SHAP, LIME)</v>
      </c>
      <c r="F548" s="7" t="str">
        <f>IFERROR(__xludf.DUMMYFUNCTION("""COMPUTED_VALUE"""),"S141 unlocks S167")</f>
        <v>S141 unlocks S167</v>
      </c>
    </row>
    <row r="549">
      <c r="A549" s="7" t="str">
        <f>IFERROR(__xludf.DUMMYFUNCTION("""COMPUTED_VALUE"""),"PE0548")</f>
        <v>PE0548</v>
      </c>
      <c r="B549" s="7" t="str">
        <f>IFERROR(__xludf.DUMMYFUNCTION("""COMPUTED_VALUE"""),"S143")</f>
        <v>S143</v>
      </c>
      <c r="C549" s="7" t="str">
        <f>IFERROR(__xludf.DUMMYFUNCTION("""COMPUTED_VALUE"""),"Python Data Visualization (Matplotlib, Seaborn, Plotly)")</f>
        <v>Python Data Visualization (Matplotlib, Seaborn, Plotly)</v>
      </c>
      <c r="D549" s="7" t="str">
        <f>IFERROR(__xludf.DUMMYFUNCTION("""COMPUTED_VALUE"""),"S137")</f>
        <v>S137</v>
      </c>
      <c r="E549" s="7" t="str">
        <f>IFERROR(__xludf.DUMMYFUNCTION("""COMPUTED_VALUE"""),"Inferential Statistics, Hypothesis Testing &amp; A/B Testing")</f>
        <v>Inferential Statistics, Hypothesis Testing &amp; A/B Testing</v>
      </c>
      <c r="F549" s="7" t="str">
        <f>IFERROR(__xludf.DUMMYFUNCTION("""COMPUTED_VALUE"""),"S143 unlocks S137")</f>
        <v>S143 unlocks S137</v>
      </c>
    </row>
    <row r="550">
      <c r="A550" s="7" t="str">
        <f>IFERROR(__xludf.DUMMYFUNCTION("""COMPUTED_VALUE"""),"PE0549")</f>
        <v>PE0549</v>
      </c>
      <c r="B550" s="7" t="str">
        <f>IFERROR(__xludf.DUMMYFUNCTION("""COMPUTED_VALUE"""),"S143")</f>
        <v>S143</v>
      </c>
      <c r="C550" s="7" t="str">
        <f>IFERROR(__xludf.DUMMYFUNCTION("""COMPUTED_VALUE"""),"Python Data Visualization (Matplotlib, Seaborn, Plotly)")</f>
        <v>Python Data Visualization (Matplotlib, Seaborn, Plotly)</v>
      </c>
      <c r="D550" s="7" t="str">
        <f>IFERROR(__xludf.DUMMYFUNCTION("""COMPUTED_VALUE"""),"S142")</f>
        <v>S142</v>
      </c>
      <c r="E550" s="7" t="str">
        <f>IFERROR(__xludf.DUMMYFUNCTION("""COMPUTED_VALUE"""),"Statistical Programming in R")</f>
        <v>Statistical Programming in R</v>
      </c>
      <c r="F550" s="7" t="str">
        <f>IFERROR(__xludf.DUMMYFUNCTION("""COMPUTED_VALUE"""),"S143 unlocks S142")</f>
        <v>S143 unlocks S142</v>
      </c>
    </row>
    <row r="551">
      <c r="A551" s="7" t="str">
        <f>IFERROR(__xludf.DUMMYFUNCTION("""COMPUTED_VALUE"""),"PE0550")</f>
        <v>PE0550</v>
      </c>
      <c r="B551" s="7" t="str">
        <f>IFERROR(__xludf.DUMMYFUNCTION("""COMPUTED_VALUE"""),"S143")</f>
        <v>S143</v>
      </c>
      <c r="C551" s="7" t="str">
        <f>IFERROR(__xludf.DUMMYFUNCTION("""COMPUTED_VALUE"""),"Python Data Visualization (Matplotlib, Seaborn, Plotly)")</f>
        <v>Python Data Visualization (Matplotlib, Seaborn, Plotly)</v>
      </c>
      <c r="D551" s="7" t="str">
        <f>IFERROR(__xludf.DUMMYFUNCTION("""COMPUTED_VALUE"""),"S147")</f>
        <v>S147</v>
      </c>
      <c r="E551" s="7" t="str">
        <f>IFERROR(__xludf.DUMMYFUNCTION("""COMPUTED_VALUE"""),"Feature Engineering, Selection &amp; Dimensionality Reduction (PCA)")</f>
        <v>Feature Engineering, Selection &amp; Dimensionality Reduction (PCA)</v>
      </c>
      <c r="F551" s="7" t="str">
        <f>IFERROR(__xludf.DUMMYFUNCTION("""COMPUTED_VALUE"""),"S143 unlocks S147")</f>
        <v>S143 unlocks S147</v>
      </c>
    </row>
    <row r="552">
      <c r="A552" s="7" t="str">
        <f>IFERROR(__xludf.DUMMYFUNCTION("""COMPUTED_VALUE"""),"PE0551")</f>
        <v>PE0551</v>
      </c>
      <c r="B552" s="7" t="str">
        <f>IFERROR(__xludf.DUMMYFUNCTION("""COMPUTED_VALUE"""),"S143")</f>
        <v>S143</v>
      </c>
      <c r="C552" s="7" t="str">
        <f>IFERROR(__xludf.DUMMYFUNCTION("""COMPUTED_VALUE"""),"Python Data Visualization (Matplotlib, Seaborn, Plotly)")</f>
        <v>Python Data Visualization (Matplotlib, Seaborn, Plotly)</v>
      </c>
      <c r="D552" s="7" t="str">
        <f>IFERROR(__xludf.DUMMYFUNCTION("""COMPUTED_VALUE"""),"S148")</f>
        <v>S148</v>
      </c>
      <c r="E552" s="7" t="str">
        <f>IFERROR(__xludf.DUMMYFUNCTION("""COMPUTED_VALUE"""),"Supervised Machine Learning (Regression, Classification, SVM)")</f>
        <v>Supervised Machine Learning (Regression, Classification, SVM)</v>
      </c>
      <c r="F552" s="7" t="str">
        <f>IFERROR(__xludf.DUMMYFUNCTION("""COMPUTED_VALUE"""),"S143 unlocks S148")</f>
        <v>S143 unlocks S148</v>
      </c>
    </row>
    <row r="553">
      <c r="A553" s="7" t="str">
        <f>IFERROR(__xludf.DUMMYFUNCTION("""COMPUTED_VALUE"""),"PE0552")</f>
        <v>PE0552</v>
      </c>
      <c r="B553" s="7" t="str">
        <f>IFERROR(__xludf.DUMMYFUNCTION("""COMPUTED_VALUE"""),"S143")</f>
        <v>S143</v>
      </c>
      <c r="C553" s="7" t="str">
        <f>IFERROR(__xludf.DUMMYFUNCTION("""COMPUTED_VALUE"""),"Python Data Visualization (Matplotlib, Seaborn, Plotly)")</f>
        <v>Python Data Visualization (Matplotlib, Seaborn, Plotly)</v>
      </c>
      <c r="D553" s="7" t="str">
        <f>IFERROR(__xludf.DUMMYFUNCTION("""COMPUTED_VALUE"""),"S149")</f>
        <v>S149</v>
      </c>
      <c r="E553" s="7" t="str">
        <f>IFERROR(__xludf.DUMMYFUNCTION("""COMPUTED_VALUE"""),"Ensemble Methods (Random Forests, XGBoost, LightGBM)")</f>
        <v>Ensemble Methods (Random Forests, XGBoost, LightGBM)</v>
      </c>
      <c r="F553" s="7" t="str">
        <f>IFERROR(__xludf.DUMMYFUNCTION("""COMPUTED_VALUE"""),"S143 unlocks S149")</f>
        <v>S143 unlocks S149</v>
      </c>
    </row>
    <row r="554">
      <c r="A554" s="7" t="str">
        <f>IFERROR(__xludf.DUMMYFUNCTION("""COMPUTED_VALUE"""),"PE0553")</f>
        <v>PE0553</v>
      </c>
      <c r="B554" s="7" t="str">
        <f>IFERROR(__xludf.DUMMYFUNCTION("""COMPUTED_VALUE"""),"S143")</f>
        <v>S143</v>
      </c>
      <c r="C554" s="7" t="str">
        <f>IFERROR(__xludf.DUMMYFUNCTION("""COMPUTED_VALUE"""),"Python Data Visualization (Matplotlib, Seaborn, Plotly)")</f>
        <v>Python Data Visualization (Matplotlib, Seaborn, Plotly)</v>
      </c>
      <c r="D554" s="7" t="str">
        <f>IFERROR(__xludf.DUMMYFUNCTION("""COMPUTED_VALUE"""),"S150")</f>
        <v>S150</v>
      </c>
      <c r="E554" s="7" t="str">
        <f>IFERROR(__xludf.DUMMYFUNCTION("""COMPUTED_VALUE"""),"Unsupervised Learning (K-Means, Hierarchical Clustering, Anomaly Detection)")</f>
        <v>Unsupervised Learning (K-Means, Hierarchical Clustering, Anomaly Detection)</v>
      </c>
      <c r="F554" s="7" t="str">
        <f>IFERROR(__xludf.DUMMYFUNCTION("""COMPUTED_VALUE"""),"S143 unlocks S150")</f>
        <v>S143 unlocks S150</v>
      </c>
    </row>
    <row r="555">
      <c r="A555" s="7" t="str">
        <f>IFERROR(__xludf.DUMMYFUNCTION("""COMPUTED_VALUE"""),"PE0554")</f>
        <v>PE0554</v>
      </c>
      <c r="B555" s="7" t="str">
        <f>IFERROR(__xludf.DUMMYFUNCTION("""COMPUTED_VALUE"""),"S143")</f>
        <v>S143</v>
      </c>
      <c r="C555" s="7" t="str">
        <f>IFERROR(__xludf.DUMMYFUNCTION("""COMPUTED_VALUE"""),"Python Data Visualization (Matplotlib, Seaborn, Plotly)")</f>
        <v>Python Data Visualization (Matplotlib, Seaborn, Plotly)</v>
      </c>
      <c r="D555" s="7" t="str">
        <f>IFERROR(__xludf.DUMMYFUNCTION("""COMPUTED_VALUE"""),"S151")</f>
        <v>S151</v>
      </c>
      <c r="E555" s="7" t="str">
        <f>IFERROR(__xludf.DUMMYFUNCTION("""COMPUTED_VALUE"""),"Model Evaluation Metrics, Cross-Validation &amp; Hyperparameter Tuning")</f>
        <v>Model Evaluation Metrics, Cross-Validation &amp; Hyperparameter Tuning</v>
      </c>
      <c r="F555" s="7" t="str">
        <f>IFERROR(__xludf.DUMMYFUNCTION("""COMPUTED_VALUE"""),"S143 unlocks S151")</f>
        <v>S143 unlocks S151</v>
      </c>
    </row>
    <row r="556">
      <c r="A556" s="7" t="str">
        <f>IFERROR(__xludf.DUMMYFUNCTION("""COMPUTED_VALUE"""),"PE0555")</f>
        <v>PE0555</v>
      </c>
      <c r="B556" s="7" t="str">
        <f>IFERROR(__xludf.DUMMYFUNCTION("""COMPUTED_VALUE"""),"S143")</f>
        <v>S143</v>
      </c>
      <c r="C556" s="7" t="str">
        <f>IFERROR(__xludf.DUMMYFUNCTION("""COMPUTED_VALUE"""),"Python Data Visualization (Matplotlib, Seaborn, Plotly)")</f>
        <v>Python Data Visualization (Matplotlib, Seaborn, Plotly)</v>
      </c>
      <c r="D556" s="7" t="str">
        <f>IFERROR(__xludf.DUMMYFUNCTION("""COMPUTED_VALUE"""),"S154")</f>
        <v>S154</v>
      </c>
      <c r="E556" s="7" t="str">
        <f>IFERROR(__xludf.DUMMYFUNCTION("""COMPUTED_VALUE"""),"Neural Networks &amp; Deep Learning Fundamentals")</f>
        <v>Neural Networks &amp; Deep Learning Fundamentals</v>
      </c>
      <c r="F556" s="7" t="str">
        <f>IFERROR(__xludf.DUMMYFUNCTION("""COMPUTED_VALUE"""),"S143 unlocks S154")</f>
        <v>S143 unlocks S154</v>
      </c>
    </row>
    <row r="557">
      <c r="A557" s="7" t="str">
        <f>IFERROR(__xludf.DUMMYFUNCTION("""COMPUTED_VALUE"""),"PE0556")</f>
        <v>PE0556</v>
      </c>
      <c r="B557" s="7" t="str">
        <f>IFERROR(__xludf.DUMMYFUNCTION("""COMPUTED_VALUE"""),"S143")</f>
        <v>S143</v>
      </c>
      <c r="C557" s="7" t="str">
        <f>IFERROR(__xludf.DUMMYFUNCTION("""COMPUTED_VALUE"""),"Python Data Visualization (Matplotlib, Seaborn, Plotly)")</f>
        <v>Python Data Visualization (Matplotlib, Seaborn, Plotly)</v>
      </c>
      <c r="D557" s="7" t="str">
        <f>IFERROR(__xludf.DUMMYFUNCTION("""COMPUTED_VALUE"""),"S157")</f>
        <v>S157</v>
      </c>
      <c r="E557" s="7" t="str">
        <f>IFERROR(__xludf.DUMMYFUNCTION("""COMPUTED_VALUE"""),"Natural Language Processing (Tokenization, Embeddings, SpaCy, NLTK)")</f>
        <v>Natural Language Processing (Tokenization, Embeddings, SpaCy, NLTK)</v>
      </c>
      <c r="F557" s="7" t="str">
        <f>IFERROR(__xludf.DUMMYFUNCTION("""COMPUTED_VALUE"""),"S143 unlocks S157")</f>
        <v>S143 unlocks S157</v>
      </c>
    </row>
    <row r="558">
      <c r="A558" s="7" t="str">
        <f>IFERROR(__xludf.DUMMYFUNCTION("""COMPUTED_VALUE"""),"PE0557")</f>
        <v>PE0557</v>
      </c>
      <c r="B558" s="7" t="str">
        <f>IFERROR(__xludf.DUMMYFUNCTION("""COMPUTED_VALUE"""),"S143")</f>
        <v>S143</v>
      </c>
      <c r="C558" s="7" t="str">
        <f>IFERROR(__xludf.DUMMYFUNCTION("""COMPUTED_VALUE"""),"Python Data Visualization (Matplotlib, Seaborn, Plotly)")</f>
        <v>Python Data Visualization (Matplotlib, Seaborn, Plotly)</v>
      </c>
      <c r="D558" s="7" t="str">
        <f>IFERROR(__xludf.DUMMYFUNCTION("""COMPUTED_VALUE"""),"S161")</f>
        <v>S161</v>
      </c>
      <c r="E558" s="7" t="str">
        <f>IFERROR(__xludf.DUMMYFUNCTION("""COMPUTED_VALUE"""),"Computer Vision &amp; Image Processing (OpenCV)")</f>
        <v>Computer Vision &amp; Image Processing (OpenCV)</v>
      </c>
      <c r="F558" s="7" t="str">
        <f>IFERROR(__xludf.DUMMYFUNCTION("""COMPUTED_VALUE"""),"S143 unlocks S161")</f>
        <v>S143 unlocks S161</v>
      </c>
    </row>
    <row r="559">
      <c r="A559" s="7" t="str">
        <f>IFERROR(__xludf.DUMMYFUNCTION("""COMPUTED_VALUE"""),"PE0558")</f>
        <v>PE0558</v>
      </c>
      <c r="B559" s="7" t="str">
        <f>IFERROR(__xludf.DUMMYFUNCTION("""COMPUTED_VALUE"""),"S143")</f>
        <v>S143</v>
      </c>
      <c r="C559" s="7" t="str">
        <f>IFERROR(__xludf.DUMMYFUNCTION("""COMPUTED_VALUE"""),"Python Data Visualization (Matplotlib, Seaborn, Plotly)")</f>
        <v>Python Data Visualization (Matplotlib, Seaborn, Plotly)</v>
      </c>
      <c r="D559" s="7" t="str">
        <f>IFERROR(__xludf.DUMMYFUNCTION("""COMPUTED_VALUE"""),"S167")</f>
        <v>S167</v>
      </c>
      <c r="E559" s="7" t="str">
        <f>IFERROR(__xludf.DUMMYFUNCTION("""COMPUTED_VALUE"""),"AI Ethics, Bias Mitigation &amp; Explainable AI (SHAP, LIME)")</f>
        <v>AI Ethics, Bias Mitigation &amp; Explainable AI (SHAP, LIME)</v>
      </c>
      <c r="F559" s="7" t="str">
        <f>IFERROR(__xludf.DUMMYFUNCTION("""COMPUTED_VALUE"""),"S143 unlocks S167")</f>
        <v>S143 unlocks S167</v>
      </c>
    </row>
    <row r="560">
      <c r="A560" s="7" t="str">
        <f>IFERROR(__xludf.DUMMYFUNCTION("""COMPUTED_VALUE"""),"PE0559")</f>
        <v>PE0559</v>
      </c>
      <c r="B560" s="7" t="str">
        <f>IFERROR(__xludf.DUMMYFUNCTION("""COMPUTED_VALUE"""),"S144")</f>
        <v>S144</v>
      </c>
      <c r="C560" s="7" t="str">
        <f>IFERROR(__xludf.DUMMYFUNCTION("""COMPUTED_VALUE"""),"Business Intelligence &amp; Dashboards (Tableau)")</f>
        <v>Business Intelligence &amp; Dashboards (Tableau)</v>
      </c>
      <c r="D560" s="7" t="str">
        <f>IFERROR(__xludf.DUMMYFUNCTION("""COMPUTED_VALUE"""),"S137")</f>
        <v>S137</v>
      </c>
      <c r="E560" s="7" t="str">
        <f>IFERROR(__xludf.DUMMYFUNCTION("""COMPUTED_VALUE"""),"Inferential Statistics, Hypothesis Testing &amp; A/B Testing")</f>
        <v>Inferential Statistics, Hypothesis Testing &amp; A/B Testing</v>
      </c>
      <c r="F560" s="7" t="str">
        <f>IFERROR(__xludf.DUMMYFUNCTION("""COMPUTED_VALUE"""),"S144 unlocks S137")</f>
        <v>S144 unlocks S137</v>
      </c>
    </row>
    <row r="561">
      <c r="A561" s="7" t="str">
        <f>IFERROR(__xludf.DUMMYFUNCTION("""COMPUTED_VALUE"""),"PE0560")</f>
        <v>PE0560</v>
      </c>
      <c r="B561" s="7" t="str">
        <f>IFERROR(__xludf.DUMMYFUNCTION("""COMPUTED_VALUE"""),"S144")</f>
        <v>S144</v>
      </c>
      <c r="C561" s="7" t="str">
        <f>IFERROR(__xludf.DUMMYFUNCTION("""COMPUTED_VALUE"""),"Business Intelligence &amp; Dashboards (Tableau)")</f>
        <v>Business Intelligence &amp; Dashboards (Tableau)</v>
      </c>
      <c r="D561" s="7" t="str">
        <f>IFERROR(__xludf.DUMMYFUNCTION("""COMPUTED_VALUE"""),"S142")</f>
        <v>S142</v>
      </c>
      <c r="E561" s="7" t="str">
        <f>IFERROR(__xludf.DUMMYFUNCTION("""COMPUTED_VALUE"""),"Statistical Programming in R")</f>
        <v>Statistical Programming in R</v>
      </c>
      <c r="F561" s="7" t="str">
        <f>IFERROR(__xludf.DUMMYFUNCTION("""COMPUTED_VALUE"""),"S144 unlocks S142")</f>
        <v>S144 unlocks S142</v>
      </c>
    </row>
    <row r="562">
      <c r="A562" s="7" t="str">
        <f>IFERROR(__xludf.DUMMYFUNCTION("""COMPUTED_VALUE"""),"PE0561")</f>
        <v>PE0561</v>
      </c>
      <c r="B562" s="7" t="str">
        <f>IFERROR(__xludf.DUMMYFUNCTION("""COMPUTED_VALUE"""),"S144")</f>
        <v>S144</v>
      </c>
      <c r="C562" s="7" t="str">
        <f>IFERROR(__xludf.DUMMYFUNCTION("""COMPUTED_VALUE"""),"Business Intelligence &amp; Dashboards (Tableau)")</f>
        <v>Business Intelligence &amp; Dashboards (Tableau)</v>
      </c>
      <c r="D562" s="7" t="str">
        <f>IFERROR(__xludf.DUMMYFUNCTION("""COMPUTED_VALUE"""),"S147")</f>
        <v>S147</v>
      </c>
      <c r="E562" s="7" t="str">
        <f>IFERROR(__xludf.DUMMYFUNCTION("""COMPUTED_VALUE"""),"Feature Engineering, Selection &amp; Dimensionality Reduction (PCA)")</f>
        <v>Feature Engineering, Selection &amp; Dimensionality Reduction (PCA)</v>
      </c>
      <c r="F562" s="7" t="str">
        <f>IFERROR(__xludf.DUMMYFUNCTION("""COMPUTED_VALUE"""),"S144 unlocks S147")</f>
        <v>S144 unlocks S147</v>
      </c>
    </row>
    <row r="563">
      <c r="A563" s="7" t="str">
        <f>IFERROR(__xludf.DUMMYFUNCTION("""COMPUTED_VALUE"""),"PE0562")</f>
        <v>PE0562</v>
      </c>
      <c r="B563" s="7" t="str">
        <f>IFERROR(__xludf.DUMMYFUNCTION("""COMPUTED_VALUE"""),"S144")</f>
        <v>S144</v>
      </c>
      <c r="C563" s="7" t="str">
        <f>IFERROR(__xludf.DUMMYFUNCTION("""COMPUTED_VALUE"""),"Business Intelligence &amp; Dashboards (Tableau)")</f>
        <v>Business Intelligence &amp; Dashboards (Tableau)</v>
      </c>
      <c r="D563" s="7" t="str">
        <f>IFERROR(__xludf.DUMMYFUNCTION("""COMPUTED_VALUE"""),"S148")</f>
        <v>S148</v>
      </c>
      <c r="E563" s="7" t="str">
        <f>IFERROR(__xludf.DUMMYFUNCTION("""COMPUTED_VALUE"""),"Supervised Machine Learning (Regression, Classification, SVM)")</f>
        <v>Supervised Machine Learning (Regression, Classification, SVM)</v>
      </c>
      <c r="F563" s="7" t="str">
        <f>IFERROR(__xludf.DUMMYFUNCTION("""COMPUTED_VALUE"""),"S144 unlocks S148")</f>
        <v>S144 unlocks S148</v>
      </c>
    </row>
    <row r="564">
      <c r="A564" s="7" t="str">
        <f>IFERROR(__xludf.DUMMYFUNCTION("""COMPUTED_VALUE"""),"PE0563")</f>
        <v>PE0563</v>
      </c>
      <c r="B564" s="7" t="str">
        <f>IFERROR(__xludf.DUMMYFUNCTION("""COMPUTED_VALUE"""),"S144")</f>
        <v>S144</v>
      </c>
      <c r="C564" s="7" t="str">
        <f>IFERROR(__xludf.DUMMYFUNCTION("""COMPUTED_VALUE"""),"Business Intelligence &amp; Dashboards (Tableau)")</f>
        <v>Business Intelligence &amp; Dashboards (Tableau)</v>
      </c>
      <c r="D564" s="7" t="str">
        <f>IFERROR(__xludf.DUMMYFUNCTION("""COMPUTED_VALUE"""),"S149")</f>
        <v>S149</v>
      </c>
      <c r="E564" s="7" t="str">
        <f>IFERROR(__xludf.DUMMYFUNCTION("""COMPUTED_VALUE"""),"Ensemble Methods (Random Forests, XGBoost, LightGBM)")</f>
        <v>Ensemble Methods (Random Forests, XGBoost, LightGBM)</v>
      </c>
      <c r="F564" s="7" t="str">
        <f>IFERROR(__xludf.DUMMYFUNCTION("""COMPUTED_VALUE"""),"S144 unlocks S149")</f>
        <v>S144 unlocks S149</v>
      </c>
    </row>
    <row r="565">
      <c r="A565" s="7" t="str">
        <f>IFERROR(__xludf.DUMMYFUNCTION("""COMPUTED_VALUE"""),"PE0564")</f>
        <v>PE0564</v>
      </c>
      <c r="B565" s="7" t="str">
        <f>IFERROR(__xludf.DUMMYFUNCTION("""COMPUTED_VALUE"""),"S144")</f>
        <v>S144</v>
      </c>
      <c r="C565" s="7" t="str">
        <f>IFERROR(__xludf.DUMMYFUNCTION("""COMPUTED_VALUE"""),"Business Intelligence &amp; Dashboards (Tableau)")</f>
        <v>Business Intelligence &amp; Dashboards (Tableau)</v>
      </c>
      <c r="D565" s="7" t="str">
        <f>IFERROR(__xludf.DUMMYFUNCTION("""COMPUTED_VALUE"""),"S150")</f>
        <v>S150</v>
      </c>
      <c r="E565" s="7" t="str">
        <f>IFERROR(__xludf.DUMMYFUNCTION("""COMPUTED_VALUE"""),"Unsupervised Learning (K-Means, Hierarchical Clustering, Anomaly Detection)")</f>
        <v>Unsupervised Learning (K-Means, Hierarchical Clustering, Anomaly Detection)</v>
      </c>
      <c r="F565" s="7" t="str">
        <f>IFERROR(__xludf.DUMMYFUNCTION("""COMPUTED_VALUE"""),"S144 unlocks S150")</f>
        <v>S144 unlocks S150</v>
      </c>
    </row>
    <row r="566">
      <c r="A566" s="7" t="str">
        <f>IFERROR(__xludf.DUMMYFUNCTION("""COMPUTED_VALUE"""),"PE0565")</f>
        <v>PE0565</v>
      </c>
      <c r="B566" s="7" t="str">
        <f>IFERROR(__xludf.DUMMYFUNCTION("""COMPUTED_VALUE"""),"S144")</f>
        <v>S144</v>
      </c>
      <c r="C566" s="7" t="str">
        <f>IFERROR(__xludf.DUMMYFUNCTION("""COMPUTED_VALUE"""),"Business Intelligence &amp; Dashboards (Tableau)")</f>
        <v>Business Intelligence &amp; Dashboards (Tableau)</v>
      </c>
      <c r="D566" s="7" t="str">
        <f>IFERROR(__xludf.DUMMYFUNCTION("""COMPUTED_VALUE"""),"S151")</f>
        <v>S151</v>
      </c>
      <c r="E566" s="7" t="str">
        <f>IFERROR(__xludf.DUMMYFUNCTION("""COMPUTED_VALUE"""),"Model Evaluation Metrics, Cross-Validation &amp; Hyperparameter Tuning")</f>
        <v>Model Evaluation Metrics, Cross-Validation &amp; Hyperparameter Tuning</v>
      </c>
      <c r="F566" s="7" t="str">
        <f>IFERROR(__xludf.DUMMYFUNCTION("""COMPUTED_VALUE"""),"S144 unlocks S151")</f>
        <v>S144 unlocks S151</v>
      </c>
    </row>
    <row r="567">
      <c r="A567" s="7" t="str">
        <f>IFERROR(__xludf.DUMMYFUNCTION("""COMPUTED_VALUE"""),"PE0566")</f>
        <v>PE0566</v>
      </c>
      <c r="B567" s="7" t="str">
        <f>IFERROR(__xludf.DUMMYFUNCTION("""COMPUTED_VALUE"""),"S144")</f>
        <v>S144</v>
      </c>
      <c r="C567" s="7" t="str">
        <f>IFERROR(__xludf.DUMMYFUNCTION("""COMPUTED_VALUE"""),"Business Intelligence &amp; Dashboards (Tableau)")</f>
        <v>Business Intelligence &amp; Dashboards (Tableau)</v>
      </c>
      <c r="D567" s="7" t="str">
        <f>IFERROR(__xludf.DUMMYFUNCTION("""COMPUTED_VALUE"""),"S154")</f>
        <v>S154</v>
      </c>
      <c r="E567" s="7" t="str">
        <f>IFERROR(__xludf.DUMMYFUNCTION("""COMPUTED_VALUE"""),"Neural Networks &amp; Deep Learning Fundamentals")</f>
        <v>Neural Networks &amp; Deep Learning Fundamentals</v>
      </c>
      <c r="F567" s="7" t="str">
        <f>IFERROR(__xludf.DUMMYFUNCTION("""COMPUTED_VALUE"""),"S144 unlocks S154")</f>
        <v>S144 unlocks S154</v>
      </c>
    </row>
    <row r="568">
      <c r="A568" s="7" t="str">
        <f>IFERROR(__xludf.DUMMYFUNCTION("""COMPUTED_VALUE"""),"PE0567")</f>
        <v>PE0567</v>
      </c>
      <c r="B568" s="7" t="str">
        <f>IFERROR(__xludf.DUMMYFUNCTION("""COMPUTED_VALUE"""),"S144")</f>
        <v>S144</v>
      </c>
      <c r="C568" s="7" t="str">
        <f>IFERROR(__xludf.DUMMYFUNCTION("""COMPUTED_VALUE"""),"Business Intelligence &amp; Dashboards (Tableau)")</f>
        <v>Business Intelligence &amp; Dashboards (Tableau)</v>
      </c>
      <c r="D568" s="7" t="str">
        <f>IFERROR(__xludf.DUMMYFUNCTION("""COMPUTED_VALUE"""),"S157")</f>
        <v>S157</v>
      </c>
      <c r="E568" s="7" t="str">
        <f>IFERROR(__xludf.DUMMYFUNCTION("""COMPUTED_VALUE"""),"Natural Language Processing (Tokenization, Embeddings, SpaCy, NLTK)")</f>
        <v>Natural Language Processing (Tokenization, Embeddings, SpaCy, NLTK)</v>
      </c>
      <c r="F568" s="7" t="str">
        <f>IFERROR(__xludf.DUMMYFUNCTION("""COMPUTED_VALUE"""),"S144 unlocks S157")</f>
        <v>S144 unlocks S157</v>
      </c>
    </row>
    <row r="569">
      <c r="A569" s="7" t="str">
        <f>IFERROR(__xludf.DUMMYFUNCTION("""COMPUTED_VALUE"""),"PE0568")</f>
        <v>PE0568</v>
      </c>
      <c r="B569" s="7" t="str">
        <f>IFERROR(__xludf.DUMMYFUNCTION("""COMPUTED_VALUE"""),"S144")</f>
        <v>S144</v>
      </c>
      <c r="C569" s="7" t="str">
        <f>IFERROR(__xludf.DUMMYFUNCTION("""COMPUTED_VALUE"""),"Business Intelligence &amp; Dashboards (Tableau)")</f>
        <v>Business Intelligence &amp; Dashboards (Tableau)</v>
      </c>
      <c r="D569" s="7" t="str">
        <f>IFERROR(__xludf.DUMMYFUNCTION("""COMPUTED_VALUE"""),"S161")</f>
        <v>S161</v>
      </c>
      <c r="E569" s="7" t="str">
        <f>IFERROR(__xludf.DUMMYFUNCTION("""COMPUTED_VALUE"""),"Computer Vision &amp; Image Processing (OpenCV)")</f>
        <v>Computer Vision &amp; Image Processing (OpenCV)</v>
      </c>
      <c r="F569" s="7" t="str">
        <f>IFERROR(__xludf.DUMMYFUNCTION("""COMPUTED_VALUE"""),"S144 unlocks S161")</f>
        <v>S144 unlocks S161</v>
      </c>
    </row>
    <row r="570">
      <c r="A570" s="7" t="str">
        <f>IFERROR(__xludf.DUMMYFUNCTION("""COMPUTED_VALUE"""),"PE0569")</f>
        <v>PE0569</v>
      </c>
      <c r="B570" s="7" t="str">
        <f>IFERROR(__xludf.DUMMYFUNCTION("""COMPUTED_VALUE"""),"S144")</f>
        <v>S144</v>
      </c>
      <c r="C570" s="7" t="str">
        <f>IFERROR(__xludf.DUMMYFUNCTION("""COMPUTED_VALUE"""),"Business Intelligence &amp; Dashboards (Tableau)")</f>
        <v>Business Intelligence &amp; Dashboards (Tableau)</v>
      </c>
      <c r="D570" s="7" t="str">
        <f>IFERROR(__xludf.DUMMYFUNCTION("""COMPUTED_VALUE"""),"S167")</f>
        <v>S167</v>
      </c>
      <c r="E570" s="7" t="str">
        <f>IFERROR(__xludf.DUMMYFUNCTION("""COMPUTED_VALUE"""),"AI Ethics, Bias Mitigation &amp; Explainable AI (SHAP, LIME)")</f>
        <v>AI Ethics, Bias Mitigation &amp; Explainable AI (SHAP, LIME)</v>
      </c>
      <c r="F570" s="7" t="str">
        <f>IFERROR(__xludf.DUMMYFUNCTION("""COMPUTED_VALUE"""),"S144 unlocks S167")</f>
        <v>S144 unlocks S167</v>
      </c>
    </row>
    <row r="571">
      <c r="A571" s="7" t="str">
        <f>IFERROR(__xludf.DUMMYFUNCTION("""COMPUTED_VALUE"""),"PE0570")</f>
        <v>PE0570</v>
      </c>
      <c r="B571" s="7" t="str">
        <f>IFERROR(__xludf.DUMMYFUNCTION("""COMPUTED_VALUE"""),"S145")</f>
        <v>S145</v>
      </c>
      <c r="C571" s="7" t="str">
        <f>IFERROR(__xludf.DUMMYFUNCTION("""COMPUTED_VALUE"""),"Business Intelligence &amp; DAX Modeling (Power BI)")</f>
        <v>Business Intelligence &amp; DAX Modeling (Power BI)</v>
      </c>
      <c r="D571" s="7" t="str">
        <f>IFERROR(__xludf.DUMMYFUNCTION("""COMPUTED_VALUE"""),"S137")</f>
        <v>S137</v>
      </c>
      <c r="E571" s="7" t="str">
        <f>IFERROR(__xludf.DUMMYFUNCTION("""COMPUTED_VALUE"""),"Inferential Statistics, Hypothesis Testing &amp; A/B Testing")</f>
        <v>Inferential Statistics, Hypothesis Testing &amp; A/B Testing</v>
      </c>
      <c r="F571" s="7" t="str">
        <f>IFERROR(__xludf.DUMMYFUNCTION("""COMPUTED_VALUE"""),"S145 unlocks S137")</f>
        <v>S145 unlocks S137</v>
      </c>
    </row>
    <row r="572">
      <c r="A572" s="7" t="str">
        <f>IFERROR(__xludf.DUMMYFUNCTION("""COMPUTED_VALUE"""),"PE0571")</f>
        <v>PE0571</v>
      </c>
      <c r="B572" s="7" t="str">
        <f>IFERROR(__xludf.DUMMYFUNCTION("""COMPUTED_VALUE"""),"S145")</f>
        <v>S145</v>
      </c>
      <c r="C572" s="7" t="str">
        <f>IFERROR(__xludf.DUMMYFUNCTION("""COMPUTED_VALUE"""),"Business Intelligence &amp; DAX Modeling (Power BI)")</f>
        <v>Business Intelligence &amp; DAX Modeling (Power BI)</v>
      </c>
      <c r="D572" s="7" t="str">
        <f>IFERROR(__xludf.DUMMYFUNCTION("""COMPUTED_VALUE"""),"S142")</f>
        <v>S142</v>
      </c>
      <c r="E572" s="7" t="str">
        <f>IFERROR(__xludf.DUMMYFUNCTION("""COMPUTED_VALUE"""),"Statistical Programming in R")</f>
        <v>Statistical Programming in R</v>
      </c>
      <c r="F572" s="7" t="str">
        <f>IFERROR(__xludf.DUMMYFUNCTION("""COMPUTED_VALUE"""),"S145 unlocks S142")</f>
        <v>S145 unlocks S142</v>
      </c>
    </row>
    <row r="573">
      <c r="A573" s="7" t="str">
        <f>IFERROR(__xludf.DUMMYFUNCTION("""COMPUTED_VALUE"""),"PE0572")</f>
        <v>PE0572</v>
      </c>
      <c r="B573" s="7" t="str">
        <f>IFERROR(__xludf.DUMMYFUNCTION("""COMPUTED_VALUE"""),"S145")</f>
        <v>S145</v>
      </c>
      <c r="C573" s="7" t="str">
        <f>IFERROR(__xludf.DUMMYFUNCTION("""COMPUTED_VALUE"""),"Business Intelligence &amp; DAX Modeling (Power BI)")</f>
        <v>Business Intelligence &amp; DAX Modeling (Power BI)</v>
      </c>
      <c r="D573" s="7" t="str">
        <f>IFERROR(__xludf.DUMMYFUNCTION("""COMPUTED_VALUE"""),"S147")</f>
        <v>S147</v>
      </c>
      <c r="E573" s="7" t="str">
        <f>IFERROR(__xludf.DUMMYFUNCTION("""COMPUTED_VALUE"""),"Feature Engineering, Selection &amp; Dimensionality Reduction (PCA)")</f>
        <v>Feature Engineering, Selection &amp; Dimensionality Reduction (PCA)</v>
      </c>
      <c r="F573" s="7" t="str">
        <f>IFERROR(__xludf.DUMMYFUNCTION("""COMPUTED_VALUE"""),"S145 unlocks S147")</f>
        <v>S145 unlocks S147</v>
      </c>
    </row>
    <row r="574">
      <c r="A574" s="7" t="str">
        <f>IFERROR(__xludf.DUMMYFUNCTION("""COMPUTED_VALUE"""),"PE0573")</f>
        <v>PE0573</v>
      </c>
      <c r="B574" s="7" t="str">
        <f>IFERROR(__xludf.DUMMYFUNCTION("""COMPUTED_VALUE"""),"S145")</f>
        <v>S145</v>
      </c>
      <c r="C574" s="7" t="str">
        <f>IFERROR(__xludf.DUMMYFUNCTION("""COMPUTED_VALUE"""),"Business Intelligence &amp; DAX Modeling (Power BI)")</f>
        <v>Business Intelligence &amp; DAX Modeling (Power BI)</v>
      </c>
      <c r="D574" s="7" t="str">
        <f>IFERROR(__xludf.DUMMYFUNCTION("""COMPUTED_VALUE"""),"S148")</f>
        <v>S148</v>
      </c>
      <c r="E574" s="7" t="str">
        <f>IFERROR(__xludf.DUMMYFUNCTION("""COMPUTED_VALUE"""),"Supervised Machine Learning (Regression, Classification, SVM)")</f>
        <v>Supervised Machine Learning (Regression, Classification, SVM)</v>
      </c>
      <c r="F574" s="7" t="str">
        <f>IFERROR(__xludf.DUMMYFUNCTION("""COMPUTED_VALUE"""),"S145 unlocks S148")</f>
        <v>S145 unlocks S148</v>
      </c>
    </row>
    <row r="575">
      <c r="A575" s="7" t="str">
        <f>IFERROR(__xludf.DUMMYFUNCTION("""COMPUTED_VALUE"""),"PE0574")</f>
        <v>PE0574</v>
      </c>
      <c r="B575" s="7" t="str">
        <f>IFERROR(__xludf.DUMMYFUNCTION("""COMPUTED_VALUE"""),"S145")</f>
        <v>S145</v>
      </c>
      <c r="C575" s="7" t="str">
        <f>IFERROR(__xludf.DUMMYFUNCTION("""COMPUTED_VALUE"""),"Business Intelligence &amp; DAX Modeling (Power BI)")</f>
        <v>Business Intelligence &amp; DAX Modeling (Power BI)</v>
      </c>
      <c r="D575" s="7" t="str">
        <f>IFERROR(__xludf.DUMMYFUNCTION("""COMPUTED_VALUE"""),"S149")</f>
        <v>S149</v>
      </c>
      <c r="E575" s="7" t="str">
        <f>IFERROR(__xludf.DUMMYFUNCTION("""COMPUTED_VALUE"""),"Ensemble Methods (Random Forests, XGBoost, LightGBM)")</f>
        <v>Ensemble Methods (Random Forests, XGBoost, LightGBM)</v>
      </c>
      <c r="F575" s="7" t="str">
        <f>IFERROR(__xludf.DUMMYFUNCTION("""COMPUTED_VALUE"""),"S145 unlocks S149")</f>
        <v>S145 unlocks S149</v>
      </c>
    </row>
    <row r="576">
      <c r="A576" s="7" t="str">
        <f>IFERROR(__xludf.DUMMYFUNCTION("""COMPUTED_VALUE"""),"PE0575")</f>
        <v>PE0575</v>
      </c>
      <c r="B576" s="7" t="str">
        <f>IFERROR(__xludf.DUMMYFUNCTION("""COMPUTED_VALUE"""),"S145")</f>
        <v>S145</v>
      </c>
      <c r="C576" s="7" t="str">
        <f>IFERROR(__xludf.DUMMYFUNCTION("""COMPUTED_VALUE"""),"Business Intelligence &amp; DAX Modeling (Power BI)")</f>
        <v>Business Intelligence &amp; DAX Modeling (Power BI)</v>
      </c>
      <c r="D576" s="7" t="str">
        <f>IFERROR(__xludf.DUMMYFUNCTION("""COMPUTED_VALUE"""),"S150")</f>
        <v>S150</v>
      </c>
      <c r="E576" s="7" t="str">
        <f>IFERROR(__xludf.DUMMYFUNCTION("""COMPUTED_VALUE"""),"Unsupervised Learning (K-Means, Hierarchical Clustering, Anomaly Detection)")</f>
        <v>Unsupervised Learning (K-Means, Hierarchical Clustering, Anomaly Detection)</v>
      </c>
      <c r="F576" s="7" t="str">
        <f>IFERROR(__xludf.DUMMYFUNCTION("""COMPUTED_VALUE"""),"S145 unlocks S150")</f>
        <v>S145 unlocks S150</v>
      </c>
    </row>
    <row r="577">
      <c r="A577" s="7" t="str">
        <f>IFERROR(__xludf.DUMMYFUNCTION("""COMPUTED_VALUE"""),"PE0576")</f>
        <v>PE0576</v>
      </c>
      <c r="B577" s="7" t="str">
        <f>IFERROR(__xludf.DUMMYFUNCTION("""COMPUTED_VALUE"""),"S145")</f>
        <v>S145</v>
      </c>
      <c r="C577" s="7" t="str">
        <f>IFERROR(__xludf.DUMMYFUNCTION("""COMPUTED_VALUE"""),"Business Intelligence &amp; DAX Modeling (Power BI)")</f>
        <v>Business Intelligence &amp; DAX Modeling (Power BI)</v>
      </c>
      <c r="D577" s="7" t="str">
        <f>IFERROR(__xludf.DUMMYFUNCTION("""COMPUTED_VALUE"""),"S151")</f>
        <v>S151</v>
      </c>
      <c r="E577" s="7" t="str">
        <f>IFERROR(__xludf.DUMMYFUNCTION("""COMPUTED_VALUE"""),"Model Evaluation Metrics, Cross-Validation &amp; Hyperparameter Tuning")</f>
        <v>Model Evaluation Metrics, Cross-Validation &amp; Hyperparameter Tuning</v>
      </c>
      <c r="F577" s="7" t="str">
        <f>IFERROR(__xludf.DUMMYFUNCTION("""COMPUTED_VALUE"""),"S145 unlocks S151")</f>
        <v>S145 unlocks S151</v>
      </c>
    </row>
    <row r="578">
      <c r="A578" s="7" t="str">
        <f>IFERROR(__xludf.DUMMYFUNCTION("""COMPUTED_VALUE"""),"PE0577")</f>
        <v>PE0577</v>
      </c>
      <c r="B578" s="7" t="str">
        <f>IFERROR(__xludf.DUMMYFUNCTION("""COMPUTED_VALUE"""),"S145")</f>
        <v>S145</v>
      </c>
      <c r="C578" s="7" t="str">
        <f>IFERROR(__xludf.DUMMYFUNCTION("""COMPUTED_VALUE"""),"Business Intelligence &amp; DAX Modeling (Power BI)")</f>
        <v>Business Intelligence &amp; DAX Modeling (Power BI)</v>
      </c>
      <c r="D578" s="7" t="str">
        <f>IFERROR(__xludf.DUMMYFUNCTION("""COMPUTED_VALUE"""),"S154")</f>
        <v>S154</v>
      </c>
      <c r="E578" s="7" t="str">
        <f>IFERROR(__xludf.DUMMYFUNCTION("""COMPUTED_VALUE"""),"Neural Networks &amp; Deep Learning Fundamentals")</f>
        <v>Neural Networks &amp; Deep Learning Fundamentals</v>
      </c>
      <c r="F578" s="7" t="str">
        <f>IFERROR(__xludf.DUMMYFUNCTION("""COMPUTED_VALUE"""),"S145 unlocks S154")</f>
        <v>S145 unlocks S154</v>
      </c>
    </row>
    <row r="579">
      <c r="A579" s="7" t="str">
        <f>IFERROR(__xludf.DUMMYFUNCTION("""COMPUTED_VALUE"""),"PE0578")</f>
        <v>PE0578</v>
      </c>
      <c r="B579" s="7" t="str">
        <f>IFERROR(__xludf.DUMMYFUNCTION("""COMPUTED_VALUE"""),"S145")</f>
        <v>S145</v>
      </c>
      <c r="C579" s="7" t="str">
        <f>IFERROR(__xludf.DUMMYFUNCTION("""COMPUTED_VALUE"""),"Business Intelligence &amp; DAX Modeling (Power BI)")</f>
        <v>Business Intelligence &amp; DAX Modeling (Power BI)</v>
      </c>
      <c r="D579" s="7" t="str">
        <f>IFERROR(__xludf.DUMMYFUNCTION("""COMPUTED_VALUE"""),"S157")</f>
        <v>S157</v>
      </c>
      <c r="E579" s="7" t="str">
        <f>IFERROR(__xludf.DUMMYFUNCTION("""COMPUTED_VALUE"""),"Natural Language Processing (Tokenization, Embeddings, SpaCy, NLTK)")</f>
        <v>Natural Language Processing (Tokenization, Embeddings, SpaCy, NLTK)</v>
      </c>
      <c r="F579" s="7" t="str">
        <f>IFERROR(__xludf.DUMMYFUNCTION("""COMPUTED_VALUE"""),"S145 unlocks S157")</f>
        <v>S145 unlocks S157</v>
      </c>
    </row>
    <row r="580">
      <c r="A580" s="7" t="str">
        <f>IFERROR(__xludf.DUMMYFUNCTION("""COMPUTED_VALUE"""),"PE0579")</f>
        <v>PE0579</v>
      </c>
      <c r="B580" s="7" t="str">
        <f>IFERROR(__xludf.DUMMYFUNCTION("""COMPUTED_VALUE"""),"S145")</f>
        <v>S145</v>
      </c>
      <c r="C580" s="7" t="str">
        <f>IFERROR(__xludf.DUMMYFUNCTION("""COMPUTED_VALUE"""),"Business Intelligence &amp; DAX Modeling (Power BI)")</f>
        <v>Business Intelligence &amp; DAX Modeling (Power BI)</v>
      </c>
      <c r="D580" s="7" t="str">
        <f>IFERROR(__xludf.DUMMYFUNCTION("""COMPUTED_VALUE"""),"S161")</f>
        <v>S161</v>
      </c>
      <c r="E580" s="7" t="str">
        <f>IFERROR(__xludf.DUMMYFUNCTION("""COMPUTED_VALUE"""),"Computer Vision &amp; Image Processing (OpenCV)")</f>
        <v>Computer Vision &amp; Image Processing (OpenCV)</v>
      </c>
      <c r="F580" s="7" t="str">
        <f>IFERROR(__xludf.DUMMYFUNCTION("""COMPUTED_VALUE"""),"S145 unlocks S161")</f>
        <v>S145 unlocks S161</v>
      </c>
    </row>
    <row r="581">
      <c r="A581" s="7" t="str">
        <f>IFERROR(__xludf.DUMMYFUNCTION("""COMPUTED_VALUE"""),"PE0580")</f>
        <v>PE0580</v>
      </c>
      <c r="B581" s="7" t="str">
        <f>IFERROR(__xludf.DUMMYFUNCTION("""COMPUTED_VALUE"""),"S145")</f>
        <v>S145</v>
      </c>
      <c r="C581" s="7" t="str">
        <f>IFERROR(__xludf.DUMMYFUNCTION("""COMPUTED_VALUE"""),"Business Intelligence &amp; DAX Modeling (Power BI)")</f>
        <v>Business Intelligence &amp; DAX Modeling (Power BI)</v>
      </c>
      <c r="D581" s="7" t="str">
        <f>IFERROR(__xludf.DUMMYFUNCTION("""COMPUTED_VALUE"""),"S167")</f>
        <v>S167</v>
      </c>
      <c r="E581" s="7" t="str">
        <f>IFERROR(__xludf.DUMMYFUNCTION("""COMPUTED_VALUE"""),"AI Ethics, Bias Mitigation &amp; Explainable AI (SHAP, LIME)")</f>
        <v>AI Ethics, Bias Mitigation &amp; Explainable AI (SHAP, LIME)</v>
      </c>
      <c r="F581" s="7" t="str">
        <f>IFERROR(__xludf.DUMMYFUNCTION("""COMPUTED_VALUE"""),"S145 unlocks S167")</f>
        <v>S145 unlocks S167</v>
      </c>
    </row>
    <row r="582">
      <c r="A582" s="7" t="str">
        <f>IFERROR(__xludf.DUMMYFUNCTION("""COMPUTED_VALUE"""),"PE0581")</f>
        <v>PE0581</v>
      </c>
      <c r="B582" s="7" t="str">
        <f>IFERROR(__xludf.DUMMYFUNCTION("""COMPUTED_VALUE"""),"S146")</f>
        <v>S146</v>
      </c>
      <c r="C582" s="7" t="str">
        <f>IFERROR(__xludf.DUMMYFUNCTION("""COMPUTED_VALUE"""),"Advanced Excel, Pivot Tables &amp; Financial Modeling")</f>
        <v>Advanced Excel, Pivot Tables &amp; Financial Modeling</v>
      </c>
      <c r="D582" s="7" t="str">
        <f>IFERROR(__xludf.DUMMYFUNCTION("""COMPUTED_VALUE"""),"S137")</f>
        <v>S137</v>
      </c>
      <c r="E582" s="7" t="str">
        <f>IFERROR(__xludf.DUMMYFUNCTION("""COMPUTED_VALUE"""),"Inferential Statistics, Hypothesis Testing &amp; A/B Testing")</f>
        <v>Inferential Statistics, Hypothesis Testing &amp; A/B Testing</v>
      </c>
      <c r="F582" s="7" t="str">
        <f>IFERROR(__xludf.DUMMYFUNCTION("""COMPUTED_VALUE"""),"S146 unlocks S137")</f>
        <v>S146 unlocks S137</v>
      </c>
    </row>
    <row r="583">
      <c r="A583" s="7" t="str">
        <f>IFERROR(__xludf.DUMMYFUNCTION("""COMPUTED_VALUE"""),"PE0582")</f>
        <v>PE0582</v>
      </c>
      <c r="B583" s="7" t="str">
        <f>IFERROR(__xludf.DUMMYFUNCTION("""COMPUTED_VALUE"""),"S146")</f>
        <v>S146</v>
      </c>
      <c r="C583" s="7" t="str">
        <f>IFERROR(__xludf.DUMMYFUNCTION("""COMPUTED_VALUE"""),"Advanced Excel, Pivot Tables &amp; Financial Modeling")</f>
        <v>Advanced Excel, Pivot Tables &amp; Financial Modeling</v>
      </c>
      <c r="D583" s="7" t="str">
        <f>IFERROR(__xludf.DUMMYFUNCTION("""COMPUTED_VALUE"""),"S142")</f>
        <v>S142</v>
      </c>
      <c r="E583" s="7" t="str">
        <f>IFERROR(__xludf.DUMMYFUNCTION("""COMPUTED_VALUE"""),"Statistical Programming in R")</f>
        <v>Statistical Programming in R</v>
      </c>
      <c r="F583" s="7" t="str">
        <f>IFERROR(__xludf.DUMMYFUNCTION("""COMPUTED_VALUE"""),"S146 unlocks S142")</f>
        <v>S146 unlocks S142</v>
      </c>
    </row>
    <row r="584">
      <c r="A584" s="7" t="str">
        <f>IFERROR(__xludf.DUMMYFUNCTION("""COMPUTED_VALUE"""),"PE0583")</f>
        <v>PE0583</v>
      </c>
      <c r="B584" s="7" t="str">
        <f>IFERROR(__xludf.DUMMYFUNCTION("""COMPUTED_VALUE"""),"S146")</f>
        <v>S146</v>
      </c>
      <c r="C584" s="7" t="str">
        <f>IFERROR(__xludf.DUMMYFUNCTION("""COMPUTED_VALUE"""),"Advanced Excel, Pivot Tables &amp; Financial Modeling")</f>
        <v>Advanced Excel, Pivot Tables &amp; Financial Modeling</v>
      </c>
      <c r="D584" s="7" t="str">
        <f>IFERROR(__xludf.DUMMYFUNCTION("""COMPUTED_VALUE"""),"S147")</f>
        <v>S147</v>
      </c>
      <c r="E584" s="7" t="str">
        <f>IFERROR(__xludf.DUMMYFUNCTION("""COMPUTED_VALUE"""),"Feature Engineering, Selection &amp; Dimensionality Reduction (PCA)")</f>
        <v>Feature Engineering, Selection &amp; Dimensionality Reduction (PCA)</v>
      </c>
      <c r="F584" s="7" t="str">
        <f>IFERROR(__xludf.DUMMYFUNCTION("""COMPUTED_VALUE"""),"S146 unlocks S147")</f>
        <v>S146 unlocks S147</v>
      </c>
    </row>
    <row r="585">
      <c r="A585" s="7" t="str">
        <f>IFERROR(__xludf.DUMMYFUNCTION("""COMPUTED_VALUE"""),"PE0584")</f>
        <v>PE0584</v>
      </c>
      <c r="B585" s="7" t="str">
        <f>IFERROR(__xludf.DUMMYFUNCTION("""COMPUTED_VALUE"""),"S146")</f>
        <v>S146</v>
      </c>
      <c r="C585" s="7" t="str">
        <f>IFERROR(__xludf.DUMMYFUNCTION("""COMPUTED_VALUE"""),"Advanced Excel, Pivot Tables &amp; Financial Modeling")</f>
        <v>Advanced Excel, Pivot Tables &amp; Financial Modeling</v>
      </c>
      <c r="D585" s="7" t="str">
        <f>IFERROR(__xludf.DUMMYFUNCTION("""COMPUTED_VALUE"""),"S148")</f>
        <v>S148</v>
      </c>
      <c r="E585" s="7" t="str">
        <f>IFERROR(__xludf.DUMMYFUNCTION("""COMPUTED_VALUE"""),"Supervised Machine Learning (Regression, Classification, SVM)")</f>
        <v>Supervised Machine Learning (Regression, Classification, SVM)</v>
      </c>
      <c r="F585" s="7" t="str">
        <f>IFERROR(__xludf.DUMMYFUNCTION("""COMPUTED_VALUE"""),"S146 unlocks S148")</f>
        <v>S146 unlocks S148</v>
      </c>
    </row>
    <row r="586">
      <c r="A586" s="7" t="str">
        <f>IFERROR(__xludf.DUMMYFUNCTION("""COMPUTED_VALUE"""),"PE0585")</f>
        <v>PE0585</v>
      </c>
      <c r="B586" s="7" t="str">
        <f>IFERROR(__xludf.DUMMYFUNCTION("""COMPUTED_VALUE"""),"S146")</f>
        <v>S146</v>
      </c>
      <c r="C586" s="7" t="str">
        <f>IFERROR(__xludf.DUMMYFUNCTION("""COMPUTED_VALUE"""),"Advanced Excel, Pivot Tables &amp; Financial Modeling")</f>
        <v>Advanced Excel, Pivot Tables &amp; Financial Modeling</v>
      </c>
      <c r="D586" s="7" t="str">
        <f>IFERROR(__xludf.DUMMYFUNCTION("""COMPUTED_VALUE"""),"S149")</f>
        <v>S149</v>
      </c>
      <c r="E586" s="7" t="str">
        <f>IFERROR(__xludf.DUMMYFUNCTION("""COMPUTED_VALUE"""),"Ensemble Methods (Random Forests, XGBoost, LightGBM)")</f>
        <v>Ensemble Methods (Random Forests, XGBoost, LightGBM)</v>
      </c>
      <c r="F586" s="7" t="str">
        <f>IFERROR(__xludf.DUMMYFUNCTION("""COMPUTED_VALUE"""),"S146 unlocks S149")</f>
        <v>S146 unlocks S149</v>
      </c>
    </row>
    <row r="587">
      <c r="A587" s="7" t="str">
        <f>IFERROR(__xludf.DUMMYFUNCTION("""COMPUTED_VALUE"""),"PE0586")</f>
        <v>PE0586</v>
      </c>
      <c r="B587" s="7" t="str">
        <f>IFERROR(__xludf.DUMMYFUNCTION("""COMPUTED_VALUE"""),"S146")</f>
        <v>S146</v>
      </c>
      <c r="C587" s="7" t="str">
        <f>IFERROR(__xludf.DUMMYFUNCTION("""COMPUTED_VALUE"""),"Advanced Excel, Pivot Tables &amp; Financial Modeling")</f>
        <v>Advanced Excel, Pivot Tables &amp; Financial Modeling</v>
      </c>
      <c r="D587" s="7" t="str">
        <f>IFERROR(__xludf.DUMMYFUNCTION("""COMPUTED_VALUE"""),"S150")</f>
        <v>S150</v>
      </c>
      <c r="E587" s="7" t="str">
        <f>IFERROR(__xludf.DUMMYFUNCTION("""COMPUTED_VALUE"""),"Unsupervised Learning (K-Means, Hierarchical Clustering, Anomaly Detection)")</f>
        <v>Unsupervised Learning (K-Means, Hierarchical Clustering, Anomaly Detection)</v>
      </c>
      <c r="F587" s="7" t="str">
        <f>IFERROR(__xludf.DUMMYFUNCTION("""COMPUTED_VALUE"""),"S146 unlocks S150")</f>
        <v>S146 unlocks S150</v>
      </c>
    </row>
    <row r="588">
      <c r="A588" s="7" t="str">
        <f>IFERROR(__xludf.DUMMYFUNCTION("""COMPUTED_VALUE"""),"PE0587")</f>
        <v>PE0587</v>
      </c>
      <c r="B588" s="7" t="str">
        <f>IFERROR(__xludf.DUMMYFUNCTION("""COMPUTED_VALUE"""),"S146")</f>
        <v>S146</v>
      </c>
      <c r="C588" s="7" t="str">
        <f>IFERROR(__xludf.DUMMYFUNCTION("""COMPUTED_VALUE"""),"Advanced Excel, Pivot Tables &amp; Financial Modeling")</f>
        <v>Advanced Excel, Pivot Tables &amp; Financial Modeling</v>
      </c>
      <c r="D588" s="7" t="str">
        <f>IFERROR(__xludf.DUMMYFUNCTION("""COMPUTED_VALUE"""),"S151")</f>
        <v>S151</v>
      </c>
      <c r="E588" s="7" t="str">
        <f>IFERROR(__xludf.DUMMYFUNCTION("""COMPUTED_VALUE"""),"Model Evaluation Metrics, Cross-Validation &amp; Hyperparameter Tuning")</f>
        <v>Model Evaluation Metrics, Cross-Validation &amp; Hyperparameter Tuning</v>
      </c>
      <c r="F588" s="7" t="str">
        <f>IFERROR(__xludf.DUMMYFUNCTION("""COMPUTED_VALUE"""),"S146 unlocks S151")</f>
        <v>S146 unlocks S151</v>
      </c>
    </row>
    <row r="589">
      <c r="A589" s="7" t="str">
        <f>IFERROR(__xludf.DUMMYFUNCTION("""COMPUTED_VALUE"""),"PE0588")</f>
        <v>PE0588</v>
      </c>
      <c r="B589" s="7" t="str">
        <f>IFERROR(__xludf.DUMMYFUNCTION("""COMPUTED_VALUE"""),"S146")</f>
        <v>S146</v>
      </c>
      <c r="C589" s="7" t="str">
        <f>IFERROR(__xludf.DUMMYFUNCTION("""COMPUTED_VALUE"""),"Advanced Excel, Pivot Tables &amp; Financial Modeling")</f>
        <v>Advanced Excel, Pivot Tables &amp; Financial Modeling</v>
      </c>
      <c r="D589" s="7" t="str">
        <f>IFERROR(__xludf.DUMMYFUNCTION("""COMPUTED_VALUE"""),"S154")</f>
        <v>S154</v>
      </c>
      <c r="E589" s="7" t="str">
        <f>IFERROR(__xludf.DUMMYFUNCTION("""COMPUTED_VALUE"""),"Neural Networks &amp; Deep Learning Fundamentals")</f>
        <v>Neural Networks &amp; Deep Learning Fundamentals</v>
      </c>
      <c r="F589" s="7" t="str">
        <f>IFERROR(__xludf.DUMMYFUNCTION("""COMPUTED_VALUE"""),"S146 unlocks S154")</f>
        <v>S146 unlocks S154</v>
      </c>
    </row>
    <row r="590">
      <c r="A590" s="7" t="str">
        <f>IFERROR(__xludf.DUMMYFUNCTION("""COMPUTED_VALUE"""),"PE0589")</f>
        <v>PE0589</v>
      </c>
      <c r="B590" s="7" t="str">
        <f>IFERROR(__xludf.DUMMYFUNCTION("""COMPUTED_VALUE"""),"S146")</f>
        <v>S146</v>
      </c>
      <c r="C590" s="7" t="str">
        <f>IFERROR(__xludf.DUMMYFUNCTION("""COMPUTED_VALUE"""),"Advanced Excel, Pivot Tables &amp; Financial Modeling")</f>
        <v>Advanced Excel, Pivot Tables &amp; Financial Modeling</v>
      </c>
      <c r="D590" s="7" t="str">
        <f>IFERROR(__xludf.DUMMYFUNCTION("""COMPUTED_VALUE"""),"S157")</f>
        <v>S157</v>
      </c>
      <c r="E590" s="7" t="str">
        <f>IFERROR(__xludf.DUMMYFUNCTION("""COMPUTED_VALUE"""),"Natural Language Processing (Tokenization, Embeddings, SpaCy, NLTK)")</f>
        <v>Natural Language Processing (Tokenization, Embeddings, SpaCy, NLTK)</v>
      </c>
      <c r="F590" s="7" t="str">
        <f>IFERROR(__xludf.DUMMYFUNCTION("""COMPUTED_VALUE"""),"S146 unlocks S157")</f>
        <v>S146 unlocks S157</v>
      </c>
    </row>
    <row r="591">
      <c r="A591" s="7" t="str">
        <f>IFERROR(__xludf.DUMMYFUNCTION("""COMPUTED_VALUE"""),"PE0590")</f>
        <v>PE0590</v>
      </c>
      <c r="B591" s="7" t="str">
        <f>IFERROR(__xludf.DUMMYFUNCTION("""COMPUTED_VALUE"""),"S146")</f>
        <v>S146</v>
      </c>
      <c r="C591" s="7" t="str">
        <f>IFERROR(__xludf.DUMMYFUNCTION("""COMPUTED_VALUE"""),"Advanced Excel, Pivot Tables &amp; Financial Modeling")</f>
        <v>Advanced Excel, Pivot Tables &amp; Financial Modeling</v>
      </c>
      <c r="D591" s="7" t="str">
        <f>IFERROR(__xludf.DUMMYFUNCTION("""COMPUTED_VALUE"""),"S161")</f>
        <v>S161</v>
      </c>
      <c r="E591" s="7" t="str">
        <f>IFERROR(__xludf.DUMMYFUNCTION("""COMPUTED_VALUE"""),"Computer Vision &amp; Image Processing (OpenCV)")</f>
        <v>Computer Vision &amp; Image Processing (OpenCV)</v>
      </c>
      <c r="F591" s="7" t="str">
        <f>IFERROR(__xludf.DUMMYFUNCTION("""COMPUTED_VALUE"""),"S146 unlocks S161")</f>
        <v>S146 unlocks S161</v>
      </c>
    </row>
    <row r="592">
      <c r="A592" s="7" t="str">
        <f>IFERROR(__xludf.DUMMYFUNCTION("""COMPUTED_VALUE"""),"PE0591")</f>
        <v>PE0591</v>
      </c>
      <c r="B592" s="7" t="str">
        <f>IFERROR(__xludf.DUMMYFUNCTION("""COMPUTED_VALUE"""),"S146")</f>
        <v>S146</v>
      </c>
      <c r="C592" s="7" t="str">
        <f>IFERROR(__xludf.DUMMYFUNCTION("""COMPUTED_VALUE"""),"Advanced Excel, Pivot Tables &amp; Financial Modeling")</f>
        <v>Advanced Excel, Pivot Tables &amp; Financial Modeling</v>
      </c>
      <c r="D592" s="7" t="str">
        <f>IFERROR(__xludf.DUMMYFUNCTION("""COMPUTED_VALUE"""),"S167")</f>
        <v>S167</v>
      </c>
      <c r="E592" s="7" t="str">
        <f>IFERROR(__xludf.DUMMYFUNCTION("""COMPUTED_VALUE"""),"AI Ethics, Bias Mitigation &amp; Explainable AI (SHAP, LIME)")</f>
        <v>AI Ethics, Bias Mitigation &amp; Explainable AI (SHAP, LIME)</v>
      </c>
      <c r="F592" s="7" t="str">
        <f>IFERROR(__xludf.DUMMYFUNCTION("""COMPUTED_VALUE"""),"S146 unlocks S167")</f>
        <v>S146 unlocks S167</v>
      </c>
    </row>
    <row r="593">
      <c r="A593" s="7" t="str">
        <f>IFERROR(__xludf.DUMMYFUNCTION("""COMPUTED_VALUE"""),"PE0592")</f>
        <v>PE0592</v>
      </c>
      <c r="B593" s="7" t="str">
        <f>IFERROR(__xludf.DUMMYFUNCTION("""COMPUTED_VALUE"""),"S171")</f>
        <v>S171</v>
      </c>
      <c r="C593" s="7" t="str">
        <f>IFERROR(__xludf.DUMMYFUNCTION("""COMPUTED_VALUE"""),"Containerization with Docker")</f>
        <v>Containerization with Docker</v>
      </c>
      <c r="D593" s="7" t="str">
        <f>IFERROR(__xludf.DUMMYFUNCTION("""COMPUTED_VALUE"""),"S173")</f>
        <v>S173</v>
      </c>
      <c r="E593" s="7" t="str">
        <f>IFERROR(__xludf.DUMMYFUNCTION("""COMPUTED_VALUE"""),"Kubernetes Package Management (Helm &amp; Kustomize)")</f>
        <v>Kubernetes Package Management (Helm &amp; Kustomize)</v>
      </c>
      <c r="F593" s="7" t="str">
        <f>IFERROR(__xludf.DUMMYFUNCTION("""COMPUTED_VALUE"""),"S171 unlocks S173")</f>
        <v>S171 unlocks S173</v>
      </c>
    </row>
    <row r="594">
      <c r="A594" s="7" t="str">
        <f>IFERROR(__xludf.DUMMYFUNCTION("""COMPUTED_VALUE"""),"PE0593")</f>
        <v>PE0593</v>
      </c>
      <c r="B594" s="7" t="str">
        <f>IFERROR(__xludf.DUMMYFUNCTION("""COMPUTED_VALUE"""),"S171")</f>
        <v>S171</v>
      </c>
      <c r="C594" s="7" t="str">
        <f>IFERROR(__xludf.DUMMYFUNCTION("""COMPUTED_VALUE"""),"Containerization with Docker")</f>
        <v>Containerization with Docker</v>
      </c>
      <c r="D594" s="7" t="str">
        <f>IFERROR(__xludf.DUMMYFUNCTION("""COMPUTED_VALUE"""),"S174")</f>
        <v>S174</v>
      </c>
      <c r="E594" s="7" t="str">
        <f>IFERROR(__xludf.DUMMYFUNCTION("""COMPUTED_VALUE"""),"Amazon Web Services Core (EC2, S3, RDS, IAM, VPC)")</f>
        <v>Amazon Web Services Core (EC2, S3, RDS, IAM, VPC)</v>
      </c>
      <c r="F594" s="7" t="str">
        <f>IFERROR(__xludf.DUMMYFUNCTION("""COMPUTED_VALUE"""),"S171 unlocks S174")</f>
        <v>S171 unlocks S174</v>
      </c>
    </row>
    <row r="595">
      <c r="A595" s="7" t="str">
        <f>IFERROR(__xludf.DUMMYFUNCTION("""COMPUTED_VALUE"""),"PE0594")</f>
        <v>PE0594</v>
      </c>
      <c r="B595" s="7" t="str">
        <f>IFERROR(__xludf.DUMMYFUNCTION("""COMPUTED_VALUE"""),"S171")</f>
        <v>S171</v>
      </c>
      <c r="C595" s="7" t="str">
        <f>IFERROR(__xludf.DUMMYFUNCTION("""COMPUTED_VALUE"""),"Containerization with Docker")</f>
        <v>Containerization with Docker</v>
      </c>
      <c r="D595" s="7" t="str">
        <f>IFERROR(__xludf.DUMMYFUNCTION("""COMPUTED_VALUE"""),"S175")</f>
        <v>S175</v>
      </c>
      <c r="E595" s="7" t="str">
        <f>IFERROR(__xludf.DUMMYFUNCTION("""COMPUTED_VALUE"""),"Microsoft Azure Cloud Services")</f>
        <v>Microsoft Azure Cloud Services</v>
      </c>
      <c r="F595" s="7" t="str">
        <f>IFERROR(__xludf.DUMMYFUNCTION("""COMPUTED_VALUE"""),"S171 unlocks S175")</f>
        <v>S171 unlocks S175</v>
      </c>
    </row>
    <row r="596">
      <c r="A596" s="7" t="str">
        <f>IFERROR(__xludf.DUMMYFUNCTION("""COMPUTED_VALUE"""),"PE0595")</f>
        <v>PE0595</v>
      </c>
      <c r="B596" s="7" t="str">
        <f>IFERROR(__xludf.DUMMYFUNCTION("""COMPUTED_VALUE"""),"S171")</f>
        <v>S171</v>
      </c>
      <c r="C596" s="7" t="str">
        <f>IFERROR(__xludf.DUMMYFUNCTION("""COMPUTED_VALUE"""),"Containerization with Docker")</f>
        <v>Containerization with Docker</v>
      </c>
      <c r="D596" s="7" t="str">
        <f>IFERROR(__xludf.DUMMYFUNCTION("""COMPUTED_VALUE"""),"S176")</f>
        <v>S176</v>
      </c>
      <c r="E596" s="7" t="str">
        <f>IFERROR(__xludf.DUMMYFUNCTION("""COMPUTED_VALUE"""),"Google Cloud Platform (GCP) Services")</f>
        <v>Google Cloud Platform (GCP) Services</v>
      </c>
      <c r="F596" s="7" t="str">
        <f>IFERROR(__xludf.DUMMYFUNCTION("""COMPUTED_VALUE"""),"S171 unlocks S176")</f>
        <v>S171 unlocks S176</v>
      </c>
    </row>
    <row r="597">
      <c r="A597" s="7" t="str">
        <f>IFERROR(__xludf.DUMMYFUNCTION("""COMPUTED_VALUE"""),"PE0596")</f>
        <v>PE0596</v>
      </c>
      <c r="B597" s="7" t="str">
        <f>IFERROR(__xludf.DUMMYFUNCTION("""COMPUTED_VALUE"""),"S171")</f>
        <v>S171</v>
      </c>
      <c r="C597" s="7" t="str">
        <f>IFERROR(__xludf.DUMMYFUNCTION("""COMPUTED_VALUE"""),"Containerization with Docker")</f>
        <v>Containerization with Docker</v>
      </c>
      <c r="D597" s="7" t="str">
        <f>IFERROR(__xludf.DUMMYFUNCTION("""COMPUTED_VALUE"""),"S177")</f>
        <v>S177</v>
      </c>
      <c r="E597" s="7" t="str">
        <f>IFERROR(__xludf.DUMMYFUNCTION("""COMPUTED_VALUE"""),"Serverless Computing (AWS Lambda, Cloud Functions)")</f>
        <v>Serverless Computing (AWS Lambda, Cloud Functions)</v>
      </c>
      <c r="F597" s="7" t="str">
        <f>IFERROR(__xludf.DUMMYFUNCTION("""COMPUTED_VALUE"""),"S171 unlocks S177")</f>
        <v>S171 unlocks S177</v>
      </c>
    </row>
    <row r="598">
      <c r="A598" s="7" t="str">
        <f>IFERROR(__xludf.DUMMYFUNCTION("""COMPUTED_VALUE"""),"PE0597")</f>
        <v>PE0597</v>
      </c>
      <c r="B598" s="7" t="str">
        <f>IFERROR(__xludf.DUMMYFUNCTION("""COMPUTED_VALUE"""),"S171")</f>
        <v>S171</v>
      </c>
      <c r="C598" s="7" t="str">
        <f>IFERROR(__xludf.DUMMYFUNCTION("""COMPUTED_VALUE"""),"Containerization with Docker")</f>
        <v>Containerization with Docker</v>
      </c>
      <c r="D598" s="7" t="str">
        <f>IFERROR(__xludf.DUMMYFUNCTION("""COMPUTED_VALUE"""),"S179")</f>
        <v>S179</v>
      </c>
      <c r="E598" s="7" t="str">
        <f>IFERROR(__xludf.DUMMYFUNCTION("""COMPUTED_VALUE"""),"Configuration Management (Ansible, Chef, Puppet)")</f>
        <v>Configuration Management (Ansible, Chef, Puppet)</v>
      </c>
      <c r="F598" s="7" t="str">
        <f>IFERROR(__xludf.DUMMYFUNCTION("""COMPUTED_VALUE"""),"S171 unlocks S179")</f>
        <v>S171 unlocks S179</v>
      </c>
    </row>
    <row r="599">
      <c r="A599" s="7" t="str">
        <f>IFERROR(__xludf.DUMMYFUNCTION("""COMPUTED_VALUE"""),"PE0598")</f>
        <v>PE0598</v>
      </c>
      <c r="B599" s="7" t="str">
        <f>IFERROR(__xludf.DUMMYFUNCTION("""COMPUTED_VALUE"""),"S171")</f>
        <v>S171</v>
      </c>
      <c r="C599" s="7" t="str">
        <f>IFERROR(__xludf.DUMMYFUNCTION("""COMPUTED_VALUE"""),"Containerization with Docker")</f>
        <v>Containerization with Docker</v>
      </c>
      <c r="D599" s="7" t="str">
        <f>IFERROR(__xludf.DUMMYFUNCTION("""COMPUTED_VALUE"""),"S181")</f>
        <v>S181</v>
      </c>
      <c r="E599" s="7" t="str">
        <f>IFERROR(__xludf.DUMMYFUNCTION("""COMPUTED_VALUE"""),"CI/CD Automation with GitLab CI &amp; Jenkins")</f>
        <v>CI/CD Automation with GitLab CI &amp; Jenkins</v>
      </c>
      <c r="F599" s="7" t="str">
        <f>IFERROR(__xludf.DUMMYFUNCTION("""COMPUTED_VALUE"""),"S171 unlocks S181")</f>
        <v>S171 unlocks S181</v>
      </c>
    </row>
    <row r="600">
      <c r="A600" s="7" t="str">
        <f>IFERROR(__xludf.DUMMYFUNCTION("""COMPUTED_VALUE"""),"PE0599")</f>
        <v>PE0599</v>
      </c>
      <c r="B600" s="7" t="str">
        <f>IFERROR(__xludf.DUMMYFUNCTION("""COMPUTED_VALUE"""),"S171")</f>
        <v>S171</v>
      </c>
      <c r="C600" s="7" t="str">
        <f>IFERROR(__xludf.DUMMYFUNCTION("""COMPUTED_VALUE"""),"Containerization with Docker")</f>
        <v>Containerization with Docker</v>
      </c>
      <c r="D600" s="7" t="str">
        <f>IFERROR(__xludf.DUMMYFUNCTION("""COMPUTED_VALUE"""),"S183")</f>
        <v>S183</v>
      </c>
      <c r="E600" s="7" t="str">
        <f>IFERROR(__xludf.DUMMYFUNCTION("""COMPUTED_VALUE"""),"Web Servers, Reverse Proxy &amp; Load Balancing (Nginx, HAProxy)")</f>
        <v>Web Servers, Reverse Proxy &amp; Load Balancing (Nginx, HAProxy)</v>
      </c>
      <c r="F600" s="7" t="str">
        <f>IFERROR(__xludf.DUMMYFUNCTION("""COMPUTED_VALUE"""),"S171 unlocks S183")</f>
        <v>S171 unlocks S183</v>
      </c>
    </row>
    <row r="601">
      <c r="A601" s="7" t="str">
        <f>IFERROR(__xludf.DUMMYFUNCTION("""COMPUTED_VALUE"""),"PE0600")</f>
        <v>PE0600</v>
      </c>
      <c r="B601" s="7" t="str">
        <f>IFERROR(__xludf.DUMMYFUNCTION("""COMPUTED_VALUE"""),"S171")</f>
        <v>S171</v>
      </c>
      <c r="C601" s="7" t="str">
        <f>IFERROR(__xludf.DUMMYFUNCTION("""COMPUTED_VALUE"""),"Containerization with Docker")</f>
        <v>Containerization with Docker</v>
      </c>
      <c r="D601" s="7" t="str">
        <f>IFERROR(__xludf.DUMMYFUNCTION("""COMPUTED_VALUE"""),"S184")</f>
        <v>S184</v>
      </c>
      <c r="E601" s="7" t="str">
        <f>IFERROR(__xludf.DUMMYFUNCTION("""COMPUTED_VALUE"""),"Infrastructure &amp; Metrics Monitoring (Prometheus &amp; Grafana)")</f>
        <v>Infrastructure &amp; Metrics Monitoring (Prometheus &amp; Grafana)</v>
      </c>
      <c r="F601" s="7" t="str">
        <f>IFERROR(__xludf.DUMMYFUNCTION("""COMPUTED_VALUE"""),"S171 unlocks S184")</f>
        <v>S171 unlocks S184</v>
      </c>
    </row>
    <row r="602">
      <c r="A602" s="7" t="str">
        <f>IFERROR(__xludf.DUMMYFUNCTION("""COMPUTED_VALUE"""),"PE0601")</f>
        <v>PE0601</v>
      </c>
      <c r="B602" s="7" t="str">
        <f>IFERROR(__xludf.DUMMYFUNCTION("""COMPUTED_VALUE"""),"S171")</f>
        <v>S171</v>
      </c>
      <c r="C602" s="7" t="str">
        <f>IFERROR(__xludf.DUMMYFUNCTION("""COMPUTED_VALUE"""),"Containerization with Docker")</f>
        <v>Containerization with Docker</v>
      </c>
      <c r="D602" s="7" t="str">
        <f>IFERROR(__xludf.DUMMYFUNCTION("""COMPUTED_VALUE"""),"S189")</f>
        <v>S189</v>
      </c>
      <c r="E602" s="7" t="str">
        <f>IFERROR(__xludf.DUMMYFUNCTION("""COMPUTED_VALUE"""),"Cloud FinOps &amp; Cost Optimization")</f>
        <v>Cloud FinOps &amp; Cost Optimization</v>
      </c>
      <c r="F602" s="7" t="str">
        <f>IFERROR(__xludf.DUMMYFUNCTION("""COMPUTED_VALUE"""),"S171 unlocks S189")</f>
        <v>S171 unlocks S189</v>
      </c>
    </row>
    <row r="603">
      <c r="A603" s="7" t="str">
        <f>IFERROR(__xludf.DUMMYFUNCTION("""COMPUTED_VALUE"""),"PE0602")</f>
        <v>PE0602</v>
      </c>
      <c r="B603" s="7" t="str">
        <f>IFERROR(__xludf.DUMMYFUNCTION("""COMPUTED_VALUE"""),"S171")</f>
        <v>S171</v>
      </c>
      <c r="C603" s="7" t="str">
        <f>IFERROR(__xludf.DUMMYFUNCTION("""COMPUTED_VALUE"""),"Containerization with Docker")</f>
        <v>Containerization with Docker</v>
      </c>
      <c r="D603" s="7" t="str">
        <f>IFERROR(__xludf.DUMMYFUNCTION("""COMPUTED_VALUE"""),"S191")</f>
        <v>S191</v>
      </c>
      <c r="E603" s="7" t="str">
        <f>IFERROR(__xludf.DUMMYFUNCTION("""COMPUTED_VALUE"""),"Enterprise Linux System Administration (RHEL, Ubuntu, systemd)")</f>
        <v>Enterprise Linux System Administration (RHEL, Ubuntu, systemd)</v>
      </c>
      <c r="F603" s="7" t="str">
        <f>IFERROR(__xludf.DUMMYFUNCTION("""COMPUTED_VALUE"""),"S171 unlocks S191")</f>
        <v>S171 unlocks S191</v>
      </c>
    </row>
    <row r="604">
      <c r="A604" s="7" t="str">
        <f>IFERROR(__xludf.DUMMYFUNCTION("""COMPUTED_VALUE"""),"PE0603")</f>
        <v>PE0603</v>
      </c>
      <c r="B604" s="7" t="str">
        <f>IFERROR(__xludf.DUMMYFUNCTION("""COMPUTED_VALUE"""),"S171")</f>
        <v>S171</v>
      </c>
      <c r="C604" s="7" t="str">
        <f>IFERROR(__xludf.DUMMYFUNCTION("""COMPUTED_VALUE"""),"Containerization with Docker")</f>
        <v>Containerization with Docker</v>
      </c>
      <c r="D604" s="7" t="str">
        <f>IFERROR(__xludf.DUMMYFUNCTION("""COMPUTED_VALUE"""),"S192")</f>
        <v>S192</v>
      </c>
      <c r="E604" s="7" t="str">
        <f>IFERROR(__xludf.DUMMYFUNCTION("""COMPUTED_VALUE"""),"Windows Server &amp; Active Directory Administration")</f>
        <v>Windows Server &amp; Active Directory Administration</v>
      </c>
      <c r="F604" s="7" t="str">
        <f>IFERROR(__xludf.DUMMYFUNCTION("""COMPUTED_VALUE"""),"S171 unlocks S192")</f>
        <v>S171 unlocks S192</v>
      </c>
    </row>
    <row r="605">
      <c r="A605" s="7" t="str">
        <f>IFERROR(__xludf.DUMMYFUNCTION("""COMPUTED_VALUE"""),"PE0604")</f>
        <v>PE0604</v>
      </c>
      <c r="B605" s="7" t="str">
        <f>IFERROR(__xludf.DUMMYFUNCTION("""COMPUTED_VALUE"""),"S171")</f>
        <v>S171</v>
      </c>
      <c r="C605" s="7" t="str">
        <f>IFERROR(__xludf.DUMMYFUNCTION("""COMPUTED_VALUE"""),"Containerization with Docker")</f>
        <v>Containerization with Docker</v>
      </c>
      <c r="D605" s="7" t="str">
        <f>IFERROR(__xludf.DUMMYFUNCTION("""COMPUTED_VALUE"""),"S193")</f>
        <v>S193</v>
      </c>
      <c r="E605" s="7" t="str">
        <f>IFERROR(__xludf.DUMMYFUNCTION("""COMPUTED_VALUE"""),"Virtualization &amp; Hypervisors (VMware vSphere, Proxmox, KVM)")</f>
        <v>Virtualization &amp; Hypervisors (VMware vSphere, Proxmox, KVM)</v>
      </c>
      <c r="F605" s="7" t="str">
        <f>IFERROR(__xludf.DUMMYFUNCTION("""COMPUTED_VALUE"""),"S171 unlocks S193")</f>
        <v>S171 unlocks S193</v>
      </c>
    </row>
    <row r="606">
      <c r="A606" s="7" t="str">
        <f>IFERROR(__xludf.DUMMYFUNCTION("""COMPUTED_VALUE"""),"PE0605")</f>
        <v>PE0605</v>
      </c>
      <c r="B606" s="7" t="str">
        <f>IFERROR(__xludf.DUMMYFUNCTION("""COMPUTED_VALUE"""),"S180")</f>
        <v>S180</v>
      </c>
      <c r="C606" s="7" t="str">
        <f>IFERROR(__xludf.DUMMYFUNCTION("""COMPUTED_VALUE"""),"CI/CD Pipelines with GitHub Actions")</f>
        <v>CI/CD Pipelines with GitHub Actions</v>
      </c>
      <c r="D606" s="7" t="str">
        <f>IFERROR(__xludf.DUMMYFUNCTION("""COMPUTED_VALUE"""),"S173")</f>
        <v>S173</v>
      </c>
      <c r="E606" s="7" t="str">
        <f>IFERROR(__xludf.DUMMYFUNCTION("""COMPUTED_VALUE"""),"Kubernetes Package Management (Helm &amp; Kustomize)")</f>
        <v>Kubernetes Package Management (Helm &amp; Kustomize)</v>
      </c>
      <c r="F606" s="7" t="str">
        <f>IFERROR(__xludf.DUMMYFUNCTION("""COMPUTED_VALUE"""),"S180 unlocks S173")</f>
        <v>S180 unlocks S173</v>
      </c>
    </row>
    <row r="607">
      <c r="A607" s="7" t="str">
        <f>IFERROR(__xludf.DUMMYFUNCTION("""COMPUTED_VALUE"""),"PE0606")</f>
        <v>PE0606</v>
      </c>
      <c r="B607" s="7" t="str">
        <f>IFERROR(__xludf.DUMMYFUNCTION("""COMPUTED_VALUE"""),"S180")</f>
        <v>S180</v>
      </c>
      <c r="C607" s="7" t="str">
        <f>IFERROR(__xludf.DUMMYFUNCTION("""COMPUTED_VALUE"""),"CI/CD Pipelines with GitHub Actions")</f>
        <v>CI/CD Pipelines with GitHub Actions</v>
      </c>
      <c r="D607" s="7" t="str">
        <f>IFERROR(__xludf.DUMMYFUNCTION("""COMPUTED_VALUE"""),"S174")</f>
        <v>S174</v>
      </c>
      <c r="E607" s="7" t="str">
        <f>IFERROR(__xludf.DUMMYFUNCTION("""COMPUTED_VALUE"""),"Amazon Web Services Core (EC2, S3, RDS, IAM, VPC)")</f>
        <v>Amazon Web Services Core (EC2, S3, RDS, IAM, VPC)</v>
      </c>
      <c r="F607" s="7" t="str">
        <f>IFERROR(__xludf.DUMMYFUNCTION("""COMPUTED_VALUE"""),"S180 unlocks S174")</f>
        <v>S180 unlocks S174</v>
      </c>
    </row>
    <row r="608">
      <c r="A608" s="7" t="str">
        <f>IFERROR(__xludf.DUMMYFUNCTION("""COMPUTED_VALUE"""),"PE0607")</f>
        <v>PE0607</v>
      </c>
      <c r="B608" s="7" t="str">
        <f>IFERROR(__xludf.DUMMYFUNCTION("""COMPUTED_VALUE"""),"S180")</f>
        <v>S180</v>
      </c>
      <c r="C608" s="7" t="str">
        <f>IFERROR(__xludf.DUMMYFUNCTION("""COMPUTED_VALUE"""),"CI/CD Pipelines with GitHub Actions")</f>
        <v>CI/CD Pipelines with GitHub Actions</v>
      </c>
      <c r="D608" s="7" t="str">
        <f>IFERROR(__xludf.DUMMYFUNCTION("""COMPUTED_VALUE"""),"S175")</f>
        <v>S175</v>
      </c>
      <c r="E608" s="7" t="str">
        <f>IFERROR(__xludf.DUMMYFUNCTION("""COMPUTED_VALUE"""),"Microsoft Azure Cloud Services")</f>
        <v>Microsoft Azure Cloud Services</v>
      </c>
      <c r="F608" s="7" t="str">
        <f>IFERROR(__xludf.DUMMYFUNCTION("""COMPUTED_VALUE"""),"S180 unlocks S175")</f>
        <v>S180 unlocks S175</v>
      </c>
    </row>
    <row r="609">
      <c r="A609" s="7" t="str">
        <f>IFERROR(__xludf.DUMMYFUNCTION("""COMPUTED_VALUE"""),"PE0608")</f>
        <v>PE0608</v>
      </c>
      <c r="B609" s="7" t="str">
        <f>IFERROR(__xludf.DUMMYFUNCTION("""COMPUTED_VALUE"""),"S180")</f>
        <v>S180</v>
      </c>
      <c r="C609" s="7" t="str">
        <f>IFERROR(__xludf.DUMMYFUNCTION("""COMPUTED_VALUE"""),"CI/CD Pipelines with GitHub Actions")</f>
        <v>CI/CD Pipelines with GitHub Actions</v>
      </c>
      <c r="D609" s="7" t="str">
        <f>IFERROR(__xludf.DUMMYFUNCTION("""COMPUTED_VALUE"""),"S176")</f>
        <v>S176</v>
      </c>
      <c r="E609" s="7" t="str">
        <f>IFERROR(__xludf.DUMMYFUNCTION("""COMPUTED_VALUE"""),"Google Cloud Platform (GCP) Services")</f>
        <v>Google Cloud Platform (GCP) Services</v>
      </c>
      <c r="F609" s="7" t="str">
        <f>IFERROR(__xludf.DUMMYFUNCTION("""COMPUTED_VALUE"""),"S180 unlocks S176")</f>
        <v>S180 unlocks S176</v>
      </c>
    </row>
    <row r="610">
      <c r="A610" s="7" t="str">
        <f>IFERROR(__xludf.DUMMYFUNCTION("""COMPUTED_VALUE"""),"PE0609")</f>
        <v>PE0609</v>
      </c>
      <c r="B610" s="7" t="str">
        <f>IFERROR(__xludf.DUMMYFUNCTION("""COMPUTED_VALUE"""),"S180")</f>
        <v>S180</v>
      </c>
      <c r="C610" s="7" t="str">
        <f>IFERROR(__xludf.DUMMYFUNCTION("""COMPUTED_VALUE"""),"CI/CD Pipelines with GitHub Actions")</f>
        <v>CI/CD Pipelines with GitHub Actions</v>
      </c>
      <c r="D610" s="7" t="str">
        <f>IFERROR(__xludf.DUMMYFUNCTION("""COMPUTED_VALUE"""),"S177")</f>
        <v>S177</v>
      </c>
      <c r="E610" s="7" t="str">
        <f>IFERROR(__xludf.DUMMYFUNCTION("""COMPUTED_VALUE"""),"Serverless Computing (AWS Lambda, Cloud Functions)")</f>
        <v>Serverless Computing (AWS Lambda, Cloud Functions)</v>
      </c>
      <c r="F610" s="7" t="str">
        <f>IFERROR(__xludf.DUMMYFUNCTION("""COMPUTED_VALUE"""),"S180 unlocks S177")</f>
        <v>S180 unlocks S177</v>
      </c>
    </row>
    <row r="611">
      <c r="A611" s="7" t="str">
        <f>IFERROR(__xludf.DUMMYFUNCTION("""COMPUTED_VALUE"""),"PE0610")</f>
        <v>PE0610</v>
      </c>
      <c r="B611" s="7" t="str">
        <f>IFERROR(__xludf.DUMMYFUNCTION("""COMPUTED_VALUE"""),"S180")</f>
        <v>S180</v>
      </c>
      <c r="C611" s="7" t="str">
        <f>IFERROR(__xludf.DUMMYFUNCTION("""COMPUTED_VALUE"""),"CI/CD Pipelines with GitHub Actions")</f>
        <v>CI/CD Pipelines with GitHub Actions</v>
      </c>
      <c r="D611" s="7" t="str">
        <f>IFERROR(__xludf.DUMMYFUNCTION("""COMPUTED_VALUE"""),"S179")</f>
        <v>S179</v>
      </c>
      <c r="E611" s="7" t="str">
        <f>IFERROR(__xludf.DUMMYFUNCTION("""COMPUTED_VALUE"""),"Configuration Management (Ansible, Chef, Puppet)")</f>
        <v>Configuration Management (Ansible, Chef, Puppet)</v>
      </c>
      <c r="F611" s="7" t="str">
        <f>IFERROR(__xludf.DUMMYFUNCTION("""COMPUTED_VALUE"""),"S180 unlocks S179")</f>
        <v>S180 unlocks S179</v>
      </c>
    </row>
    <row r="612">
      <c r="A612" s="7" t="str">
        <f>IFERROR(__xludf.DUMMYFUNCTION("""COMPUTED_VALUE"""),"PE0611")</f>
        <v>PE0611</v>
      </c>
      <c r="B612" s="7" t="str">
        <f>IFERROR(__xludf.DUMMYFUNCTION("""COMPUTED_VALUE"""),"S180")</f>
        <v>S180</v>
      </c>
      <c r="C612" s="7" t="str">
        <f>IFERROR(__xludf.DUMMYFUNCTION("""COMPUTED_VALUE"""),"CI/CD Pipelines with GitHub Actions")</f>
        <v>CI/CD Pipelines with GitHub Actions</v>
      </c>
      <c r="D612" s="7" t="str">
        <f>IFERROR(__xludf.DUMMYFUNCTION("""COMPUTED_VALUE"""),"S181")</f>
        <v>S181</v>
      </c>
      <c r="E612" s="7" t="str">
        <f>IFERROR(__xludf.DUMMYFUNCTION("""COMPUTED_VALUE"""),"CI/CD Automation with GitLab CI &amp; Jenkins")</f>
        <v>CI/CD Automation with GitLab CI &amp; Jenkins</v>
      </c>
      <c r="F612" s="7" t="str">
        <f>IFERROR(__xludf.DUMMYFUNCTION("""COMPUTED_VALUE"""),"S180 unlocks S181")</f>
        <v>S180 unlocks S181</v>
      </c>
    </row>
    <row r="613">
      <c r="A613" s="7" t="str">
        <f>IFERROR(__xludf.DUMMYFUNCTION("""COMPUTED_VALUE"""),"PE0612")</f>
        <v>PE0612</v>
      </c>
      <c r="B613" s="7" t="str">
        <f>IFERROR(__xludf.DUMMYFUNCTION("""COMPUTED_VALUE"""),"S180")</f>
        <v>S180</v>
      </c>
      <c r="C613" s="7" t="str">
        <f>IFERROR(__xludf.DUMMYFUNCTION("""COMPUTED_VALUE"""),"CI/CD Pipelines with GitHub Actions")</f>
        <v>CI/CD Pipelines with GitHub Actions</v>
      </c>
      <c r="D613" s="7" t="str">
        <f>IFERROR(__xludf.DUMMYFUNCTION("""COMPUTED_VALUE"""),"S183")</f>
        <v>S183</v>
      </c>
      <c r="E613" s="7" t="str">
        <f>IFERROR(__xludf.DUMMYFUNCTION("""COMPUTED_VALUE"""),"Web Servers, Reverse Proxy &amp; Load Balancing (Nginx, HAProxy)")</f>
        <v>Web Servers, Reverse Proxy &amp; Load Balancing (Nginx, HAProxy)</v>
      </c>
      <c r="F613" s="7" t="str">
        <f>IFERROR(__xludf.DUMMYFUNCTION("""COMPUTED_VALUE"""),"S180 unlocks S183")</f>
        <v>S180 unlocks S183</v>
      </c>
    </row>
    <row r="614">
      <c r="A614" s="7" t="str">
        <f>IFERROR(__xludf.DUMMYFUNCTION("""COMPUTED_VALUE"""),"PE0613")</f>
        <v>PE0613</v>
      </c>
      <c r="B614" s="7" t="str">
        <f>IFERROR(__xludf.DUMMYFUNCTION("""COMPUTED_VALUE"""),"S180")</f>
        <v>S180</v>
      </c>
      <c r="C614" s="7" t="str">
        <f>IFERROR(__xludf.DUMMYFUNCTION("""COMPUTED_VALUE"""),"CI/CD Pipelines with GitHub Actions")</f>
        <v>CI/CD Pipelines with GitHub Actions</v>
      </c>
      <c r="D614" s="7" t="str">
        <f>IFERROR(__xludf.DUMMYFUNCTION("""COMPUTED_VALUE"""),"S184")</f>
        <v>S184</v>
      </c>
      <c r="E614" s="7" t="str">
        <f>IFERROR(__xludf.DUMMYFUNCTION("""COMPUTED_VALUE"""),"Infrastructure &amp; Metrics Monitoring (Prometheus &amp; Grafana)")</f>
        <v>Infrastructure &amp; Metrics Monitoring (Prometheus &amp; Grafana)</v>
      </c>
      <c r="F614" s="7" t="str">
        <f>IFERROR(__xludf.DUMMYFUNCTION("""COMPUTED_VALUE"""),"S180 unlocks S184")</f>
        <v>S180 unlocks S184</v>
      </c>
    </row>
    <row r="615">
      <c r="A615" s="7" t="str">
        <f>IFERROR(__xludf.DUMMYFUNCTION("""COMPUTED_VALUE"""),"PE0614")</f>
        <v>PE0614</v>
      </c>
      <c r="B615" s="7" t="str">
        <f>IFERROR(__xludf.DUMMYFUNCTION("""COMPUTED_VALUE"""),"S180")</f>
        <v>S180</v>
      </c>
      <c r="C615" s="7" t="str">
        <f>IFERROR(__xludf.DUMMYFUNCTION("""COMPUTED_VALUE"""),"CI/CD Pipelines with GitHub Actions")</f>
        <v>CI/CD Pipelines with GitHub Actions</v>
      </c>
      <c r="D615" s="7" t="str">
        <f>IFERROR(__xludf.DUMMYFUNCTION("""COMPUTED_VALUE"""),"S189")</f>
        <v>S189</v>
      </c>
      <c r="E615" s="7" t="str">
        <f>IFERROR(__xludf.DUMMYFUNCTION("""COMPUTED_VALUE"""),"Cloud FinOps &amp; Cost Optimization")</f>
        <v>Cloud FinOps &amp; Cost Optimization</v>
      </c>
      <c r="F615" s="7" t="str">
        <f>IFERROR(__xludf.DUMMYFUNCTION("""COMPUTED_VALUE"""),"S180 unlocks S189")</f>
        <v>S180 unlocks S189</v>
      </c>
    </row>
    <row r="616">
      <c r="A616" s="7" t="str">
        <f>IFERROR(__xludf.DUMMYFUNCTION("""COMPUTED_VALUE"""),"PE0615")</f>
        <v>PE0615</v>
      </c>
      <c r="B616" s="7" t="str">
        <f>IFERROR(__xludf.DUMMYFUNCTION("""COMPUTED_VALUE"""),"S180")</f>
        <v>S180</v>
      </c>
      <c r="C616" s="7" t="str">
        <f>IFERROR(__xludf.DUMMYFUNCTION("""COMPUTED_VALUE"""),"CI/CD Pipelines with GitHub Actions")</f>
        <v>CI/CD Pipelines with GitHub Actions</v>
      </c>
      <c r="D616" s="7" t="str">
        <f>IFERROR(__xludf.DUMMYFUNCTION("""COMPUTED_VALUE"""),"S191")</f>
        <v>S191</v>
      </c>
      <c r="E616" s="7" t="str">
        <f>IFERROR(__xludf.DUMMYFUNCTION("""COMPUTED_VALUE"""),"Enterprise Linux System Administration (RHEL, Ubuntu, systemd)")</f>
        <v>Enterprise Linux System Administration (RHEL, Ubuntu, systemd)</v>
      </c>
      <c r="F616" s="7" t="str">
        <f>IFERROR(__xludf.DUMMYFUNCTION("""COMPUTED_VALUE"""),"S180 unlocks S191")</f>
        <v>S180 unlocks S191</v>
      </c>
    </row>
    <row r="617">
      <c r="A617" s="7" t="str">
        <f>IFERROR(__xludf.DUMMYFUNCTION("""COMPUTED_VALUE"""),"PE0616")</f>
        <v>PE0616</v>
      </c>
      <c r="B617" s="7" t="str">
        <f>IFERROR(__xludf.DUMMYFUNCTION("""COMPUTED_VALUE"""),"S180")</f>
        <v>S180</v>
      </c>
      <c r="C617" s="7" t="str">
        <f>IFERROR(__xludf.DUMMYFUNCTION("""COMPUTED_VALUE"""),"CI/CD Pipelines with GitHub Actions")</f>
        <v>CI/CD Pipelines with GitHub Actions</v>
      </c>
      <c r="D617" s="7" t="str">
        <f>IFERROR(__xludf.DUMMYFUNCTION("""COMPUTED_VALUE"""),"S192")</f>
        <v>S192</v>
      </c>
      <c r="E617" s="7" t="str">
        <f>IFERROR(__xludf.DUMMYFUNCTION("""COMPUTED_VALUE"""),"Windows Server &amp; Active Directory Administration")</f>
        <v>Windows Server &amp; Active Directory Administration</v>
      </c>
      <c r="F617" s="7" t="str">
        <f>IFERROR(__xludf.DUMMYFUNCTION("""COMPUTED_VALUE"""),"S180 unlocks S192")</f>
        <v>S180 unlocks S192</v>
      </c>
    </row>
    <row r="618">
      <c r="A618" s="7" t="str">
        <f>IFERROR(__xludf.DUMMYFUNCTION("""COMPUTED_VALUE"""),"PE0617")</f>
        <v>PE0617</v>
      </c>
      <c r="B618" s="7" t="str">
        <f>IFERROR(__xludf.DUMMYFUNCTION("""COMPUTED_VALUE"""),"S180")</f>
        <v>S180</v>
      </c>
      <c r="C618" s="7" t="str">
        <f>IFERROR(__xludf.DUMMYFUNCTION("""COMPUTED_VALUE"""),"CI/CD Pipelines with GitHub Actions")</f>
        <v>CI/CD Pipelines with GitHub Actions</v>
      </c>
      <c r="D618" s="7" t="str">
        <f>IFERROR(__xludf.DUMMYFUNCTION("""COMPUTED_VALUE"""),"S193")</f>
        <v>S193</v>
      </c>
      <c r="E618" s="7" t="str">
        <f>IFERROR(__xludf.DUMMYFUNCTION("""COMPUTED_VALUE"""),"Virtualization &amp; Hypervisors (VMware vSphere, Proxmox, KVM)")</f>
        <v>Virtualization &amp; Hypervisors (VMware vSphere, Proxmox, KVM)</v>
      </c>
      <c r="F618" s="7" t="str">
        <f>IFERROR(__xludf.DUMMYFUNCTION("""COMPUTED_VALUE"""),"S180 unlocks S193")</f>
        <v>S180 unlocks S193</v>
      </c>
    </row>
    <row r="619">
      <c r="A619" s="7" t="str">
        <f>IFERROR(__xludf.DUMMYFUNCTION("""COMPUTED_VALUE"""),"PE0618")</f>
        <v>PE0618</v>
      </c>
      <c r="B619" s="7" t="str">
        <f>IFERROR(__xludf.DUMMYFUNCTION("""COMPUTED_VALUE"""),"S194")</f>
        <v>S194</v>
      </c>
      <c r="C619" s="7" t="str">
        <f>IFERROR(__xludf.DUMMYFUNCTION("""COMPUTED_VALUE"""),"TCP/IP Networking, Subnetting, VLANs &amp; VPNs")</f>
        <v>TCP/IP Networking, Subnetting, VLANs &amp; VPNs</v>
      </c>
      <c r="D619" s="7" t="str">
        <f>IFERROR(__xludf.DUMMYFUNCTION("""COMPUTED_VALUE"""),"S173")</f>
        <v>S173</v>
      </c>
      <c r="E619" s="7" t="str">
        <f>IFERROR(__xludf.DUMMYFUNCTION("""COMPUTED_VALUE"""),"Kubernetes Package Management (Helm &amp; Kustomize)")</f>
        <v>Kubernetes Package Management (Helm &amp; Kustomize)</v>
      </c>
      <c r="F619" s="7" t="str">
        <f>IFERROR(__xludf.DUMMYFUNCTION("""COMPUTED_VALUE"""),"S194 unlocks S173")</f>
        <v>S194 unlocks S173</v>
      </c>
    </row>
    <row r="620">
      <c r="A620" s="7" t="str">
        <f>IFERROR(__xludf.DUMMYFUNCTION("""COMPUTED_VALUE"""),"PE0619")</f>
        <v>PE0619</v>
      </c>
      <c r="B620" s="7" t="str">
        <f>IFERROR(__xludf.DUMMYFUNCTION("""COMPUTED_VALUE"""),"S194")</f>
        <v>S194</v>
      </c>
      <c r="C620" s="7" t="str">
        <f>IFERROR(__xludf.DUMMYFUNCTION("""COMPUTED_VALUE"""),"TCP/IP Networking, Subnetting, VLANs &amp; VPNs")</f>
        <v>TCP/IP Networking, Subnetting, VLANs &amp; VPNs</v>
      </c>
      <c r="D620" s="7" t="str">
        <f>IFERROR(__xludf.DUMMYFUNCTION("""COMPUTED_VALUE"""),"S174")</f>
        <v>S174</v>
      </c>
      <c r="E620" s="7" t="str">
        <f>IFERROR(__xludf.DUMMYFUNCTION("""COMPUTED_VALUE"""),"Amazon Web Services Core (EC2, S3, RDS, IAM, VPC)")</f>
        <v>Amazon Web Services Core (EC2, S3, RDS, IAM, VPC)</v>
      </c>
      <c r="F620" s="7" t="str">
        <f>IFERROR(__xludf.DUMMYFUNCTION("""COMPUTED_VALUE"""),"S194 unlocks S174")</f>
        <v>S194 unlocks S174</v>
      </c>
    </row>
    <row r="621">
      <c r="A621" s="7" t="str">
        <f>IFERROR(__xludf.DUMMYFUNCTION("""COMPUTED_VALUE"""),"PE0620")</f>
        <v>PE0620</v>
      </c>
      <c r="B621" s="7" t="str">
        <f>IFERROR(__xludf.DUMMYFUNCTION("""COMPUTED_VALUE"""),"S194")</f>
        <v>S194</v>
      </c>
      <c r="C621" s="7" t="str">
        <f>IFERROR(__xludf.DUMMYFUNCTION("""COMPUTED_VALUE"""),"TCP/IP Networking, Subnetting, VLANs &amp; VPNs")</f>
        <v>TCP/IP Networking, Subnetting, VLANs &amp; VPNs</v>
      </c>
      <c r="D621" s="7" t="str">
        <f>IFERROR(__xludf.DUMMYFUNCTION("""COMPUTED_VALUE"""),"S175")</f>
        <v>S175</v>
      </c>
      <c r="E621" s="7" t="str">
        <f>IFERROR(__xludf.DUMMYFUNCTION("""COMPUTED_VALUE"""),"Microsoft Azure Cloud Services")</f>
        <v>Microsoft Azure Cloud Services</v>
      </c>
      <c r="F621" s="7" t="str">
        <f>IFERROR(__xludf.DUMMYFUNCTION("""COMPUTED_VALUE"""),"S194 unlocks S175")</f>
        <v>S194 unlocks S175</v>
      </c>
    </row>
    <row r="622">
      <c r="A622" s="7" t="str">
        <f>IFERROR(__xludf.DUMMYFUNCTION("""COMPUTED_VALUE"""),"PE0621")</f>
        <v>PE0621</v>
      </c>
      <c r="B622" s="7" t="str">
        <f>IFERROR(__xludf.DUMMYFUNCTION("""COMPUTED_VALUE"""),"S194")</f>
        <v>S194</v>
      </c>
      <c r="C622" s="7" t="str">
        <f>IFERROR(__xludf.DUMMYFUNCTION("""COMPUTED_VALUE"""),"TCP/IP Networking, Subnetting, VLANs &amp; VPNs")</f>
        <v>TCP/IP Networking, Subnetting, VLANs &amp; VPNs</v>
      </c>
      <c r="D622" s="7" t="str">
        <f>IFERROR(__xludf.DUMMYFUNCTION("""COMPUTED_VALUE"""),"S176")</f>
        <v>S176</v>
      </c>
      <c r="E622" s="7" t="str">
        <f>IFERROR(__xludf.DUMMYFUNCTION("""COMPUTED_VALUE"""),"Google Cloud Platform (GCP) Services")</f>
        <v>Google Cloud Platform (GCP) Services</v>
      </c>
      <c r="F622" s="7" t="str">
        <f>IFERROR(__xludf.DUMMYFUNCTION("""COMPUTED_VALUE"""),"S194 unlocks S176")</f>
        <v>S194 unlocks S176</v>
      </c>
    </row>
    <row r="623">
      <c r="A623" s="7" t="str">
        <f>IFERROR(__xludf.DUMMYFUNCTION("""COMPUTED_VALUE"""),"PE0622")</f>
        <v>PE0622</v>
      </c>
      <c r="B623" s="7" t="str">
        <f>IFERROR(__xludf.DUMMYFUNCTION("""COMPUTED_VALUE"""),"S194")</f>
        <v>S194</v>
      </c>
      <c r="C623" s="7" t="str">
        <f>IFERROR(__xludf.DUMMYFUNCTION("""COMPUTED_VALUE"""),"TCP/IP Networking, Subnetting, VLANs &amp; VPNs")</f>
        <v>TCP/IP Networking, Subnetting, VLANs &amp; VPNs</v>
      </c>
      <c r="D623" s="7" t="str">
        <f>IFERROR(__xludf.DUMMYFUNCTION("""COMPUTED_VALUE"""),"S177")</f>
        <v>S177</v>
      </c>
      <c r="E623" s="7" t="str">
        <f>IFERROR(__xludf.DUMMYFUNCTION("""COMPUTED_VALUE"""),"Serverless Computing (AWS Lambda, Cloud Functions)")</f>
        <v>Serverless Computing (AWS Lambda, Cloud Functions)</v>
      </c>
      <c r="F623" s="7" t="str">
        <f>IFERROR(__xludf.DUMMYFUNCTION("""COMPUTED_VALUE"""),"S194 unlocks S177")</f>
        <v>S194 unlocks S177</v>
      </c>
    </row>
    <row r="624">
      <c r="A624" s="7" t="str">
        <f>IFERROR(__xludf.DUMMYFUNCTION("""COMPUTED_VALUE"""),"PE0623")</f>
        <v>PE0623</v>
      </c>
      <c r="B624" s="7" t="str">
        <f>IFERROR(__xludf.DUMMYFUNCTION("""COMPUTED_VALUE"""),"S194")</f>
        <v>S194</v>
      </c>
      <c r="C624" s="7" t="str">
        <f>IFERROR(__xludf.DUMMYFUNCTION("""COMPUTED_VALUE"""),"TCP/IP Networking, Subnetting, VLANs &amp; VPNs")</f>
        <v>TCP/IP Networking, Subnetting, VLANs &amp; VPNs</v>
      </c>
      <c r="D624" s="7" t="str">
        <f>IFERROR(__xludf.DUMMYFUNCTION("""COMPUTED_VALUE"""),"S179")</f>
        <v>S179</v>
      </c>
      <c r="E624" s="7" t="str">
        <f>IFERROR(__xludf.DUMMYFUNCTION("""COMPUTED_VALUE"""),"Configuration Management (Ansible, Chef, Puppet)")</f>
        <v>Configuration Management (Ansible, Chef, Puppet)</v>
      </c>
      <c r="F624" s="7" t="str">
        <f>IFERROR(__xludf.DUMMYFUNCTION("""COMPUTED_VALUE"""),"S194 unlocks S179")</f>
        <v>S194 unlocks S179</v>
      </c>
    </row>
    <row r="625">
      <c r="A625" s="7" t="str">
        <f>IFERROR(__xludf.DUMMYFUNCTION("""COMPUTED_VALUE"""),"PE0624")</f>
        <v>PE0624</v>
      </c>
      <c r="B625" s="7" t="str">
        <f>IFERROR(__xludf.DUMMYFUNCTION("""COMPUTED_VALUE"""),"S194")</f>
        <v>S194</v>
      </c>
      <c r="C625" s="7" t="str">
        <f>IFERROR(__xludf.DUMMYFUNCTION("""COMPUTED_VALUE"""),"TCP/IP Networking, Subnetting, VLANs &amp; VPNs")</f>
        <v>TCP/IP Networking, Subnetting, VLANs &amp; VPNs</v>
      </c>
      <c r="D625" s="7" t="str">
        <f>IFERROR(__xludf.DUMMYFUNCTION("""COMPUTED_VALUE"""),"S181")</f>
        <v>S181</v>
      </c>
      <c r="E625" s="7" t="str">
        <f>IFERROR(__xludf.DUMMYFUNCTION("""COMPUTED_VALUE"""),"CI/CD Automation with GitLab CI &amp; Jenkins")</f>
        <v>CI/CD Automation with GitLab CI &amp; Jenkins</v>
      </c>
      <c r="F625" s="7" t="str">
        <f>IFERROR(__xludf.DUMMYFUNCTION("""COMPUTED_VALUE"""),"S194 unlocks S181")</f>
        <v>S194 unlocks S181</v>
      </c>
    </row>
    <row r="626">
      <c r="A626" s="7" t="str">
        <f>IFERROR(__xludf.DUMMYFUNCTION("""COMPUTED_VALUE"""),"PE0625")</f>
        <v>PE0625</v>
      </c>
      <c r="B626" s="7" t="str">
        <f>IFERROR(__xludf.DUMMYFUNCTION("""COMPUTED_VALUE"""),"S194")</f>
        <v>S194</v>
      </c>
      <c r="C626" s="7" t="str">
        <f>IFERROR(__xludf.DUMMYFUNCTION("""COMPUTED_VALUE"""),"TCP/IP Networking, Subnetting, VLANs &amp; VPNs")</f>
        <v>TCP/IP Networking, Subnetting, VLANs &amp; VPNs</v>
      </c>
      <c r="D626" s="7" t="str">
        <f>IFERROR(__xludf.DUMMYFUNCTION("""COMPUTED_VALUE"""),"S183")</f>
        <v>S183</v>
      </c>
      <c r="E626" s="7" t="str">
        <f>IFERROR(__xludf.DUMMYFUNCTION("""COMPUTED_VALUE"""),"Web Servers, Reverse Proxy &amp; Load Balancing (Nginx, HAProxy)")</f>
        <v>Web Servers, Reverse Proxy &amp; Load Balancing (Nginx, HAProxy)</v>
      </c>
      <c r="F626" s="7" t="str">
        <f>IFERROR(__xludf.DUMMYFUNCTION("""COMPUTED_VALUE"""),"S194 unlocks S183")</f>
        <v>S194 unlocks S183</v>
      </c>
    </row>
    <row r="627">
      <c r="A627" s="7" t="str">
        <f>IFERROR(__xludf.DUMMYFUNCTION("""COMPUTED_VALUE"""),"PE0626")</f>
        <v>PE0626</v>
      </c>
      <c r="B627" s="7" t="str">
        <f>IFERROR(__xludf.DUMMYFUNCTION("""COMPUTED_VALUE"""),"S194")</f>
        <v>S194</v>
      </c>
      <c r="C627" s="7" t="str">
        <f>IFERROR(__xludf.DUMMYFUNCTION("""COMPUTED_VALUE"""),"TCP/IP Networking, Subnetting, VLANs &amp; VPNs")</f>
        <v>TCP/IP Networking, Subnetting, VLANs &amp; VPNs</v>
      </c>
      <c r="D627" s="7" t="str">
        <f>IFERROR(__xludf.DUMMYFUNCTION("""COMPUTED_VALUE"""),"S184")</f>
        <v>S184</v>
      </c>
      <c r="E627" s="7" t="str">
        <f>IFERROR(__xludf.DUMMYFUNCTION("""COMPUTED_VALUE"""),"Infrastructure &amp; Metrics Monitoring (Prometheus &amp; Grafana)")</f>
        <v>Infrastructure &amp; Metrics Monitoring (Prometheus &amp; Grafana)</v>
      </c>
      <c r="F627" s="7" t="str">
        <f>IFERROR(__xludf.DUMMYFUNCTION("""COMPUTED_VALUE"""),"S194 unlocks S184")</f>
        <v>S194 unlocks S184</v>
      </c>
    </row>
    <row r="628">
      <c r="A628" s="7" t="str">
        <f>IFERROR(__xludf.DUMMYFUNCTION("""COMPUTED_VALUE"""),"PE0627")</f>
        <v>PE0627</v>
      </c>
      <c r="B628" s="7" t="str">
        <f>IFERROR(__xludf.DUMMYFUNCTION("""COMPUTED_VALUE"""),"S194")</f>
        <v>S194</v>
      </c>
      <c r="C628" s="7" t="str">
        <f>IFERROR(__xludf.DUMMYFUNCTION("""COMPUTED_VALUE"""),"TCP/IP Networking, Subnetting, VLANs &amp; VPNs")</f>
        <v>TCP/IP Networking, Subnetting, VLANs &amp; VPNs</v>
      </c>
      <c r="D628" s="7" t="str">
        <f>IFERROR(__xludf.DUMMYFUNCTION("""COMPUTED_VALUE"""),"S189")</f>
        <v>S189</v>
      </c>
      <c r="E628" s="7" t="str">
        <f>IFERROR(__xludf.DUMMYFUNCTION("""COMPUTED_VALUE"""),"Cloud FinOps &amp; Cost Optimization")</f>
        <v>Cloud FinOps &amp; Cost Optimization</v>
      </c>
      <c r="F628" s="7" t="str">
        <f>IFERROR(__xludf.DUMMYFUNCTION("""COMPUTED_VALUE"""),"S194 unlocks S189")</f>
        <v>S194 unlocks S189</v>
      </c>
    </row>
    <row r="629">
      <c r="A629" s="7" t="str">
        <f>IFERROR(__xludf.DUMMYFUNCTION("""COMPUTED_VALUE"""),"PE0628")</f>
        <v>PE0628</v>
      </c>
      <c r="B629" s="7" t="str">
        <f>IFERROR(__xludf.DUMMYFUNCTION("""COMPUTED_VALUE"""),"S194")</f>
        <v>S194</v>
      </c>
      <c r="C629" s="7" t="str">
        <f>IFERROR(__xludf.DUMMYFUNCTION("""COMPUTED_VALUE"""),"TCP/IP Networking, Subnetting, VLANs &amp; VPNs")</f>
        <v>TCP/IP Networking, Subnetting, VLANs &amp; VPNs</v>
      </c>
      <c r="D629" s="7" t="str">
        <f>IFERROR(__xludf.DUMMYFUNCTION("""COMPUTED_VALUE"""),"S191")</f>
        <v>S191</v>
      </c>
      <c r="E629" s="7" t="str">
        <f>IFERROR(__xludf.DUMMYFUNCTION("""COMPUTED_VALUE"""),"Enterprise Linux System Administration (RHEL, Ubuntu, systemd)")</f>
        <v>Enterprise Linux System Administration (RHEL, Ubuntu, systemd)</v>
      </c>
      <c r="F629" s="7" t="str">
        <f>IFERROR(__xludf.DUMMYFUNCTION("""COMPUTED_VALUE"""),"S194 unlocks S191")</f>
        <v>S194 unlocks S191</v>
      </c>
    </row>
    <row r="630">
      <c r="A630" s="7" t="str">
        <f>IFERROR(__xludf.DUMMYFUNCTION("""COMPUTED_VALUE"""),"PE0629")</f>
        <v>PE0629</v>
      </c>
      <c r="B630" s="7" t="str">
        <f>IFERROR(__xludf.DUMMYFUNCTION("""COMPUTED_VALUE"""),"S194")</f>
        <v>S194</v>
      </c>
      <c r="C630" s="7" t="str">
        <f>IFERROR(__xludf.DUMMYFUNCTION("""COMPUTED_VALUE"""),"TCP/IP Networking, Subnetting, VLANs &amp; VPNs")</f>
        <v>TCP/IP Networking, Subnetting, VLANs &amp; VPNs</v>
      </c>
      <c r="D630" s="7" t="str">
        <f>IFERROR(__xludf.DUMMYFUNCTION("""COMPUTED_VALUE"""),"S192")</f>
        <v>S192</v>
      </c>
      <c r="E630" s="7" t="str">
        <f>IFERROR(__xludf.DUMMYFUNCTION("""COMPUTED_VALUE"""),"Windows Server &amp; Active Directory Administration")</f>
        <v>Windows Server &amp; Active Directory Administration</v>
      </c>
      <c r="F630" s="7" t="str">
        <f>IFERROR(__xludf.DUMMYFUNCTION("""COMPUTED_VALUE"""),"S194 unlocks S192")</f>
        <v>S194 unlocks S192</v>
      </c>
    </row>
    <row r="631">
      <c r="A631" s="7" t="str">
        <f>IFERROR(__xludf.DUMMYFUNCTION("""COMPUTED_VALUE"""),"PE0630")</f>
        <v>PE0630</v>
      </c>
      <c r="B631" s="7" t="str">
        <f>IFERROR(__xludf.DUMMYFUNCTION("""COMPUTED_VALUE"""),"S194")</f>
        <v>S194</v>
      </c>
      <c r="C631" s="7" t="str">
        <f>IFERROR(__xludf.DUMMYFUNCTION("""COMPUTED_VALUE"""),"TCP/IP Networking, Subnetting, VLANs &amp; VPNs")</f>
        <v>TCP/IP Networking, Subnetting, VLANs &amp; VPNs</v>
      </c>
      <c r="D631" s="7" t="str">
        <f>IFERROR(__xludf.DUMMYFUNCTION("""COMPUTED_VALUE"""),"S193")</f>
        <v>S193</v>
      </c>
      <c r="E631" s="7" t="str">
        <f>IFERROR(__xludf.DUMMYFUNCTION("""COMPUTED_VALUE"""),"Virtualization &amp; Hypervisors (VMware vSphere, Proxmox, KVM)")</f>
        <v>Virtualization &amp; Hypervisors (VMware vSphere, Proxmox, KVM)</v>
      </c>
      <c r="F631" s="7" t="str">
        <f>IFERROR(__xludf.DUMMYFUNCTION("""COMPUTED_VALUE"""),"S194 unlocks S193")</f>
        <v>S194 unlocks S193</v>
      </c>
    </row>
    <row r="632">
      <c r="A632" s="7" t="str">
        <f>IFERROR(__xludf.DUMMYFUNCTION("""COMPUTED_VALUE"""),"PE0631")</f>
        <v>PE0631</v>
      </c>
      <c r="B632" s="7" t="str">
        <f>IFERROR(__xludf.DUMMYFUNCTION("""COMPUTED_VALUE"""),"S196")</f>
        <v>S196</v>
      </c>
      <c r="C632" s="7" t="str">
        <f>IFERROR(__xludf.DUMMYFUNCTION("""COMPUTED_VALUE"""),"Cybersecurity Principles &amp; CIA Triad")</f>
        <v>Cybersecurity Principles &amp; CIA Triad</v>
      </c>
      <c r="D632" s="7" t="str">
        <f>IFERROR(__xludf.DUMMYFUNCTION("""COMPUTED_VALUE"""),"S198")</f>
        <v>S198</v>
      </c>
      <c r="E632" s="7" t="str">
        <f>IFERROR(__xludf.DUMMYFUNCTION("""COMPUTED_VALUE"""),"Intrusion Detection &amp; Prevention Systems (IDS/IPS, Snort, Suricata)")</f>
        <v>Intrusion Detection &amp; Prevention Systems (IDS/IPS, Snort, Suricata)</v>
      </c>
      <c r="F632" s="7" t="str">
        <f>IFERROR(__xludf.DUMMYFUNCTION("""COMPUTED_VALUE"""),"S196 unlocks S198")</f>
        <v>S196 unlocks S198</v>
      </c>
    </row>
    <row r="633">
      <c r="A633" s="7" t="str">
        <f>IFERROR(__xludf.DUMMYFUNCTION("""COMPUTED_VALUE"""),"PE0632")</f>
        <v>PE0632</v>
      </c>
      <c r="B633" s="7" t="str">
        <f>IFERROR(__xludf.DUMMYFUNCTION("""COMPUTED_VALUE"""),"S196")</f>
        <v>S196</v>
      </c>
      <c r="C633" s="7" t="str">
        <f>IFERROR(__xludf.DUMMYFUNCTION("""COMPUTED_VALUE"""),"Cybersecurity Principles &amp; CIA Triad")</f>
        <v>Cybersecurity Principles &amp; CIA Triad</v>
      </c>
      <c r="D633" s="7" t="str">
        <f>IFERROR(__xludf.DUMMYFUNCTION("""COMPUTED_VALUE"""),"S201")</f>
        <v>S201</v>
      </c>
      <c r="E633" s="7" t="str">
        <f>IFERROR(__xludf.DUMMYFUNCTION("""COMPUTED_VALUE"""),"Web Application Penetration Testing (Burp Suite, OWASP ZAP)")</f>
        <v>Web Application Penetration Testing (Burp Suite, OWASP ZAP)</v>
      </c>
      <c r="F633" s="7" t="str">
        <f>IFERROR(__xludf.DUMMYFUNCTION("""COMPUTED_VALUE"""),"S196 unlocks S201")</f>
        <v>S196 unlocks S201</v>
      </c>
    </row>
    <row r="634">
      <c r="A634" s="7" t="str">
        <f>IFERROR(__xludf.DUMMYFUNCTION("""COMPUTED_VALUE"""),"PE0633")</f>
        <v>PE0633</v>
      </c>
      <c r="B634" s="7" t="str">
        <f>IFERROR(__xludf.DUMMYFUNCTION("""COMPUTED_VALUE"""),"S196")</f>
        <v>S196</v>
      </c>
      <c r="C634" s="7" t="str">
        <f>IFERROR(__xludf.DUMMYFUNCTION("""COMPUTED_VALUE"""),"Cybersecurity Principles &amp; CIA Triad")</f>
        <v>Cybersecurity Principles &amp; CIA Triad</v>
      </c>
      <c r="D634" s="7" t="str">
        <f>IFERROR(__xludf.DUMMYFUNCTION("""COMPUTED_VALUE"""),"S203")</f>
        <v>S203</v>
      </c>
      <c r="E634" s="7" t="str">
        <f>IFERROR(__xludf.DUMMYFUNCTION("""COMPUTED_VALUE"""),"Vulnerability Assessment &amp; Management (Nessus, OpenVAS, Qualys)")</f>
        <v>Vulnerability Assessment &amp; Management (Nessus, OpenVAS, Qualys)</v>
      </c>
      <c r="F634" s="7" t="str">
        <f>IFERROR(__xludf.DUMMYFUNCTION("""COMPUTED_VALUE"""),"S196 unlocks S203")</f>
        <v>S196 unlocks S203</v>
      </c>
    </row>
    <row r="635">
      <c r="A635" s="7" t="str">
        <f>IFERROR(__xludf.DUMMYFUNCTION("""COMPUTED_VALUE"""),"PE0634")</f>
        <v>PE0634</v>
      </c>
      <c r="B635" s="7" t="str">
        <f>IFERROR(__xludf.DUMMYFUNCTION("""COMPUTED_VALUE"""),"S196")</f>
        <v>S196</v>
      </c>
      <c r="C635" s="7" t="str">
        <f>IFERROR(__xludf.DUMMYFUNCTION("""COMPUTED_VALUE"""),"Cybersecurity Principles &amp; CIA Triad")</f>
        <v>Cybersecurity Principles &amp; CIA Triad</v>
      </c>
      <c r="D635" s="7" t="str">
        <f>IFERROR(__xludf.DUMMYFUNCTION("""COMPUTED_VALUE"""),"S204")</f>
        <v>S204</v>
      </c>
      <c r="E635" s="7" t="str">
        <f>IFERROR(__xludf.DUMMYFUNCTION("""COMPUTED_VALUE"""),"Security Information &amp; Event Management (SIEM: Splunk, Sentinel, QRadar)")</f>
        <v>Security Information &amp; Event Management (SIEM: Splunk, Sentinel, QRadar)</v>
      </c>
      <c r="F635" s="7" t="str">
        <f>IFERROR(__xludf.DUMMYFUNCTION("""COMPUTED_VALUE"""),"S196 unlocks S204")</f>
        <v>S196 unlocks S204</v>
      </c>
    </row>
    <row r="636">
      <c r="A636" s="7" t="str">
        <f>IFERROR(__xludf.DUMMYFUNCTION("""COMPUTED_VALUE"""),"PE0635")</f>
        <v>PE0635</v>
      </c>
      <c r="B636" s="7" t="str">
        <f>IFERROR(__xludf.DUMMYFUNCTION("""COMPUTED_VALUE"""),"S196")</f>
        <v>S196</v>
      </c>
      <c r="C636" s="7" t="str">
        <f>IFERROR(__xludf.DUMMYFUNCTION("""COMPUTED_VALUE"""),"Cybersecurity Principles &amp; CIA Triad")</f>
        <v>Cybersecurity Principles &amp; CIA Triad</v>
      </c>
      <c r="D636" s="7" t="str">
        <f>IFERROR(__xludf.DUMMYFUNCTION("""COMPUTED_VALUE"""),"S205")</f>
        <v>S205</v>
      </c>
      <c r="E636" s="7" t="str">
        <f>IFERROR(__xludf.DUMMYFUNCTION("""COMPUTED_VALUE"""),"Security Operations Center (SOC) &amp; Threat Hunting")</f>
        <v>Security Operations Center (SOC) &amp; Threat Hunting</v>
      </c>
      <c r="F636" s="7" t="str">
        <f>IFERROR(__xludf.DUMMYFUNCTION("""COMPUTED_VALUE"""),"S196 unlocks S205")</f>
        <v>S196 unlocks S205</v>
      </c>
    </row>
    <row r="637">
      <c r="A637" s="7" t="str">
        <f>IFERROR(__xludf.DUMMYFUNCTION("""COMPUTED_VALUE"""),"PE0636")</f>
        <v>PE0636</v>
      </c>
      <c r="B637" s="7" t="str">
        <f>IFERROR(__xludf.DUMMYFUNCTION("""COMPUTED_VALUE"""),"S196")</f>
        <v>S196</v>
      </c>
      <c r="C637" s="7" t="str">
        <f>IFERROR(__xludf.DUMMYFUNCTION("""COMPUTED_VALUE"""),"Cybersecurity Principles &amp; CIA Triad")</f>
        <v>Cybersecurity Principles &amp; CIA Triad</v>
      </c>
      <c r="D637" s="7" t="str">
        <f>IFERROR(__xludf.DUMMYFUNCTION("""COMPUTED_VALUE"""),"S206")</f>
        <v>S206</v>
      </c>
      <c r="E637" s="7" t="str">
        <f>IFERROR(__xludf.DUMMYFUNCTION("""COMPUTED_VALUE"""),"Endpoint Detection &amp; Response (EDR / XDR: CrowdStrike, Defender)")</f>
        <v>Endpoint Detection &amp; Response (EDR / XDR: CrowdStrike, Defender)</v>
      </c>
      <c r="F637" s="7" t="str">
        <f>IFERROR(__xludf.DUMMYFUNCTION("""COMPUTED_VALUE"""),"S196 unlocks S206")</f>
        <v>S196 unlocks S206</v>
      </c>
    </row>
    <row r="638">
      <c r="A638" s="7" t="str">
        <f>IFERROR(__xludf.DUMMYFUNCTION("""COMPUTED_VALUE"""),"PE0637")</f>
        <v>PE0637</v>
      </c>
      <c r="B638" s="7" t="str">
        <f>IFERROR(__xludf.DUMMYFUNCTION("""COMPUTED_VALUE"""),"S196")</f>
        <v>S196</v>
      </c>
      <c r="C638" s="7" t="str">
        <f>IFERROR(__xludf.DUMMYFUNCTION("""COMPUTED_VALUE"""),"Cybersecurity Principles &amp; CIA Triad")</f>
        <v>Cybersecurity Principles &amp; CIA Triad</v>
      </c>
      <c r="D638" s="7" t="str">
        <f>IFERROR(__xludf.DUMMYFUNCTION("""COMPUTED_VALUE"""),"S209")</f>
        <v>S209</v>
      </c>
      <c r="E638" s="7" t="str">
        <f>IFERROR(__xludf.DUMMYFUNCTION("""COMPUTED_VALUE"""),"Applied Cryptography, Hashing &amp; PKI Certificates")</f>
        <v>Applied Cryptography, Hashing &amp; PKI Certificates</v>
      </c>
      <c r="F638" s="7" t="str">
        <f>IFERROR(__xludf.DUMMYFUNCTION("""COMPUTED_VALUE"""),"S196 unlocks S209")</f>
        <v>S196 unlocks S209</v>
      </c>
    </row>
    <row r="639">
      <c r="A639" s="7" t="str">
        <f>IFERROR(__xludf.DUMMYFUNCTION("""COMPUTED_VALUE"""),"PE0638")</f>
        <v>PE0638</v>
      </c>
      <c r="B639" s="7" t="str">
        <f>IFERROR(__xludf.DUMMYFUNCTION("""COMPUTED_VALUE"""),"S196")</f>
        <v>S196</v>
      </c>
      <c r="C639" s="7" t="str">
        <f>IFERROR(__xludf.DUMMYFUNCTION("""COMPUTED_VALUE"""),"Cybersecurity Principles &amp; CIA Triad")</f>
        <v>Cybersecurity Principles &amp; CIA Triad</v>
      </c>
      <c r="D639" s="7" t="str">
        <f>IFERROR(__xludf.DUMMYFUNCTION("""COMPUTED_VALUE"""),"S210")</f>
        <v>S210</v>
      </c>
      <c r="E639" s="7" t="str">
        <f>IFERROR(__xludf.DUMMYFUNCTION("""COMPUTED_VALUE"""),"Enterprise Identity &amp; Access Management (IAM, Okta, Entra ID, Keycloak)")</f>
        <v>Enterprise Identity &amp; Access Management (IAM, Okta, Entra ID, Keycloak)</v>
      </c>
      <c r="F639" s="7" t="str">
        <f>IFERROR(__xludf.DUMMYFUNCTION("""COMPUTED_VALUE"""),"S196 unlocks S210")</f>
        <v>S196 unlocks S210</v>
      </c>
    </row>
    <row r="640">
      <c r="A640" s="7" t="str">
        <f>IFERROR(__xludf.DUMMYFUNCTION("""COMPUTED_VALUE"""),"PE0639")</f>
        <v>PE0639</v>
      </c>
      <c r="B640" s="7" t="str">
        <f>IFERROR(__xludf.DUMMYFUNCTION("""COMPUTED_VALUE"""),"S196")</f>
        <v>S196</v>
      </c>
      <c r="C640" s="7" t="str">
        <f>IFERROR(__xludf.DUMMYFUNCTION("""COMPUTED_VALUE"""),"Cybersecurity Principles &amp; CIA Triad")</f>
        <v>Cybersecurity Principles &amp; CIA Triad</v>
      </c>
      <c r="D640" s="7" t="str">
        <f>IFERROR(__xludf.DUMMYFUNCTION("""COMPUTED_VALUE"""),"S214")</f>
        <v>S214</v>
      </c>
      <c r="E640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F640" s="7" t="str">
        <f>IFERROR(__xludf.DUMMYFUNCTION("""COMPUTED_VALUE"""),"S196 unlocks S214")</f>
        <v>S196 unlocks S214</v>
      </c>
    </row>
    <row r="641">
      <c r="A641" s="7" t="str">
        <f>IFERROR(__xludf.DUMMYFUNCTION("""COMPUTED_VALUE"""),"PE0640")</f>
        <v>PE0640</v>
      </c>
      <c r="B641" s="7" t="str">
        <f>IFERROR(__xludf.DUMMYFUNCTION("""COMPUTED_VALUE"""),"S196")</f>
        <v>S196</v>
      </c>
      <c r="C641" s="7" t="str">
        <f>IFERROR(__xludf.DUMMYFUNCTION("""COMPUTED_VALUE"""),"Cybersecurity Principles &amp; CIA Triad")</f>
        <v>Cybersecurity Principles &amp; CIA Triad</v>
      </c>
      <c r="D641" s="7" t="str">
        <f>IFERROR(__xludf.DUMMYFUNCTION("""COMPUTED_VALUE"""),"S215")</f>
        <v>S215</v>
      </c>
      <c r="E641" s="7" t="str">
        <f>IFERROR(__xludf.DUMMYFUNCTION("""COMPUTED_VALUE"""),"Secrets Management (HashiCorp Vault, AWS Secrets Manager)")</f>
        <v>Secrets Management (HashiCorp Vault, AWS Secrets Manager)</v>
      </c>
      <c r="F641" s="7" t="str">
        <f>IFERROR(__xludf.DUMMYFUNCTION("""COMPUTED_VALUE"""),"S196 unlocks S215")</f>
        <v>S196 unlocks S215</v>
      </c>
    </row>
    <row r="642">
      <c r="A642" s="7" t="str">
        <f>IFERROR(__xludf.DUMMYFUNCTION("""COMPUTED_VALUE"""),"PE0641")</f>
        <v>PE0641</v>
      </c>
      <c r="B642" s="7" t="str">
        <f>IFERROR(__xludf.DUMMYFUNCTION("""COMPUTED_VALUE"""),"S196")</f>
        <v>S196</v>
      </c>
      <c r="C642" s="7" t="str">
        <f>IFERROR(__xludf.DUMMYFUNCTION("""COMPUTED_VALUE"""),"Cybersecurity Principles &amp; CIA Triad")</f>
        <v>Cybersecurity Principles &amp; CIA Triad</v>
      </c>
      <c r="D642" s="7" t="str">
        <f>IFERROR(__xludf.DUMMYFUNCTION("""COMPUTED_VALUE"""),"S217")</f>
        <v>S217</v>
      </c>
      <c r="E642" s="7" t="str">
        <f>IFERROR(__xludf.DUMMYFUNCTION("""COMPUTED_VALUE"""),"Governance, Risk &amp; Compliance (ISO 27001, SOC 2, NIST, GDPR)")</f>
        <v>Governance, Risk &amp; Compliance (ISO 27001, SOC 2, NIST, GDPR)</v>
      </c>
      <c r="F642" s="7" t="str">
        <f>IFERROR(__xludf.DUMMYFUNCTION("""COMPUTED_VALUE"""),"S196 unlocks S217")</f>
        <v>S196 unlocks S217</v>
      </c>
    </row>
    <row r="643">
      <c r="A643" s="7" t="str">
        <f>IFERROR(__xludf.DUMMYFUNCTION("""COMPUTED_VALUE"""),"PE0642")</f>
        <v>PE0642</v>
      </c>
      <c r="B643" s="7" t="str">
        <f>IFERROR(__xludf.DUMMYFUNCTION("""COMPUTED_VALUE"""),"S196")</f>
        <v>S196</v>
      </c>
      <c r="C643" s="7" t="str">
        <f>IFERROR(__xludf.DUMMYFUNCTION("""COMPUTED_VALUE"""),"Cybersecurity Principles &amp; CIA Triad")</f>
        <v>Cybersecurity Principles &amp; CIA Triad</v>
      </c>
      <c r="D643" s="7" t="str">
        <f>IFERROR(__xludf.DUMMYFUNCTION("""COMPUTED_VALUE"""),"S218")</f>
        <v>S218</v>
      </c>
      <c r="E643" s="7" t="str">
        <f>IFERROR(__xludf.DUMMYFUNCTION("""COMPUTED_VALUE"""),"Security Auditing &amp; IT Risk Assessment")</f>
        <v>Security Auditing &amp; IT Risk Assessment</v>
      </c>
      <c r="F643" s="7" t="str">
        <f>IFERROR(__xludf.DUMMYFUNCTION("""COMPUTED_VALUE"""),"S196 unlocks S218")</f>
        <v>S196 unlocks S218</v>
      </c>
    </row>
    <row r="644">
      <c r="A644" s="7" t="str">
        <f>IFERROR(__xludf.DUMMYFUNCTION("""COMPUTED_VALUE"""),"PE0643")</f>
        <v>PE0643</v>
      </c>
      <c r="B644" s="7" t="str">
        <f>IFERROR(__xludf.DUMMYFUNCTION("""COMPUTED_VALUE"""),"S197")</f>
        <v>S197</v>
      </c>
      <c r="C644" s="7" t="str">
        <f>IFERROR(__xludf.DUMMYFUNCTION("""COMPUTED_VALUE"""),"Network Security, Firewalls &amp; WAF")</f>
        <v>Network Security, Firewalls &amp; WAF</v>
      </c>
      <c r="D644" s="7" t="str">
        <f>IFERROR(__xludf.DUMMYFUNCTION("""COMPUTED_VALUE"""),"S198")</f>
        <v>S198</v>
      </c>
      <c r="E644" s="7" t="str">
        <f>IFERROR(__xludf.DUMMYFUNCTION("""COMPUTED_VALUE"""),"Intrusion Detection &amp; Prevention Systems (IDS/IPS, Snort, Suricata)")</f>
        <v>Intrusion Detection &amp; Prevention Systems (IDS/IPS, Snort, Suricata)</v>
      </c>
      <c r="F644" s="7" t="str">
        <f>IFERROR(__xludf.DUMMYFUNCTION("""COMPUTED_VALUE"""),"S197 unlocks S198")</f>
        <v>S197 unlocks S198</v>
      </c>
    </row>
    <row r="645">
      <c r="A645" s="7" t="str">
        <f>IFERROR(__xludf.DUMMYFUNCTION("""COMPUTED_VALUE"""),"PE0644")</f>
        <v>PE0644</v>
      </c>
      <c r="B645" s="7" t="str">
        <f>IFERROR(__xludf.DUMMYFUNCTION("""COMPUTED_VALUE"""),"S197")</f>
        <v>S197</v>
      </c>
      <c r="C645" s="7" t="str">
        <f>IFERROR(__xludf.DUMMYFUNCTION("""COMPUTED_VALUE"""),"Network Security, Firewalls &amp; WAF")</f>
        <v>Network Security, Firewalls &amp; WAF</v>
      </c>
      <c r="D645" s="7" t="str">
        <f>IFERROR(__xludf.DUMMYFUNCTION("""COMPUTED_VALUE"""),"S201")</f>
        <v>S201</v>
      </c>
      <c r="E645" s="7" t="str">
        <f>IFERROR(__xludf.DUMMYFUNCTION("""COMPUTED_VALUE"""),"Web Application Penetration Testing (Burp Suite, OWASP ZAP)")</f>
        <v>Web Application Penetration Testing (Burp Suite, OWASP ZAP)</v>
      </c>
      <c r="F645" s="7" t="str">
        <f>IFERROR(__xludf.DUMMYFUNCTION("""COMPUTED_VALUE"""),"S197 unlocks S201")</f>
        <v>S197 unlocks S201</v>
      </c>
    </row>
    <row r="646">
      <c r="A646" s="7" t="str">
        <f>IFERROR(__xludf.DUMMYFUNCTION("""COMPUTED_VALUE"""),"PE0645")</f>
        <v>PE0645</v>
      </c>
      <c r="B646" s="7" t="str">
        <f>IFERROR(__xludf.DUMMYFUNCTION("""COMPUTED_VALUE"""),"S197")</f>
        <v>S197</v>
      </c>
      <c r="C646" s="7" t="str">
        <f>IFERROR(__xludf.DUMMYFUNCTION("""COMPUTED_VALUE"""),"Network Security, Firewalls &amp; WAF")</f>
        <v>Network Security, Firewalls &amp; WAF</v>
      </c>
      <c r="D646" s="7" t="str">
        <f>IFERROR(__xludf.DUMMYFUNCTION("""COMPUTED_VALUE"""),"S203")</f>
        <v>S203</v>
      </c>
      <c r="E646" s="7" t="str">
        <f>IFERROR(__xludf.DUMMYFUNCTION("""COMPUTED_VALUE"""),"Vulnerability Assessment &amp; Management (Nessus, OpenVAS, Qualys)")</f>
        <v>Vulnerability Assessment &amp; Management (Nessus, OpenVAS, Qualys)</v>
      </c>
      <c r="F646" s="7" t="str">
        <f>IFERROR(__xludf.DUMMYFUNCTION("""COMPUTED_VALUE"""),"S197 unlocks S203")</f>
        <v>S197 unlocks S203</v>
      </c>
    </row>
    <row r="647">
      <c r="A647" s="7" t="str">
        <f>IFERROR(__xludf.DUMMYFUNCTION("""COMPUTED_VALUE"""),"PE0646")</f>
        <v>PE0646</v>
      </c>
      <c r="B647" s="7" t="str">
        <f>IFERROR(__xludf.DUMMYFUNCTION("""COMPUTED_VALUE"""),"S197")</f>
        <v>S197</v>
      </c>
      <c r="C647" s="7" t="str">
        <f>IFERROR(__xludf.DUMMYFUNCTION("""COMPUTED_VALUE"""),"Network Security, Firewalls &amp; WAF")</f>
        <v>Network Security, Firewalls &amp; WAF</v>
      </c>
      <c r="D647" s="7" t="str">
        <f>IFERROR(__xludf.DUMMYFUNCTION("""COMPUTED_VALUE"""),"S204")</f>
        <v>S204</v>
      </c>
      <c r="E647" s="7" t="str">
        <f>IFERROR(__xludf.DUMMYFUNCTION("""COMPUTED_VALUE"""),"Security Information &amp; Event Management (SIEM: Splunk, Sentinel, QRadar)")</f>
        <v>Security Information &amp; Event Management (SIEM: Splunk, Sentinel, QRadar)</v>
      </c>
      <c r="F647" s="7" t="str">
        <f>IFERROR(__xludf.DUMMYFUNCTION("""COMPUTED_VALUE"""),"S197 unlocks S204")</f>
        <v>S197 unlocks S204</v>
      </c>
    </row>
    <row r="648">
      <c r="A648" s="7" t="str">
        <f>IFERROR(__xludf.DUMMYFUNCTION("""COMPUTED_VALUE"""),"PE0647")</f>
        <v>PE0647</v>
      </c>
      <c r="B648" s="7" t="str">
        <f>IFERROR(__xludf.DUMMYFUNCTION("""COMPUTED_VALUE"""),"S197")</f>
        <v>S197</v>
      </c>
      <c r="C648" s="7" t="str">
        <f>IFERROR(__xludf.DUMMYFUNCTION("""COMPUTED_VALUE"""),"Network Security, Firewalls &amp; WAF")</f>
        <v>Network Security, Firewalls &amp; WAF</v>
      </c>
      <c r="D648" s="7" t="str">
        <f>IFERROR(__xludf.DUMMYFUNCTION("""COMPUTED_VALUE"""),"S205")</f>
        <v>S205</v>
      </c>
      <c r="E648" s="7" t="str">
        <f>IFERROR(__xludf.DUMMYFUNCTION("""COMPUTED_VALUE"""),"Security Operations Center (SOC) &amp; Threat Hunting")</f>
        <v>Security Operations Center (SOC) &amp; Threat Hunting</v>
      </c>
      <c r="F648" s="7" t="str">
        <f>IFERROR(__xludf.DUMMYFUNCTION("""COMPUTED_VALUE"""),"S197 unlocks S205")</f>
        <v>S197 unlocks S205</v>
      </c>
    </row>
    <row r="649">
      <c r="A649" s="7" t="str">
        <f>IFERROR(__xludf.DUMMYFUNCTION("""COMPUTED_VALUE"""),"PE0648")</f>
        <v>PE0648</v>
      </c>
      <c r="B649" s="7" t="str">
        <f>IFERROR(__xludf.DUMMYFUNCTION("""COMPUTED_VALUE"""),"S197")</f>
        <v>S197</v>
      </c>
      <c r="C649" s="7" t="str">
        <f>IFERROR(__xludf.DUMMYFUNCTION("""COMPUTED_VALUE"""),"Network Security, Firewalls &amp; WAF")</f>
        <v>Network Security, Firewalls &amp; WAF</v>
      </c>
      <c r="D649" s="7" t="str">
        <f>IFERROR(__xludf.DUMMYFUNCTION("""COMPUTED_VALUE"""),"S206")</f>
        <v>S206</v>
      </c>
      <c r="E649" s="7" t="str">
        <f>IFERROR(__xludf.DUMMYFUNCTION("""COMPUTED_VALUE"""),"Endpoint Detection &amp; Response (EDR / XDR: CrowdStrike, Defender)")</f>
        <v>Endpoint Detection &amp; Response (EDR / XDR: CrowdStrike, Defender)</v>
      </c>
      <c r="F649" s="7" t="str">
        <f>IFERROR(__xludf.DUMMYFUNCTION("""COMPUTED_VALUE"""),"S197 unlocks S206")</f>
        <v>S197 unlocks S206</v>
      </c>
    </row>
    <row r="650">
      <c r="A650" s="7" t="str">
        <f>IFERROR(__xludf.DUMMYFUNCTION("""COMPUTED_VALUE"""),"PE0649")</f>
        <v>PE0649</v>
      </c>
      <c r="B650" s="7" t="str">
        <f>IFERROR(__xludf.DUMMYFUNCTION("""COMPUTED_VALUE"""),"S197")</f>
        <v>S197</v>
      </c>
      <c r="C650" s="7" t="str">
        <f>IFERROR(__xludf.DUMMYFUNCTION("""COMPUTED_VALUE"""),"Network Security, Firewalls &amp; WAF")</f>
        <v>Network Security, Firewalls &amp; WAF</v>
      </c>
      <c r="D650" s="7" t="str">
        <f>IFERROR(__xludf.DUMMYFUNCTION("""COMPUTED_VALUE"""),"S209")</f>
        <v>S209</v>
      </c>
      <c r="E650" s="7" t="str">
        <f>IFERROR(__xludf.DUMMYFUNCTION("""COMPUTED_VALUE"""),"Applied Cryptography, Hashing &amp; PKI Certificates")</f>
        <v>Applied Cryptography, Hashing &amp; PKI Certificates</v>
      </c>
      <c r="F650" s="7" t="str">
        <f>IFERROR(__xludf.DUMMYFUNCTION("""COMPUTED_VALUE"""),"S197 unlocks S209")</f>
        <v>S197 unlocks S209</v>
      </c>
    </row>
    <row r="651">
      <c r="A651" s="7" t="str">
        <f>IFERROR(__xludf.DUMMYFUNCTION("""COMPUTED_VALUE"""),"PE0650")</f>
        <v>PE0650</v>
      </c>
      <c r="B651" s="7" t="str">
        <f>IFERROR(__xludf.DUMMYFUNCTION("""COMPUTED_VALUE"""),"S197")</f>
        <v>S197</v>
      </c>
      <c r="C651" s="7" t="str">
        <f>IFERROR(__xludf.DUMMYFUNCTION("""COMPUTED_VALUE"""),"Network Security, Firewalls &amp; WAF")</f>
        <v>Network Security, Firewalls &amp; WAF</v>
      </c>
      <c r="D651" s="7" t="str">
        <f>IFERROR(__xludf.DUMMYFUNCTION("""COMPUTED_VALUE"""),"S210")</f>
        <v>S210</v>
      </c>
      <c r="E651" s="7" t="str">
        <f>IFERROR(__xludf.DUMMYFUNCTION("""COMPUTED_VALUE"""),"Enterprise Identity &amp; Access Management (IAM, Okta, Entra ID, Keycloak)")</f>
        <v>Enterprise Identity &amp; Access Management (IAM, Okta, Entra ID, Keycloak)</v>
      </c>
      <c r="F651" s="7" t="str">
        <f>IFERROR(__xludf.DUMMYFUNCTION("""COMPUTED_VALUE"""),"S197 unlocks S210")</f>
        <v>S197 unlocks S210</v>
      </c>
    </row>
    <row r="652">
      <c r="A652" s="7" t="str">
        <f>IFERROR(__xludf.DUMMYFUNCTION("""COMPUTED_VALUE"""),"PE0651")</f>
        <v>PE0651</v>
      </c>
      <c r="B652" s="7" t="str">
        <f>IFERROR(__xludf.DUMMYFUNCTION("""COMPUTED_VALUE"""),"S197")</f>
        <v>S197</v>
      </c>
      <c r="C652" s="7" t="str">
        <f>IFERROR(__xludf.DUMMYFUNCTION("""COMPUTED_VALUE"""),"Network Security, Firewalls &amp; WAF")</f>
        <v>Network Security, Firewalls &amp; WAF</v>
      </c>
      <c r="D652" s="7" t="str">
        <f>IFERROR(__xludf.DUMMYFUNCTION("""COMPUTED_VALUE"""),"S214")</f>
        <v>S214</v>
      </c>
      <c r="E652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F652" s="7" t="str">
        <f>IFERROR(__xludf.DUMMYFUNCTION("""COMPUTED_VALUE"""),"S197 unlocks S214")</f>
        <v>S197 unlocks S214</v>
      </c>
    </row>
    <row r="653">
      <c r="A653" s="7" t="str">
        <f>IFERROR(__xludf.DUMMYFUNCTION("""COMPUTED_VALUE"""),"PE0652")</f>
        <v>PE0652</v>
      </c>
      <c r="B653" s="7" t="str">
        <f>IFERROR(__xludf.DUMMYFUNCTION("""COMPUTED_VALUE"""),"S197")</f>
        <v>S197</v>
      </c>
      <c r="C653" s="7" t="str">
        <f>IFERROR(__xludf.DUMMYFUNCTION("""COMPUTED_VALUE"""),"Network Security, Firewalls &amp; WAF")</f>
        <v>Network Security, Firewalls &amp; WAF</v>
      </c>
      <c r="D653" s="7" t="str">
        <f>IFERROR(__xludf.DUMMYFUNCTION("""COMPUTED_VALUE"""),"S215")</f>
        <v>S215</v>
      </c>
      <c r="E653" s="7" t="str">
        <f>IFERROR(__xludf.DUMMYFUNCTION("""COMPUTED_VALUE"""),"Secrets Management (HashiCorp Vault, AWS Secrets Manager)")</f>
        <v>Secrets Management (HashiCorp Vault, AWS Secrets Manager)</v>
      </c>
      <c r="F653" s="7" t="str">
        <f>IFERROR(__xludf.DUMMYFUNCTION("""COMPUTED_VALUE"""),"S197 unlocks S215")</f>
        <v>S197 unlocks S215</v>
      </c>
    </row>
    <row r="654">
      <c r="A654" s="7" t="str">
        <f>IFERROR(__xludf.DUMMYFUNCTION("""COMPUTED_VALUE"""),"PE0653")</f>
        <v>PE0653</v>
      </c>
      <c r="B654" s="7" t="str">
        <f>IFERROR(__xludf.DUMMYFUNCTION("""COMPUTED_VALUE"""),"S197")</f>
        <v>S197</v>
      </c>
      <c r="C654" s="7" t="str">
        <f>IFERROR(__xludf.DUMMYFUNCTION("""COMPUTED_VALUE"""),"Network Security, Firewalls &amp; WAF")</f>
        <v>Network Security, Firewalls &amp; WAF</v>
      </c>
      <c r="D654" s="7" t="str">
        <f>IFERROR(__xludf.DUMMYFUNCTION("""COMPUTED_VALUE"""),"S217")</f>
        <v>S217</v>
      </c>
      <c r="E654" s="7" t="str">
        <f>IFERROR(__xludf.DUMMYFUNCTION("""COMPUTED_VALUE"""),"Governance, Risk &amp; Compliance (ISO 27001, SOC 2, NIST, GDPR)")</f>
        <v>Governance, Risk &amp; Compliance (ISO 27001, SOC 2, NIST, GDPR)</v>
      </c>
      <c r="F654" s="7" t="str">
        <f>IFERROR(__xludf.DUMMYFUNCTION("""COMPUTED_VALUE"""),"S197 unlocks S217")</f>
        <v>S197 unlocks S217</v>
      </c>
    </row>
    <row r="655">
      <c r="A655" s="7" t="str">
        <f>IFERROR(__xludf.DUMMYFUNCTION("""COMPUTED_VALUE"""),"PE0654")</f>
        <v>PE0654</v>
      </c>
      <c r="B655" s="7" t="str">
        <f>IFERROR(__xludf.DUMMYFUNCTION("""COMPUTED_VALUE"""),"S197")</f>
        <v>S197</v>
      </c>
      <c r="C655" s="7" t="str">
        <f>IFERROR(__xludf.DUMMYFUNCTION("""COMPUTED_VALUE"""),"Network Security, Firewalls &amp; WAF")</f>
        <v>Network Security, Firewalls &amp; WAF</v>
      </c>
      <c r="D655" s="7" t="str">
        <f>IFERROR(__xludf.DUMMYFUNCTION("""COMPUTED_VALUE"""),"S218")</f>
        <v>S218</v>
      </c>
      <c r="E655" s="7" t="str">
        <f>IFERROR(__xludf.DUMMYFUNCTION("""COMPUTED_VALUE"""),"Security Auditing &amp; IT Risk Assessment")</f>
        <v>Security Auditing &amp; IT Risk Assessment</v>
      </c>
      <c r="F655" s="7" t="str">
        <f>IFERROR(__xludf.DUMMYFUNCTION("""COMPUTED_VALUE"""),"S197 unlocks S218")</f>
        <v>S197 unlocks S218</v>
      </c>
    </row>
    <row r="656">
      <c r="A656" s="7" t="str">
        <f>IFERROR(__xludf.DUMMYFUNCTION("""COMPUTED_VALUE"""),"PE0655")</f>
        <v>PE0655</v>
      </c>
      <c r="B656" s="7" t="str">
        <f>IFERROR(__xludf.DUMMYFUNCTION("""COMPUTED_VALUE"""),"S199")</f>
        <v>S199</v>
      </c>
      <c r="C656" s="7" t="str">
        <f>IFERROR(__xludf.DUMMYFUNCTION("""COMPUTED_VALUE"""),"Packet Capture &amp; Traffic Analysis (Wireshark, tcpdump, Nmap)")</f>
        <v>Packet Capture &amp; Traffic Analysis (Wireshark, tcpdump, Nmap)</v>
      </c>
      <c r="D656" s="7" t="str">
        <f>IFERROR(__xludf.DUMMYFUNCTION("""COMPUTED_VALUE"""),"S198")</f>
        <v>S198</v>
      </c>
      <c r="E656" s="7" t="str">
        <f>IFERROR(__xludf.DUMMYFUNCTION("""COMPUTED_VALUE"""),"Intrusion Detection &amp; Prevention Systems (IDS/IPS, Snort, Suricata)")</f>
        <v>Intrusion Detection &amp; Prevention Systems (IDS/IPS, Snort, Suricata)</v>
      </c>
      <c r="F656" s="7" t="str">
        <f>IFERROR(__xludf.DUMMYFUNCTION("""COMPUTED_VALUE"""),"S199 unlocks S198")</f>
        <v>S199 unlocks S198</v>
      </c>
    </row>
    <row r="657">
      <c r="A657" s="7" t="str">
        <f>IFERROR(__xludf.DUMMYFUNCTION("""COMPUTED_VALUE"""),"PE0656")</f>
        <v>PE0656</v>
      </c>
      <c r="B657" s="7" t="str">
        <f>IFERROR(__xludf.DUMMYFUNCTION("""COMPUTED_VALUE"""),"S199")</f>
        <v>S199</v>
      </c>
      <c r="C657" s="7" t="str">
        <f>IFERROR(__xludf.DUMMYFUNCTION("""COMPUTED_VALUE"""),"Packet Capture &amp; Traffic Analysis (Wireshark, tcpdump, Nmap)")</f>
        <v>Packet Capture &amp; Traffic Analysis (Wireshark, tcpdump, Nmap)</v>
      </c>
      <c r="D657" s="7" t="str">
        <f>IFERROR(__xludf.DUMMYFUNCTION("""COMPUTED_VALUE"""),"S201")</f>
        <v>S201</v>
      </c>
      <c r="E657" s="7" t="str">
        <f>IFERROR(__xludf.DUMMYFUNCTION("""COMPUTED_VALUE"""),"Web Application Penetration Testing (Burp Suite, OWASP ZAP)")</f>
        <v>Web Application Penetration Testing (Burp Suite, OWASP ZAP)</v>
      </c>
      <c r="F657" s="7" t="str">
        <f>IFERROR(__xludf.DUMMYFUNCTION("""COMPUTED_VALUE"""),"S199 unlocks S201")</f>
        <v>S199 unlocks S201</v>
      </c>
    </row>
    <row r="658">
      <c r="A658" s="7" t="str">
        <f>IFERROR(__xludf.DUMMYFUNCTION("""COMPUTED_VALUE"""),"PE0657")</f>
        <v>PE0657</v>
      </c>
      <c r="B658" s="7" t="str">
        <f>IFERROR(__xludf.DUMMYFUNCTION("""COMPUTED_VALUE"""),"S199")</f>
        <v>S199</v>
      </c>
      <c r="C658" s="7" t="str">
        <f>IFERROR(__xludf.DUMMYFUNCTION("""COMPUTED_VALUE"""),"Packet Capture &amp; Traffic Analysis (Wireshark, tcpdump, Nmap)")</f>
        <v>Packet Capture &amp; Traffic Analysis (Wireshark, tcpdump, Nmap)</v>
      </c>
      <c r="D658" s="7" t="str">
        <f>IFERROR(__xludf.DUMMYFUNCTION("""COMPUTED_VALUE"""),"S203")</f>
        <v>S203</v>
      </c>
      <c r="E658" s="7" t="str">
        <f>IFERROR(__xludf.DUMMYFUNCTION("""COMPUTED_VALUE"""),"Vulnerability Assessment &amp; Management (Nessus, OpenVAS, Qualys)")</f>
        <v>Vulnerability Assessment &amp; Management (Nessus, OpenVAS, Qualys)</v>
      </c>
      <c r="F658" s="7" t="str">
        <f>IFERROR(__xludf.DUMMYFUNCTION("""COMPUTED_VALUE"""),"S199 unlocks S203")</f>
        <v>S199 unlocks S203</v>
      </c>
    </row>
    <row r="659">
      <c r="A659" s="7" t="str">
        <f>IFERROR(__xludf.DUMMYFUNCTION("""COMPUTED_VALUE"""),"PE0658")</f>
        <v>PE0658</v>
      </c>
      <c r="B659" s="7" t="str">
        <f>IFERROR(__xludf.DUMMYFUNCTION("""COMPUTED_VALUE"""),"S199")</f>
        <v>S199</v>
      </c>
      <c r="C659" s="7" t="str">
        <f>IFERROR(__xludf.DUMMYFUNCTION("""COMPUTED_VALUE"""),"Packet Capture &amp; Traffic Analysis (Wireshark, tcpdump, Nmap)")</f>
        <v>Packet Capture &amp; Traffic Analysis (Wireshark, tcpdump, Nmap)</v>
      </c>
      <c r="D659" s="7" t="str">
        <f>IFERROR(__xludf.DUMMYFUNCTION("""COMPUTED_VALUE"""),"S204")</f>
        <v>S204</v>
      </c>
      <c r="E659" s="7" t="str">
        <f>IFERROR(__xludf.DUMMYFUNCTION("""COMPUTED_VALUE"""),"Security Information &amp; Event Management (SIEM: Splunk, Sentinel, QRadar)")</f>
        <v>Security Information &amp; Event Management (SIEM: Splunk, Sentinel, QRadar)</v>
      </c>
      <c r="F659" s="7" t="str">
        <f>IFERROR(__xludf.DUMMYFUNCTION("""COMPUTED_VALUE"""),"S199 unlocks S204")</f>
        <v>S199 unlocks S204</v>
      </c>
    </row>
    <row r="660">
      <c r="A660" s="7" t="str">
        <f>IFERROR(__xludf.DUMMYFUNCTION("""COMPUTED_VALUE"""),"PE0659")</f>
        <v>PE0659</v>
      </c>
      <c r="B660" s="7" t="str">
        <f>IFERROR(__xludf.DUMMYFUNCTION("""COMPUTED_VALUE"""),"S199")</f>
        <v>S199</v>
      </c>
      <c r="C660" s="7" t="str">
        <f>IFERROR(__xludf.DUMMYFUNCTION("""COMPUTED_VALUE"""),"Packet Capture &amp; Traffic Analysis (Wireshark, tcpdump, Nmap)")</f>
        <v>Packet Capture &amp; Traffic Analysis (Wireshark, tcpdump, Nmap)</v>
      </c>
      <c r="D660" s="7" t="str">
        <f>IFERROR(__xludf.DUMMYFUNCTION("""COMPUTED_VALUE"""),"S205")</f>
        <v>S205</v>
      </c>
      <c r="E660" s="7" t="str">
        <f>IFERROR(__xludf.DUMMYFUNCTION("""COMPUTED_VALUE"""),"Security Operations Center (SOC) &amp; Threat Hunting")</f>
        <v>Security Operations Center (SOC) &amp; Threat Hunting</v>
      </c>
      <c r="F660" s="7" t="str">
        <f>IFERROR(__xludf.DUMMYFUNCTION("""COMPUTED_VALUE"""),"S199 unlocks S205")</f>
        <v>S199 unlocks S205</v>
      </c>
    </row>
    <row r="661">
      <c r="A661" s="7" t="str">
        <f>IFERROR(__xludf.DUMMYFUNCTION("""COMPUTED_VALUE"""),"PE0660")</f>
        <v>PE0660</v>
      </c>
      <c r="B661" s="7" t="str">
        <f>IFERROR(__xludf.DUMMYFUNCTION("""COMPUTED_VALUE"""),"S199")</f>
        <v>S199</v>
      </c>
      <c r="C661" s="7" t="str">
        <f>IFERROR(__xludf.DUMMYFUNCTION("""COMPUTED_VALUE"""),"Packet Capture &amp; Traffic Analysis (Wireshark, tcpdump, Nmap)")</f>
        <v>Packet Capture &amp; Traffic Analysis (Wireshark, tcpdump, Nmap)</v>
      </c>
      <c r="D661" s="7" t="str">
        <f>IFERROR(__xludf.DUMMYFUNCTION("""COMPUTED_VALUE"""),"S206")</f>
        <v>S206</v>
      </c>
      <c r="E661" s="7" t="str">
        <f>IFERROR(__xludf.DUMMYFUNCTION("""COMPUTED_VALUE"""),"Endpoint Detection &amp; Response (EDR / XDR: CrowdStrike, Defender)")</f>
        <v>Endpoint Detection &amp; Response (EDR / XDR: CrowdStrike, Defender)</v>
      </c>
      <c r="F661" s="7" t="str">
        <f>IFERROR(__xludf.DUMMYFUNCTION("""COMPUTED_VALUE"""),"S199 unlocks S206")</f>
        <v>S199 unlocks S206</v>
      </c>
    </row>
    <row r="662">
      <c r="A662" s="7" t="str">
        <f>IFERROR(__xludf.DUMMYFUNCTION("""COMPUTED_VALUE"""),"PE0661")</f>
        <v>PE0661</v>
      </c>
      <c r="B662" s="7" t="str">
        <f>IFERROR(__xludf.DUMMYFUNCTION("""COMPUTED_VALUE"""),"S199")</f>
        <v>S199</v>
      </c>
      <c r="C662" s="7" t="str">
        <f>IFERROR(__xludf.DUMMYFUNCTION("""COMPUTED_VALUE"""),"Packet Capture &amp; Traffic Analysis (Wireshark, tcpdump, Nmap)")</f>
        <v>Packet Capture &amp; Traffic Analysis (Wireshark, tcpdump, Nmap)</v>
      </c>
      <c r="D662" s="7" t="str">
        <f>IFERROR(__xludf.DUMMYFUNCTION("""COMPUTED_VALUE"""),"S209")</f>
        <v>S209</v>
      </c>
      <c r="E662" s="7" t="str">
        <f>IFERROR(__xludf.DUMMYFUNCTION("""COMPUTED_VALUE"""),"Applied Cryptography, Hashing &amp; PKI Certificates")</f>
        <v>Applied Cryptography, Hashing &amp; PKI Certificates</v>
      </c>
      <c r="F662" s="7" t="str">
        <f>IFERROR(__xludf.DUMMYFUNCTION("""COMPUTED_VALUE"""),"S199 unlocks S209")</f>
        <v>S199 unlocks S209</v>
      </c>
    </row>
    <row r="663">
      <c r="A663" s="7" t="str">
        <f>IFERROR(__xludf.DUMMYFUNCTION("""COMPUTED_VALUE"""),"PE0662")</f>
        <v>PE0662</v>
      </c>
      <c r="B663" s="7" t="str">
        <f>IFERROR(__xludf.DUMMYFUNCTION("""COMPUTED_VALUE"""),"S199")</f>
        <v>S199</v>
      </c>
      <c r="C663" s="7" t="str">
        <f>IFERROR(__xludf.DUMMYFUNCTION("""COMPUTED_VALUE"""),"Packet Capture &amp; Traffic Analysis (Wireshark, tcpdump, Nmap)")</f>
        <v>Packet Capture &amp; Traffic Analysis (Wireshark, tcpdump, Nmap)</v>
      </c>
      <c r="D663" s="7" t="str">
        <f>IFERROR(__xludf.DUMMYFUNCTION("""COMPUTED_VALUE"""),"S210")</f>
        <v>S210</v>
      </c>
      <c r="E663" s="7" t="str">
        <f>IFERROR(__xludf.DUMMYFUNCTION("""COMPUTED_VALUE"""),"Enterprise Identity &amp; Access Management (IAM, Okta, Entra ID, Keycloak)")</f>
        <v>Enterprise Identity &amp; Access Management (IAM, Okta, Entra ID, Keycloak)</v>
      </c>
      <c r="F663" s="7" t="str">
        <f>IFERROR(__xludf.DUMMYFUNCTION("""COMPUTED_VALUE"""),"S199 unlocks S210")</f>
        <v>S199 unlocks S210</v>
      </c>
    </row>
    <row r="664">
      <c r="A664" s="7" t="str">
        <f>IFERROR(__xludf.DUMMYFUNCTION("""COMPUTED_VALUE"""),"PE0663")</f>
        <v>PE0663</v>
      </c>
      <c r="B664" s="7" t="str">
        <f>IFERROR(__xludf.DUMMYFUNCTION("""COMPUTED_VALUE"""),"S199")</f>
        <v>S199</v>
      </c>
      <c r="C664" s="7" t="str">
        <f>IFERROR(__xludf.DUMMYFUNCTION("""COMPUTED_VALUE"""),"Packet Capture &amp; Traffic Analysis (Wireshark, tcpdump, Nmap)")</f>
        <v>Packet Capture &amp; Traffic Analysis (Wireshark, tcpdump, Nmap)</v>
      </c>
      <c r="D664" s="7" t="str">
        <f>IFERROR(__xludf.DUMMYFUNCTION("""COMPUTED_VALUE"""),"S214")</f>
        <v>S214</v>
      </c>
      <c r="E664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F664" s="7" t="str">
        <f>IFERROR(__xludf.DUMMYFUNCTION("""COMPUTED_VALUE"""),"S199 unlocks S214")</f>
        <v>S199 unlocks S214</v>
      </c>
    </row>
    <row r="665">
      <c r="A665" s="7" t="str">
        <f>IFERROR(__xludf.DUMMYFUNCTION("""COMPUTED_VALUE"""),"PE0664")</f>
        <v>PE0664</v>
      </c>
      <c r="B665" s="7" t="str">
        <f>IFERROR(__xludf.DUMMYFUNCTION("""COMPUTED_VALUE"""),"S199")</f>
        <v>S199</v>
      </c>
      <c r="C665" s="7" t="str">
        <f>IFERROR(__xludf.DUMMYFUNCTION("""COMPUTED_VALUE"""),"Packet Capture &amp; Traffic Analysis (Wireshark, tcpdump, Nmap)")</f>
        <v>Packet Capture &amp; Traffic Analysis (Wireshark, tcpdump, Nmap)</v>
      </c>
      <c r="D665" s="7" t="str">
        <f>IFERROR(__xludf.DUMMYFUNCTION("""COMPUTED_VALUE"""),"S215")</f>
        <v>S215</v>
      </c>
      <c r="E665" s="7" t="str">
        <f>IFERROR(__xludf.DUMMYFUNCTION("""COMPUTED_VALUE"""),"Secrets Management (HashiCorp Vault, AWS Secrets Manager)")</f>
        <v>Secrets Management (HashiCorp Vault, AWS Secrets Manager)</v>
      </c>
      <c r="F665" s="7" t="str">
        <f>IFERROR(__xludf.DUMMYFUNCTION("""COMPUTED_VALUE"""),"S199 unlocks S215")</f>
        <v>S199 unlocks S215</v>
      </c>
    </row>
    <row r="666">
      <c r="A666" s="7" t="str">
        <f>IFERROR(__xludf.DUMMYFUNCTION("""COMPUTED_VALUE"""),"PE0665")</f>
        <v>PE0665</v>
      </c>
      <c r="B666" s="7" t="str">
        <f>IFERROR(__xludf.DUMMYFUNCTION("""COMPUTED_VALUE"""),"S199")</f>
        <v>S199</v>
      </c>
      <c r="C666" s="7" t="str">
        <f>IFERROR(__xludf.DUMMYFUNCTION("""COMPUTED_VALUE"""),"Packet Capture &amp; Traffic Analysis (Wireshark, tcpdump, Nmap)")</f>
        <v>Packet Capture &amp; Traffic Analysis (Wireshark, tcpdump, Nmap)</v>
      </c>
      <c r="D666" s="7" t="str">
        <f>IFERROR(__xludf.DUMMYFUNCTION("""COMPUTED_VALUE"""),"S217")</f>
        <v>S217</v>
      </c>
      <c r="E666" s="7" t="str">
        <f>IFERROR(__xludf.DUMMYFUNCTION("""COMPUTED_VALUE"""),"Governance, Risk &amp; Compliance (ISO 27001, SOC 2, NIST, GDPR)")</f>
        <v>Governance, Risk &amp; Compliance (ISO 27001, SOC 2, NIST, GDPR)</v>
      </c>
      <c r="F666" s="7" t="str">
        <f>IFERROR(__xludf.DUMMYFUNCTION("""COMPUTED_VALUE"""),"S199 unlocks S217")</f>
        <v>S199 unlocks S217</v>
      </c>
    </row>
    <row r="667">
      <c r="A667" s="7" t="str">
        <f>IFERROR(__xludf.DUMMYFUNCTION("""COMPUTED_VALUE"""),"PE0666")</f>
        <v>PE0666</v>
      </c>
      <c r="B667" s="7" t="str">
        <f>IFERROR(__xludf.DUMMYFUNCTION("""COMPUTED_VALUE"""),"S199")</f>
        <v>S199</v>
      </c>
      <c r="C667" s="7" t="str">
        <f>IFERROR(__xludf.DUMMYFUNCTION("""COMPUTED_VALUE"""),"Packet Capture &amp; Traffic Analysis (Wireshark, tcpdump, Nmap)")</f>
        <v>Packet Capture &amp; Traffic Analysis (Wireshark, tcpdump, Nmap)</v>
      </c>
      <c r="D667" s="7" t="str">
        <f>IFERROR(__xludf.DUMMYFUNCTION("""COMPUTED_VALUE"""),"S218")</f>
        <v>S218</v>
      </c>
      <c r="E667" s="7" t="str">
        <f>IFERROR(__xludf.DUMMYFUNCTION("""COMPUTED_VALUE"""),"Security Auditing &amp; IT Risk Assessment")</f>
        <v>Security Auditing &amp; IT Risk Assessment</v>
      </c>
      <c r="F667" s="7" t="str">
        <f>IFERROR(__xludf.DUMMYFUNCTION("""COMPUTED_VALUE"""),"S199 unlocks S218")</f>
        <v>S199 unlocks S218</v>
      </c>
    </row>
    <row r="668">
      <c r="A668" s="7" t="str">
        <f>IFERROR(__xludf.DUMMYFUNCTION("""COMPUTED_VALUE"""),"PE0667")</f>
        <v>PE0667</v>
      </c>
      <c r="B668" s="7" t="str">
        <f>IFERROR(__xludf.DUMMYFUNCTION("""COMPUTED_VALUE"""),"S200")</f>
        <v>S200</v>
      </c>
      <c r="C668" s="7" t="str">
        <f>IFERROR(__xludf.DUMMYFUNCTION("""COMPUTED_VALUE"""),"Web Application Security &amp; OWASP Top 10")</f>
        <v>Web Application Security &amp; OWASP Top 10</v>
      </c>
      <c r="D668" s="7" t="str">
        <f>IFERROR(__xludf.DUMMYFUNCTION("""COMPUTED_VALUE"""),"S198")</f>
        <v>S198</v>
      </c>
      <c r="E668" s="7" t="str">
        <f>IFERROR(__xludf.DUMMYFUNCTION("""COMPUTED_VALUE"""),"Intrusion Detection &amp; Prevention Systems (IDS/IPS, Snort, Suricata)")</f>
        <v>Intrusion Detection &amp; Prevention Systems (IDS/IPS, Snort, Suricata)</v>
      </c>
      <c r="F668" s="7" t="str">
        <f>IFERROR(__xludf.DUMMYFUNCTION("""COMPUTED_VALUE"""),"S200 unlocks S198")</f>
        <v>S200 unlocks S198</v>
      </c>
    </row>
    <row r="669">
      <c r="A669" s="7" t="str">
        <f>IFERROR(__xludf.DUMMYFUNCTION("""COMPUTED_VALUE"""),"PE0668")</f>
        <v>PE0668</v>
      </c>
      <c r="B669" s="7" t="str">
        <f>IFERROR(__xludf.DUMMYFUNCTION("""COMPUTED_VALUE"""),"S200")</f>
        <v>S200</v>
      </c>
      <c r="C669" s="7" t="str">
        <f>IFERROR(__xludf.DUMMYFUNCTION("""COMPUTED_VALUE"""),"Web Application Security &amp; OWASP Top 10")</f>
        <v>Web Application Security &amp; OWASP Top 10</v>
      </c>
      <c r="D669" s="7" t="str">
        <f>IFERROR(__xludf.DUMMYFUNCTION("""COMPUTED_VALUE"""),"S201")</f>
        <v>S201</v>
      </c>
      <c r="E669" s="7" t="str">
        <f>IFERROR(__xludf.DUMMYFUNCTION("""COMPUTED_VALUE"""),"Web Application Penetration Testing (Burp Suite, OWASP ZAP)")</f>
        <v>Web Application Penetration Testing (Burp Suite, OWASP ZAP)</v>
      </c>
      <c r="F669" s="7" t="str">
        <f>IFERROR(__xludf.DUMMYFUNCTION("""COMPUTED_VALUE"""),"S200 unlocks S201")</f>
        <v>S200 unlocks S201</v>
      </c>
    </row>
    <row r="670">
      <c r="A670" s="7" t="str">
        <f>IFERROR(__xludf.DUMMYFUNCTION("""COMPUTED_VALUE"""),"PE0669")</f>
        <v>PE0669</v>
      </c>
      <c r="B670" s="7" t="str">
        <f>IFERROR(__xludf.DUMMYFUNCTION("""COMPUTED_VALUE"""),"S200")</f>
        <v>S200</v>
      </c>
      <c r="C670" s="7" t="str">
        <f>IFERROR(__xludf.DUMMYFUNCTION("""COMPUTED_VALUE"""),"Web Application Security &amp; OWASP Top 10")</f>
        <v>Web Application Security &amp; OWASP Top 10</v>
      </c>
      <c r="D670" s="7" t="str">
        <f>IFERROR(__xludf.DUMMYFUNCTION("""COMPUTED_VALUE"""),"S203")</f>
        <v>S203</v>
      </c>
      <c r="E670" s="7" t="str">
        <f>IFERROR(__xludf.DUMMYFUNCTION("""COMPUTED_VALUE"""),"Vulnerability Assessment &amp; Management (Nessus, OpenVAS, Qualys)")</f>
        <v>Vulnerability Assessment &amp; Management (Nessus, OpenVAS, Qualys)</v>
      </c>
      <c r="F670" s="7" t="str">
        <f>IFERROR(__xludf.DUMMYFUNCTION("""COMPUTED_VALUE"""),"S200 unlocks S203")</f>
        <v>S200 unlocks S203</v>
      </c>
    </row>
    <row r="671">
      <c r="A671" s="7" t="str">
        <f>IFERROR(__xludf.DUMMYFUNCTION("""COMPUTED_VALUE"""),"PE0670")</f>
        <v>PE0670</v>
      </c>
      <c r="B671" s="7" t="str">
        <f>IFERROR(__xludf.DUMMYFUNCTION("""COMPUTED_VALUE"""),"S200")</f>
        <v>S200</v>
      </c>
      <c r="C671" s="7" t="str">
        <f>IFERROR(__xludf.DUMMYFUNCTION("""COMPUTED_VALUE"""),"Web Application Security &amp; OWASP Top 10")</f>
        <v>Web Application Security &amp; OWASP Top 10</v>
      </c>
      <c r="D671" s="7" t="str">
        <f>IFERROR(__xludf.DUMMYFUNCTION("""COMPUTED_VALUE"""),"S204")</f>
        <v>S204</v>
      </c>
      <c r="E671" s="7" t="str">
        <f>IFERROR(__xludf.DUMMYFUNCTION("""COMPUTED_VALUE"""),"Security Information &amp; Event Management (SIEM: Splunk, Sentinel, QRadar)")</f>
        <v>Security Information &amp; Event Management (SIEM: Splunk, Sentinel, QRadar)</v>
      </c>
      <c r="F671" s="7" t="str">
        <f>IFERROR(__xludf.DUMMYFUNCTION("""COMPUTED_VALUE"""),"S200 unlocks S204")</f>
        <v>S200 unlocks S204</v>
      </c>
    </row>
    <row r="672">
      <c r="A672" s="7" t="str">
        <f>IFERROR(__xludf.DUMMYFUNCTION("""COMPUTED_VALUE"""),"PE0671")</f>
        <v>PE0671</v>
      </c>
      <c r="B672" s="7" t="str">
        <f>IFERROR(__xludf.DUMMYFUNCTION("""COMPUTED_VALUE"""),"S200")</f>
        <v>S200</v>
      </c>
      <c r="C672" s="7" t="str">
        <f>IFERROR(__xludf.DUMMYFUNCTION("""COMPUTED_VALUE"""),"Web Application Security &amp; OWASP Top 10")</f>
        <v>Web Application Security &amp; OWASP Top 10</v>
      </c>
      <c r="D672" s="7" t="str">
        <f>IFERROR(__xludf.DUMMYFUNCTION("""COMPUTED_VALUE"""),"S205")</f>
        <v>S205</v>
      </c>
      <c r="E672" s="7" t="str">
        <f>IFERROR(__xludf.DUMMYFUNCTION("""COMPUTED_VALUE"""),"Security Operations Center (SOC) &amp; Threat Hunting")</f>
        <v>Security Operations Center (SOC) &amp; Threat Hunting</v>
      </c>
      <c r="F672" s="7" t="str">
        <f>IFERROR(__xludf.DUMMYFUNCTION("""COMPUTED_VALUE"""),"S200 unlocks S205")</f>
        <v>S200 unlocks S205</v>
      </c>
    </row>
    <row r="673">
      <c r="A673" s="7" t="str">
        <f>IFERROR(__xludf.DUMMYFUNCTION("""COMPUTED_VALUE"""),"PE0672")</f>
        <v>PE0672</v>
      </c>
      <c r="B673" s="7" t="str">
        <f>IFERROR(__xludf.DUMMYFUNCTION("""COMPUTED_VALUE"""),"S200")</f>
        <v>S200</v>
      </c>
      <c r="C673" s="7" t="str">
        <f>IFERROR(__xludf.DUMMYFUNCTION("""COMPUTED_VALUE"""),"Web Application Security &amp; OWASP Top 10")</f>
        <v>Web Application Security &amp; OWASP Top 10</v>
      </c>
      <c r="D673" s="7" t="str">
        <f>IFERROR(__xludf.DUMMYFUNCTION("""COMPUTED_VALUE"""),"S206")</f>
        <v>S206</v>
      </c>
      <c r="E673" s="7" t="str">
        <f>IFERROR(__xludf.DUMMYFUNCTION("""COMPUTED_VALUE"""),"Endpoint Detection &amp; Response (EDR / XDR: CrowdStrike, Defender)")</f>
        <v>Endpoint Detection &amp; Response (EDR / XDR: CrowdStrike, Defender)</v>
      </c>
      <c r="F673" s="7" t="str">
        <f>IFERROR(__xludf.DUMMYFUNCTION("""COMPUTED_VALUE"""),"S200 unlocks S206")</f>
        <v>S200 unlocks S206</v>
      </c>
    </row>
    <row r="674">
      <c r="A674" s="7" t="str">
        <f>IFERROR(__xludf.DUMMYFUNCTION("""COMPUTED_VALUE"""),"PE0673")</f>
        <v>PE0673</v>
      </c>
      <c r="B674" s="7" t="str">
        <f>IFERROR(__xludf.DUMMYFUNCTION("""COMPUTED_VALUE"""),"S200")</f>
        <v>S200</v>
      </c>
      <c r="C674" s="7" t="str">
        <f>IFERROR(__xludf.DUMMYFUNCTION("""COMPUTED_VALUE"""),"Web Application Security &amp; OWASP Top 10")</f>
        <v>Web Application Security &amp; OWASP Top 10</v>
      </c>
      <c r="D674" s="7" t="str">
        <f>IFERROR(__xludf.DUMMYFUNCTION("""COMPUTED_VALUE"""),"S209")</f>
        <v>S209</v>
      </c>
      <c r="E674" s="7" t="str">
        <f>IFERROR(__xludf.DUMMYFUNCTION("""COMPUTED_VALUE"""),"Applied Cryptography, Hashing &amp; PKI Certificates")</f>
        <v>Applied Cryptography, Hashing &amp; PKI Certificates</v>
      </c>
      <c r="F674" s="7" t="str">
        <f>IFERROR(__xludf.DUMMYFUNCTION("""COMPUTED_VALUE"""),"S200 unlocks S209")</f>
        <v>S200 unlocks S209</v>
      </c>
    </row>
    <row r="675">
      <c r="A675" s="7" t="str">
        <f>IFERROR(__xludf.DUMMYFUNCTION("""COMPUTED_VALUE"""),"PE0674")</f>
        <v>PE0674</v>
      </c>
      <c r="B675" s="7" t="str">
        <f>IFERROR(__xludf.DUMMYFUNCTION("""COMPUTED_VALUE"""),"S200")</f>
        <v>S200</v>
      </c>
      <c r="C675" s="7" t="str">
        <f>IFERROR(__xludf.DUMMYFUNCTION("""COMPUTED_VALUE"""),"Web Application Security &amp; OWASP Top 10")</f>
        <v>Web Application Security &amp; OWASP Top 10</v>
      </c>
      <c r="D675" s="7" t="str">
        <f>IFERROR(__xludf.DUMMYFUNCTION("""COMPUTED_VALUE"""),"S210")</f>
        <v>S210</v>
      </c>
      <c r="E675" s="7" t="str">
        <f>IFERROR(__xludf.DUMMYFUNCTION("""COMPUTED_VALUE"""),"Enterprise Identity &amp; Access Management (IAM, Okta, Entra ID, Keycloak)")</f>
        <v>Enterprise Identity &amp; Access Management (IAM, Okta, Entra ID, Keycloak)</v>
      </c>
      <c r="F675" s="7" t="str">
        <f>IFERROR(__xludf.DUMMYFUNCTION("""COMPUTED_VALUE"""),"S200 unlocks S210")</f>
        <v>S200 unlocks S210</v>
      </c>
    </row>
    <row r="676">
      <c r="A676" s="7" t="str">
        <f>IFERROR(__xludf.DUMMYFUNCTION("""COMPUTED_VALUE"""),"PE0675")</f>
        <v>PE0675</v>
      </c>
      <c r="B676" s="7" t="str">
        <f>IFERROR(__xludf.DUMMYFUNCTION("""COMPUTED_VALUE"""),"S200")</f>
        <v>S200</v>
      </c>
      <c r="C676" s="7" t="str">
        <f>IFERROR(__xludf.DUMMYFUNCTION("""COMPUTED_VALUE"""),"Web Application Security &amp; OWASP Top 10")</f>
        <v>Web Application Security &amp; OWASP Top 10</v>
      </c>
      <c r="D676" s="7" t="str">
        <f>IFERROR(__xludf.DUMMYFUNCTION("""COMPUTED_VALUE"""),"S214")</f>
        <v>S214</v>
      </c>
      <c r="E676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F676" s="7" t="str">
        <f>IFERROR(__xludf.DUMMYFUNCTION("""COMPUTED_VALUE"""),"S200 unlocks S214")</f>
        <v>S200 unlocks S214</v>
      </c>
    </row>
    <row r="677">
      <c r="A677" s="7" t="str">
        <f>IFERROR(__xludf.DUMMYFUNCTION("""COMPUTED_VALUE"""),"PE0676")</f>
        <v>PE0676</v>
      </c>
      <c r="B677" s="7" t="str">
        <f>IFERROR(__xludf.DUMMYFUNCTION("""COMPUTED_VALUE"""),"S200")</f>
        <v>S200</v>
      </c>
      <c r="C677" s="7" t="str">
        <f>IFERROR(__xludf.DUMMYFUNCTION("""COMPUTED_VALUE"""),"Web Application Security &amp; OWASP Top 10")</f>
        <v>Web Application Security &amp; OWASP Top 10</v>
      </c>
      <c r="D677" s="7" t="str">
        <f>IFERROR(__xludf.DUMMYFUNCTION("""COMPUTED_VALUE"""),"S215")</f>
        <v>S215</v>
      </c>
      <c r="E677" s="7" t="str">
        <f>IFERROR(__xludf.DUMMYFUNCTION("""COMPUTED_VALUE"""),"Secrets Management (HashiCorp Vault, AWS Secrets Manager)")</f>
        <v>Secrets Management (HashiCorp Vault, AWS Secrets Manager)</v>
      </c>
      <c r="F677" s="7" t="str">
        <f>IFERROR(__xludf.DUMMYFUNCTION("""COMPUTED_VALUE"""),"S200 unlocks S215")</f>
        <v>S200 unlocks S215</v>
      </c>
    </row>
    <row r="678">
      <c r="A678" s="7" t="str">
        <f>IFERROR(__xludf.DUMMYFUNCTION("""COMPUTED_VALUE"""),"PE0677")</f>
        <v>PE0677</v>
      </c>
      <c r="B678" s="7" t="str">
        <f>IFERROR(__xludf.DUMMYFUNCTION("""COMPUTED_VALUE"""),"S200")</f>
        <v>S200</v>
      </c>
      <c r="C678" s="7" t="str">
        <f>IFERROR(__xludf.DUMMYFUNCTION("""COMPUTED_VALUE"""),"Web Application Security &amp; OWASP Top 10")</f>
        <v>Web Application Security &amp; OWASP Top 10</v>
      </c>
      <c r="D678" s="7" t="str">
        <f>IFERROR(__xludf.DUMMYFUNCTION("""COMPUTED_VALUE"""),"S217")</f>
        <v>S217</v>
      </c>
      <c r="E678" s="7" t="str">
        <f>IFERROR(__xludf.DUMMYFUNCTION("""COMPUTED_VALUE"""),"Governance, Risk &amp; Compliance (ISO 27001, SOC 2, NIST, GDPR)")</f>
        <v>Governance, Risk &amp; Compliance (ISO 27001, SOC 2, NIST, GDPR)</v>
      </c>
      <c r="F678" s="7" t="str">
        <f>IFERROR(__xludf.DUMMYFUNCTION("""COMPUTED_VALUE"""),"S200 unlocks S217")</f>
        <v>S200 unlocks S217</v>
      </c>
    </row>
    <row r="679">
      <c r="A679" s="7" t="str">
        <f>IFERROR(__xludf.DUMMYFUNCTION("""COMPUTED_VALUE"""),"PE0678")</f>
        <v>PE0678</v>
      </c>
      <c r="B679" s="7" t="str">
        <f>IFERROR(__xludf.DUMMYFUNCTION("""COMPUTED_VALUE"""),"S200")</f>
        <v>S200</v>
      </c>
      <c r="C679" s="7" t="str">
        <f>IFERROR(__xludf.DUMMYFUNCTION("""COMPUTED_VALUE"""),"Web Application Security &amp; OWASP Top 10")</f>
        <v>Web Application Security &amp; OWASP Top 10</v>
      </c>
      <c r="D679" s="7" t="str">
        <f>IFERROR(__xludf.DUMMYFUNCTION("""COMPUTED_VALUE"""),"S218")</f>
        <v>S218</v>
      </c>
      <c r="E679" s="7" t="str">
        <f>IFERROR(__xludf.DUMMYFUNCTION("""COMPUTED_VALUE"""),"Security Auditing &amp; IT Risk Assessment")</f>
        <v>Security Auditing &amp; IT Risk Assessment</v>
      </c>
      <c r="F679" s="7" t="str">
        <f>IFERROR(__xludf.DUMMYFUNCTION("""COMPUTED_VALUE"""),"S200 unlocks S218")</f>
        <v>S200 unlocks S218</v>
      </c>
    </row>
    <row r="680">
      <c r="A680" s="7" t="str">
        <f>IFERROR(__xludf.DUMMYFUNCTION("""COMPUTED_VALUE"""),"PE0679")</f>
        <v>PE0679</v>
      </c>
      <c r="B680" s="7" t="str">
        <f>IFERROR(__xludf.DUMMYFUNCTION("""COMPUTED_VALUE"""),"S219")</f>
        <v>S219</v>
      </c>
      <c r="C680" s="7" t="str">
        <f>IFERROR(__xludf.DUMMYFUNCTION("""COMPUTED_VALUE"""),"Secure Coding Practices &amp; Threat Mitigation")</f>
        <v>Secure Coding Practices &amp; Threat Mitigation</v>
      </c>
      <c r="D680" s="7" t="str">
        <f>IFERROR(__xludf.DUMMYFUNCTION("""COMPUTED_VALUE"""),"S198")</f>
        <v>S198</v>
      </c>
      <c r="E680" s="7" t="str">
        <f>IFERROR(__xludf.DUMMYFUNCTION("""COMPUTED_VALUE"""),"Intrusion Detection &amp; Prevention Systems (IDS/IPS, Snort, Suricata)")</f>
        <v>Intrusion Detection &amp; Prevention Systems (IDS/IPS, Snort, Suricata)</v>
      </c>
      <c r="F680" s="7" t="str">
        <f>IFERROR(__xludf.DUMMYFUNCTION("""COMPUTED_VALUE"""),"S219 unlocks S198")</f>
        <v>S219 unlocks S198</v>
      </c>
    </row>
    <row r="681">
      <c r="A681" s="7" t="str">
        <f>IFERROR(__xludf.DUMMYFUNCTION("""COMPUTED_VALUE"""),"PE0680")</f>
        <v>PE0680</v>
      </c>
      <c r="B681" s="7" t="str">
        <f>IFERROR(__xludf.DUMMYFUNCTION("""COMPUTED_VALUE"""),"S219")</f>
        <v>S219</v>
      </c>
      <c r="C681" s="7" t="str">
        <f>IFERROR(__xludf.DUMMYFUNCTION("""COMPUTED_VALUE"""),"Secure Coding Practices &amp; Threat Mitigation")</f>
        <v>Secure Coding Practices &amp; Threat Mitigation</v>
      </c>
      <c r="D681" s="7" t="str">
        <f>IFERROR(__xludf.DUMMYFUNCTION("""COMPUTED_VALUE"""),"S201")</f>
        <v>S201</v>
      </c>
      <c r="E681" s="7" t="str">
        <f>IFERROR(__xludf.DUMMYFUNCTION("""COMPUTED_VALUE"""),"Web Application Penetration Testing (Burp Suite, OWASP ZAP)")</f>
        <v>Web Application Penetration Testing (Burp Suite, OWASP ZAP)</v>
      </c>
      <c r="F681" s="7" t="str">
        <f>IFERROR(__xludf.DUMMYFUNCTION("""COMPUTED_VALUE"""),"S219 unlocks S201")</f>
        <v>S219 unlocks S201</v>
      </c>
    </row>
    <row r="682">
      <c r="A682" s="7" t="str">
        <f>IFERROR(__xludf.DUMMYFUNCTION("""COMPUTED_VALUE"""),"PE0681")</f>
        <v>PE0681</v>
      </c>
      <c r="B682" s="7" t="str">
        <f>IFERROR(__xludf.DUMMYFUNCTION("""COMPUTED_VALUE"""),"S219")</f>
        <v>S219</v>
      </c>
      <c r="C682" s="7" t="str">
        <f>IFERROR(__xludf.DUMMYFUNCTION("""COMPUTED_VALUE"""),"Secure Coding Practices &amp; Threat Mitigation")</f>
        <v>Secure Coding Practices &amp; Threat Mitigation</v>
      </c>
      <c r="D682" s="7" t="str">
        <f>IFERROR(__xludf.DUMMYFUNCTION("""COMPUTED_VALUE"""),"S203")</f>
        <v>S203</v>
      </c>
      <c r="E682" s="7" t="str">
        <f>IFERROR(__xludf.DUMMYFUNCTION("""COMPUTED_VALUE"""),"Vulnerability Assessment &amp; Management (Nessus, OpenVAS, Qualys)")</f>
        <v>Vulnerability Assessment &amp; Management (Nessus, OpenVAS, Qualys)</v>
      </c>
      <c r="F682" s="7" t="str">
        <f>IFERROR(__xludf.DUMMYFUNCTION("""COMPUTED_VALUE"""),"S219 unlocks S203")</f>
        <v>S219 unlocks S203</v>
      </c>
    </row>
    <row r="683">
      <c r="A683" s="7" t="str">
        <f>IFERROR(__xludf.DUMMYFUNCTION("""COMPUTED_VALUE"""),"PE0682")</f>
        <v>PE0682</v>
      </c>
      <c r="B683" s="7" t="str">
        <f>IFERROR(__xludf.DUMMYFUNCTION("""COMPUTED_VALUE"""),"S219")</f>
        <v>S219</v>
      </c>
      <c r="C683" s="7" t="str">
        <f>IFERROR(__xludf.DUMMYFUNCTION("""COMPUTED_VALUE"""),"Secure Coding Practices &amp; Threat Mitigation")</f>
        <v>Secure Coding Practices &amp; Threat Mitigation</v>
      </c>
      <c r="D683" s="7" t="str">
        <f>IFERROR(__xludf.DUMMYFUNCTION("""COMPUTED_VALUE"""),"S204")</f>
        <v>S204</v>
      </c>
      <c r="E683" s="7" t="str">
        <f>IFERROR(__xludf.DUMMYFUNCTION("""COMPUTED_VALUE"""),"Security Information &amp; Event Management (SIEM: Splunk, Sentinel, QRadar)")</f>
        <v>Security Information &amp; Event Management (SIEM: Splunk, Sentinel, QRadar)</v>
      </c>
      <c r="F683" s="7" t="str">
        <f>IFERROR(__xludf.DUMMYFUNCTION("""COMPUTED_VALUE"""),"S219 unlocks S204")</f>
        <v>S219 unlocks S204</v>
      </c>
    </row>
    <row r="684">
      <c r="A684" s="7" t="str">
        <f>IFERROR(__xludf.DUMMYFUNCTION("""COMPUTED_VALUE"""),"PE0683")</f>
        <v>PE0683</v>
      </c>
      <c r="B684" s="7" t="str">
        <f>IFERROR(__xludf.DUMMYFUNCTION("""COMPUTED_VALUE"""),"S219")</f>
        <v>S219</v>
      </c>
      <c r="C684" s="7" t="str">
        <f>IFERROR(__xludf.DUMMYFUNCTION("""COMPUTED_VALUE"""),"Secure Coding Practices &amp; Threat Mitigation")</f>
        <v>Secure Coding Practices &amp; Threat Mitigation</v>
      </c>
      <c r="D684" s="7" t="str">
        <f>IFERROR(__xludf.DUMMYFUNCTION("""COMPUTED_VALUE"""),"S205")</f>
        <v>S205</v>
      </c>
      <c r="E684" s="7" t="str">
        <f>IFERROR(__xludf.DUMMYFUNCTION("""COMPUTED_VALUE"""),"Security Operations Center (SOC) &amp; Threat Hunting")</f>
        <v>Security Operations Center (SOC) &amp; Threat Hunting</v>
      </c>
      <c r="F684" s="7" t="str">
        <f>IFERROR(__xludf.DUMMYFUNCTION("""COMPUTED_VALUE"""),"S219 unlocks S205")</f>
        <v>S219 unlocks S205</v>
      </c>
    </row>
    <row r="685">
      <c r="A685" s="7" t="str">
        <f>IFERROR(__xludf.DUMMYFUNCTION("""COMPUTED_VALUE"""),"PE0684")</f>
        <v>PE0684</v>
      </c>
      <c r="B685" s="7" t="str">
        <f>IFERROR(__xludf.DUMMYFUNCTION("""COMPUTED_VALUE"""),"S219")</f>
        <v>S219</v>
      </c>
      <c r="C685" s="7" t="str">
        <f>IFERROR(__xludf.DUMMYFUNCTION("""COMPUTED_VALUE"""),"Secure Coding Practices &amp; Threat Mitigation")</f>
        <v>Secure Coding Practices &amp; Threat Mitigation</v>
      </c>
      <c r="D685" s="7" t="str">
        <f>IFERROR(__xludf.DUMMYFUNCTION("""COMPUTED_VALUE"""),"S206")</f>
        <v>S206</v>
      </c>
      <c r="E685" s="7" t="str">
        <f>IFERROR(__xludf.DUMMYFUNCTION("""COMPUTED_VALUE"""),"Endpoint Detection &amp; Response (EDR / XDR: CrowdStrike, Defender)")</f>
        <v>Endpoint Detection &amp; Response (EDR / XDR: CrowdStrike, Defender)</v>
      </c>
      <c r="F685" s="7" t="str">
        <f>IFERROR(__xludf.DUMMYFUNCTION("""COMPUTED_VALUE"""),"S219 unlocks S206")</f>
        <v>S219 unlocks S206</v>
      </c>
    </row>
    <row r="686">
      <c r="A686" s="7" t="str">
        <f>IFERROR(__xludf.DUMMYFUNCTION("""COMPUTED_VALUE"""),"PE0685")</f>
        <v>PE0685</v>
      </c>
      <c r="B686" s="7" t="str">
        <f>IFERROR(__xludf.DUMMYFUNCTION("""COMPUTED_VALUE"""),"S219")</f>
        <v>S219</v>
      </c>
      <c r="C686" s="7" t="str">
        <f>IFERROR(__xludf.DUMMYFUNCTION("""COMPUTED_VALUE"""),"Secure Coding Practices &amp; Threat Mitigation")</f>
        <v>Secure Coding Practices &amp; Threat Mitigation</v>
      </c>
      <c r="D686" s="7" t="str">
        <f>IFERROR(__xludf.DUMMYFUNCTION("""COMPUTED_VALUE"""),"S209")</f>
        <v>S209</v>
      </c>
      <c r="E686" s="7" t="str">
        <f>IFERROR(__xludf.DUMMYFUNCTION("""COMPUTED_VALUE"""),"Applied Cryptography, Hashing &amp; PKI Certificates")</f>
        <v>Applied Cryptography, Hashing &amp; PKI Certificates</v>
      </c>
      <c r="F686" s="7" t="str">
        <f>IFERROR(__xludf.DUMMYFUNCTION("""COMPUTED_VALUE"""),"S219 unlocks S209")</f>
        <v>S219 unlocks S209</v>
      </c>
    </row>
    <row r="687">
      <c r="A687" s="7" t="str">
        <f>IFERROR(__xludf.DUMMYFUNCTION("""COMPUTED_VALUE"""),"PE0686")</f>
        <v>PE0686</v>
      </c>
      <c r="B687" s="7" t="str">
        <f>IFERROR(__xludf.DUMMYFUNCTION("""COMPUTED_VALUE"""),"S219")</f>
        <v>S219</v>
      </c>
      <c r="C687" s="7" t="str">
        <f>IFERROR(__xludf.DUMMYFUNCTION("""COMPUTED_VALUE"""),"Secure Coding Practices &amp; Threat Mitigation")</f>
        <v>Secure Coding Practices &amp; Threat Mitigation</v>
      </c>
      <c r="D687" s="7" t="str">
        <f>IFERROR(__xludf.DUMMYFUNCTION("""COMPUTED_VALUE"""),"S210")</f>
        <v>S210</v>
      </c>
      <c r="E687" s="7" t="str">
        <f>IFERROR(__xludf.DUMMYFUNCTION("""COMPUTED_VALUE"""),"Enterprise Identity &amp; Access Management (IAM, Okta, Entra ID, Keycloak)")</f>
        <v>Enterprise Identity &amp; Access Management (IAM, Okta, Entra ID, Keycloak)</v>
      </c>
      <c r="F687" s="7" t="str">
        <f>IFERROR(__xludf.DUMMYFUNCTION("""COMPUTED_VALUE"""),"S219 unlocks S210")</f>
        <v>S219 unlocks S210</v>
      </c>
    </row>
    <row r="688">
      <c r="A688" s="7" t="str">
        <f>IFERROR(__xludf.DUMMYFUNCTION("""COMPUTED_VALUE"""),"PE0687")</f>
        <v>PE0687</v>
      </c>
      <c r="B688" s="7" t="str">
        <f>IFERROR(__xludf.DUMMYFUNCTION("""COMPUTED_VALUE"""),"S219")</f>
        <v>S219</v>
      </c>
      <c r="C688" s="7" t="str">
        <f>IFERROR(__xludf.DUMMYFUNCTION("""COMPUTED_VALUE"""),"Secure Coding Practices &amp; Threat Mitigation")</f>
        <v>Secure Coding Practices &amp; Threat Mitigation</v>
      </c>
      <c r="D688" s="7" t="str">
        <f>IFERROR(__xludf.DUMMYFUNCTION("""COMPUTED_VALUE"""),"S214")</f>
        <v>S214</v>
      </c>
      <c r="E688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F688" s="7" t="str">
        <f>IFERROR(__xludf.DUMMYFUNCTION("""COMPUTED_VALUE"""),"S219 unlocks S214")</f>
        <v>S219 unlocks S214</v>
      </c>
    </row>
    <row r="689">
      <c r="A689" s="7" t="str">
        <f>IFERROR(__xludf.DUMMYFUNCTION("""COMPUTED_VALUE"""),"PE0688")</f>
        <v>PE0688</v>
      </c>
      <c r="B689" s="7" t="str">
        <f>IFERROR(__xludf.DUMMYFUNCTION("""COMPUTED_VALUE"""),"S219")</f>
        <v>S219</v>
      </c>
      <c r="C689" s="7" t="str">
        <f>IFERROR(__xludf.DUMMYFUNCTION("""COMPUTED_VALUE"""),"Secure Coding Practices &amp; Threat Mitigation")</f>
        <v>Secure Coding Practices &amp; Threat Mitigation</v>
      </c>
      <c r="D689" s="7" t="str">
        <f>IFERROR(__xludf.DUMMYFUNCTION("""COMPUTED_VALUE"""),"S215")</f>
        <v>S215</v>
      </c>
      <c r="E689" s="7" t="str">
        <f>IFERROR(__xludf.DUMMYFUNCTION("""COMPUTED_VALUE"""),"Secrets Management (HashiCorp Vault, AWS Secrets Manager)")</f>
        <v>Secrets Management (HashiCorp Vault, AWS Secrets Manager)</v>
      </c>
      <c r="F689" s="7" t="str">
        <f>IFERROR(__xludf.DUMMYFUNCTION("""COMPUTED_VALUE"""),"S219 unlocks S215")</f>
        <v>S219 unlocks S215</v>
      </c>
    </row>
    <row r="690">
      <c r="A690" s="7" t="str">
        <f>IFERROR(__xludf.DUMMYFUNCTION("""COMPUTED_VALUE"""),"PE0689")</f>
        <v>PE0689</v>
      </c>
      <c r="B690" s="7" t="str">
        <f>IFERROR(__xludf.DUMMYFUNCTION("""COMPUTED_VALUE"""),"S219")</f>
        <v>S219</v>
      </c>
      <c r="C690" s="7" t="str">
        <f>IFERROR(__xludf.DUMMYFUNCTION("""COMPUTED_VALUE"""),"Secure Coding Practices &amp; Threat Mitigation")</f>
        <v>Secure Coding Practices &amp; Threat Mitigation</v>
      </c>
      <c r="D690" s="7" t="str">
        <f>IFERROR(__xludf.DUMMYFUNCTION("""COMPUTED_VALUE"""),"S217")</f>
        <v>S217</v>
      </c>
      <c r="E690" s="7" t="str">
        <f>IFERROR(__xludf.DUMMYFUNCTION("""COMPUTED_VALUE"""),"Governance, Risk &amp; Compliance (ISO 27001, SOC 2, NIST, GDPR)")</f>
        <v>Governance, Risk &amp; Compliance (ISO 27001, SOC 2, NIST, GDPR)</v>
      </c>
      <c r="F690" s="7" t="str">
        <f>IFERROR(__xludf.DUMMYFUNCTION("""COMPUTED_VALUE"""),"S219 unlocks S217")</f>
        <v>S219 unlocks S217</v>
      </c>
    </row>
    <row r="691">
      <c r="A691" s="7" t="str">
        <f>IFERROR(__xludf.DUMMYFUNCTION("""COMPUTED_VALUE"""),"PE0690")</f>
        <v>PE0690</v>
      </c>
      <c r="B691" s="7" t="str">
        <f>IFERROR(__xludf.DUMMYFUNCTION("""COMPUTED_VALUE"""),"S219")</f>
        <v>S219</v>
      </c>
      <c r="C691" s="7" t="str">
        <f>IFERROR(__xludf.DUMMYFUNCTION("""COMPUTED_VALUE"""),"Secure Coding Practices &amp; Threat Mitigation")</f>
        <v>Secure Coding Practices &amp; Threat Mitigation</v>
      </c>
      <c r="D691" s="7" t="str">
        <f>IFERROR(__xludf.DUMMYFUNCTION("""COMPUTED_VALUE"""),"S218")</f>
        <v>S218</v>
      </c>
      <c r="E691" s="7" t="str">
        <f>IFERROR(__xludf.DUMMYFUNCTION("""COMPUTED_VALUE"""),"Security Auditing &amp; IT Risk Assessment")</f>
        <v>Security Auditing &amp; IT Risk Assessment</v>
      </c>
      <c r="F691" s="7" t="str">
        <f>IFERROR(__xludf.DUMMYFUNCTION("""COMPUTED_VALUE"""),"S219 unlocks S218")</f>
        <v>S219 unlocks S218</v>
      </c>
    </row>
    <row r="692">
      <c r="A692" s="7" t="str">
        <f>IFERROR(__xludf.DUMMYFUNCTION("""COMPUTED_VALUE"""),"PE0691")</f>
        <v>PE0691</v>
      </c>
      <c r="B692" s="7" t="str">
        <f>IFERROR(__xludf.DUMMYFUNCTION("""COMPUTED_VALUE"""),"S227")</f>
        <v>S227</v>
      </c>
      <c r="C692" s="7" t="str">
        <f>IFERROR(__xludf.DUMMYFUNCTION("""COMPUTED_VALUE"""),"Mobile App Store Deployment, Signing &amp; Profiling")</f>
        <v>Mobile App Store Deployment, Signing &amp; Profiling</v>
      </c>
      <c r="D692" s="7" t="str">
        <f>IFERROR(__xludf.DUMMYFUNCTION("""COMPUTED_VALUE"""),"S221")</f>
        <v>S221</v>
      </c>
      <c r="E692" s="7" t="str">
        <f>IFERROR(__xludf.DUMMYFUNCTION("""COMPUTED_VALUE"""),"iOS Application Development (Swift &amp; UIKit)")</f>
        <v>iOS Application Development (Swift &amp; UIKit)</v>
      </c>
      <c r="F692" s="7" t="str">
        <f>IFERROR(__xludf.DUMMYFUNCTION("""COMPUTED_VALUE"""),"S227 unlocks S221")</f>
        <v>S227 unlocks S221</v>
      </c>
    </row>
    <row r="693">
      <c r="A693" s="7" t="str">
        <f>IFERROR(__xludf.DUMMYFUNCTION("""COMPUTED_VALUE"""),"PE0692")</f>
        <v>PE0692</v>
      </c>
      <c r="B693" s="7" t="str">
        <f>IFERROR(__xludf.DUMMYFUNCTION("""COMPUTED_VALUE"""),"S227")</f>
        <v>S227</v>
      </c>
      <c r="C693" s="7" t="str">
        <f>IFERROR(__xludf.DUMMYFUNCTION("""COMPUTED_VALUE"""),"Mobile App Store Deployment, Signing &amp; Profiling")</f>
        <v>Mobile App Store Deployment, Signing &amp; Profiling</v>
      </c>
      <c r="D693" s="7" t="str">
        <f>IFERROR(__xludf.DUMMYFUNCTION("""COMPUTED_VALUE"""),"S222")</f>
        <v>S222</v>
      </c>
      <c r="E693" s="7" t="str">
        <f>IFERROR(__xludf.DUMMYFUNCTION("""COMPUTED_VALUE"""),"Declarative iOS UI with SwiftUI")</f>
        <v>Declarative iOS UI with SwiftUI</v>
      </c>
      <c r="F693" s="7" t="str">
        <f>IFERROR(__xludf.DUMMYFUNCTION("""COMPUTED_VALUE"""),"S227 unlocks S222")</f>
        <v>S227 unlocks S222</v>
      </c>
    </row>
    <row r="694">
      <c r="A694" s="7" t="str">
        <f>IFERROR(__xludf.DUMMYFUNCTION("""COMPUTED_VALUE"""),"PE0693")</f>
        <v>PE0693</v>
      </c>
      <c r="B694" s="7" t="str">
        <f>IFERROR(__xludf.DUMMYFUNCTION("""COMPUTED_VALUE"""),"S227")</f>
        <v>S227</v>
      </c>
      <c r="C694" s="7" t="str">
        <f>IFERROR(__xludf.DUMMYFUNCTION("""COMPUTED_VALUE"""),"Mobile App Store Deployment, Signing &amp; Profiling")</f>
        <v>Mobile App Store Deployment, Signing &amp; Profiling</v>
      </c>
      <c r="D694" s="7" t="str">
        <f>IFERROR(__xludf.DUMMYFUNCTION("""COMPUTED_VALUE"""),"S223")</f>
        <v>S223</v>
      </c>
      <c r="E694" s="7" t="str">
        <f>IFERROR(__xludf.DUMMYFUNCTION("""COMPUTED_VALUE"""),"Android Application Development (Kotlin &amp; Android SDK)")</f>
        <v>Android Application Development (Kotlin &amp; Android SDK)</v>
      </c>
      <c r="F694" s="7" t="str">
        <f>IFERROR(__xludf.DUMMYFUNCTION("""COMPUTED_VALUE"""),"S227 unlocks S223")</f>
        <v>S227 unlocks S223</v>
      </c>
    </row>
    <row r="695">
      <c r="A695" s="7" t="str">
        <f>IFERROR(__xludf.DUMMYFUNCTION("""COMPUTED_VALUE"""),"PE0694")</f>
        <v>PE0694</v>
      </c>
      <c r="B695" s="7" t="str">
        <f>IFERROR(__xludf.DUMMYFUNCTION("""COMPUTED_VALUE"""),"S227")</f>
        <v>S227</v>
      </c>
      <c r="C695" s="7" t="str">
        <f>IFERROR(__xludf.DUMMYFUNCTION("""COMPUTED_VALUE"""),"Mobile App Store Deployment, Signing &amp; Profiling")</f>
        <v>Mobile App Store Deployment, Signing &amp; Profiling</v>
      </c>
      <c r="D695" s="7" t="str">
        <f>IFERROR(__xludf.DUMMYFUNCTION("""COMPUTED_VALUE"""),"S224")</f>
        <v>S224</v>
      </c>
      <c r="E695" s="7" t="str">
        <f>IFERROR(__xludf.DUMMYFUNCTION("""COMPUTED_VALUE"""),"Modern Android UI with Jetpack Compose")</f>
        <v>Modern Android UI with Jetpack Compose</v>
      </c>
      <c r="F695" s="7" t="str">
        <f>IFERROR(__xludf.DUMMYFUNCTION("""COMPUTED_VALUE"""),"S227 unlocks S224")</f>
        <v>S227 unlocks S224</v>
      </c>
    </row>
    <row r="696">
      <c r="A696" s="7" t="str">
        <f>IFERROR(__xludf.DUMMYFUNCTION("""COMPUTED_VALUE"""),"PE0695")</f>
        <v>PE0695</v>
      </c>
      <c r="B696" s="7" t="str">
        <f>IFERROR(__xludf.DUMMYFUNCTION("""COMPUTED_VALUE"""),"S227")</f>
        <v>S227</v>
      </c>
      <c r="C696" s="7" t="str">
        <f>IFERROR(__xludf.DUMMYFUNCTION("""COMPUTED_VALUE"""),"Mobile App Store Deployment, Signing &amp; Profiling")</f>
        <v>Mobile App Store Deployment, Signing &amp; Profiling</v>
      </c>
      <c r="D696" s="7" t="str">
        <f>IFERROR(__xludf.DUMMYFUNCTION("""COMPUTED_VALUE"""),"S225")</f>
        <v>S225</v>
      </c>
      <c r="E696" s="7" t="str">
        <f>IFERROR(__xludf.DUMMYFUNCTION("""COMPUTED_VALUE"""),"Cross-Platform Mobile Development (Flutter &amp; Dart)")</f>
        <v>Cross-Platform Mobile Development (Flutter &amp; Dart)</v>
      </c>
      <c r="F696" s="7" t="str">
        <f>IFERROR(__xludf.DUMMYFUNCTION("""COMPUTED_VALUE"""),"S227 unlocks S225")</f>
        <v>S227 unlocks S225</v>
      </c>
    </row>
    <row r="697">
      <c r="A697" s="7" t="str">
        <f>IFERROR(__xludf.DUMMYFUNCTION("""COMPUTED_VALUE"""),"PE0696")</f>
        <v>PE0696</v>
      </c>
      <c r="B697" s="7" t="str">
        <f>IFERROR(__xludf.DUMMYFUNCTION("""COMPUTED_VALUE"""),"S227")</f>
        <v>S227</v>
      </c>
      <c r="C697" s="7" t="str">
        <f>IFERROR(__xludf.DUMMYFUNCTION("""COMPUTED_VALUE"""),"Mobile App Store Deployment, Signing &amp; Profiling")</f>
        <v>Mobile App Store Deployment, Signing &amp; Profiling</v>
      </c>
      <c r="D697" s="7" t="str">
        <f>IFERROR(__xludf.DUMMYFUNCTION("""COMPUTED_VALUE"""),"S226")</f>
        <v>S226</v>
      </c>
      <c r="E697" s="7" t="str">
        <f>IFERROR(__xludf.DUMMYFUNCTION("""COMPUTED_VALUE"""),"Cross-Platform Mobile Development (React Native)")</f>
        <v>Cross-Platform Mobile Development (React Native)</v>
      </c>
      <c r="F697" s="7" t="str">
        <f>IFERROR(__xludf.DUMMYFUNCTION("""COMPUTED_VALUE"""),"S227 unlocks S226")</f>
        <v>S227 unlocks S226</v>
      </c>
    </row>
    <row r="698">
      <c r="A698" s="7" t="str">
        <f>IFERROR(__xludf.DUMMYFUNCTION("""COMPUTED_VALUE"""),"PE0697")</f>
        <v>PE0697</v>
      </c>
      <c r="B698" s="7" t="str">
        <f>IFERROR(__xludf.DUMMYFUNCTION("""COMPUTED_VALUE"""),"S227")</f>
        <v>S227</v>
      </c>
      <c r="C698" s="7" t="str">
        <f>IFERROR(__xludf.DUMMYFUNCTION("""COMPUTED_VALUE"""),"Mobile App Store Deployment, Signing &amp; Profiling")</f>
        <v>Mobile App Store Deployment, Signing &amp; Profiling</v>
      </c>
      <c r="D698" s="7" t="str">
        <f>IFERROR(__xludf.DUMMYFUNCTION("""COMPUTED_VALUE"""),"S228")</f>
        <v>S228</v>
      </c>
      <c r="E698" s="7" t="str">
        <f>IFERROR(__xludf.DUMMYFUNCTION("""COMPUTED_VALUE"""),"Game Development with Unity Engine &amp; C#")</f>
        <v>Game Development with Unity Engine &amp; C#</v>
      </c>
      <c r="F698" s="7" t="str">
        <f>IFERROR(__xludf.DUMMYFUNCTION("""COMPUTED_VALUE"""),"S227 unlocks S228")</f>
        <v>S227 unlocks S228</v>
      </c>
    </row>
    <row r="699">
      <c r="A699" s="7" t="str">
        <f>IFERROR(__xludf.DUMMYFUNCTION("""COMPUTED_VALUE"""),"PE0698")</f>
        <v>PE0698</v>
      </c>
      <c r="B699" s="7" t="str">
        <f>IFERROR(__xludf.DUMMYFUNCTION("""COMPUTED_VALUE"""),"S233")</f>
        <v>S233</v>
      </c>
      <c r="C699" s="7" t="str">
        <f>IFERROR(__xludf.DUMMYFUNCTION("""COMPUTED_VALUE"""),"Microcontrollers &amp; Single-Board Computers (ARM Cortex, STM32, ESP32, Raspberry Pi)")</f>
        <v>Microcontrollers &amp; Single-Board Computers (ARM Cortex, STM32, ESP32, Raspberry Pi)</v>
      </c>
      <c r="D699" s="7" t="str">
        <f>IFERROR(__xludf.DUMMYFUNCTION("""COMPUTED_VALUE"""),"S232")</f>
        <v>S232</v>
      </c>
      <c r="E699" s="7" t="str">
        <f>IFERROR(__xludf.DUMMYFUNCTION("""COMPUTED_VALUE"""),"Embedded Systems Programming (Embedded C/C++ &amp; Bare-Metal)")</f>
        <v>Embedded Systems Programming (Embedded C/C++ &amp; Bare-Metal)</v>
      </c>
      <c r="F699" s="7" t="str">
        <f>IFERROR(__xludf.DUMMYFUNCTION("""COMPUTED_VALUE"""),"S233 unlocks S232")</f>
        <v>S233 unlocks S232</v>
      </c>
    </row>
    <row r="700">
      <c r="A700" s="7" t="str">
        <f>IFERROR(__xludf.DUMMYFUNCTION("""COMPUTED_VALUE"""),"PE0699")</f>
        <v>PE0699</v>
      </c>
      <c r="B700" s="7" t="str">
        <f>IFERROR(__xludf.DUMMYFUNCTION("""COMPUTED_VALUE"""),"S233")</f>
        <v>S233</v>
      </c>
      <c r="C700" s="7" t="str">
        <f>IFERROR(__xludf.DUMMYFUNCTION("""COMPUTED_VALUE"""),"Microcontrollers &amp; Single-Board Computers (ARM Cortex, STM32, ESP32, Raspberry Pi)")</f>
        <v>Microcontrollers &amp; Single-Board Computers (ARM Cortex, STM32, ESP32, Raspberry Pi)</v>
      </c>
      <c r="D700" s="7" t="str">
        <f>IFERROR(__xludf.DUMMYFUNCTION("""COMPUTED_VALUE"""),"S235")</f>
        <v>S235</v>
      </c>
      <c r="E700" s="7" t="str">
        <f>IFERROR(__xludf.DUMMYFUNCTION("""COMPUTED_VALUE"""),"Hardware Communication Protocols (I2C, SPI, UART, CAN Bus)")</f>
        <v>Hardware Communication Protocols (I2C, SPI, UART, CAN Bus)</v>
      </c>
      <c r="F700" s="7" t="str">
        <f>IFERROR(__xludf.DUMMYFUNCTION("""COMPUTED_VALUE"""),"S233 unlocks S235")</f>
        <v>S233 unlocks S235</v>
      </c>
    </row>
    <row r="701">
      <c r="A701" s="7" t="str">
        <f>IFERROR(__xludf.DUMMYFUNCTION("""COMPUTED_VALUE"""),"PE0700")</f>
        <v>PE0700</v>
      </c>
      <c r="B701" s="7" t="str">
        <f>IFERROR(__xludf.DUMMYFUNCTION("""COMPUTED_VALUE"""),"S233")</f>
        <v>S233</v>
      </c>
      <c r="C701" s="7" t="str">
        <f>IFERROR(__xludf.DUMMYFUNCTION("""COMPUTED_VALUE"""),"Microcontrollers &amp; Single-Board Computers (ARM Cortex, STM32, ESP32, Raspberry Pi)")</f>
        <v>Microcontrollers &amp; Single-Board Computers (ARM Cortex, STM32, ESP32, Raspberry Pi)</v>
      </c>
      <c r="D701" s="7" t="str">
        <f>IFERROR(__xludf.DUMMYFUNCTION("""COMPUTED_VALUE"""),"S236")</f>
        <v>S236</v>
      </c>
      <c r="E701" s="7" t="str">
        <f>IFERROR(__xludf.DUMMYFUNCTION("""COMPUTED_VALUE"""),"IoT Messaging &amp; Edge Connectivity (MQTT, CoAP, LoRaWAN, BLE)")</f>
        <v>IoT Messaging &amp; Edge Connectivity (MQTT, CoAP, LoRaWAN, BLE)</v>
      </c>
      <c r="F701" s="7" t="str">
        <f>IFERROR(__xludf.DUMMYFUNCTION("""COMPUTED_VALUE"""),"S233 unlocks S236")</f>
        <v>S233 unlocks S236</v>
      </c>
    </row>
    <row r="702">
      <c r="A702" s="7" t="str">
        <f>IFERROR(__xludf.DUMMYFUNCTION("""COMPUTED_VALUE"""),"PE0701")</f>
        <v>PE0701</v>
      </c>
      <c r="B702" s="7" t="str">
        <f>IFERROR(__xludf.DUMMYFUNCTION("""COMPUTED_VALUE"""),"S237")</f>
        <v>S237</v>
      </c>
      <c r="C702" s="7" t="str">
        <f>IFERROR(__xludf.DUMMYFUNCTION("""COMPUTED_VALUE"""),"Blockchain Architecture, Consensus &amp; Distributed Ledgers")</f>
        <v>Blockchain Architecture, Consensus &amp; Distributed Ledgers</v>
      </c>
      <c r="D702" s="7" t="str">
        <f>IFERROR(__xludf.DUMMYFUNCTION("""COMPUTED_VALUE"""),"S239")</f>
        <v>S239</v>
      </c>
      <c r="E702" s="7" t="str">
        <f>IFERROR(__xludf.DUMMYFUNCTION("""COMPUTED_VALUE"""),"Decentralized Application Integration (Web3 Libraries &amp; Wallet Connect)")</f>
        <v>Decentralized Application Integration (Web3 Libraries &amp; Wallet Connect)</v>
      </c>
      <c r="F702" s="7" t="str">
        <f>IFERROR(__xludf.DUMMYFUNCTION("""COMPUTED_VALUE"""),"S237 unlocks S239")</f>
        <v>S237 unlocks S239</v>
      </c>
    </row>
    <row r="703">
      <c r="A703" s="7" t="str">
        <f>IFERROR(__xludf.DUMMYFUNCTION("""COMPUTED_VALUE"""),"PE0702")</f>
        <v>PE0702</v>
      </c>
      <c r="B703" s="7" t="str">
        <f>IFERROR(__xludf.DUMMYFUNCTION("""COMPUTED_VALUE"""),"S237")</f>
        <v>S237</v>
      </c>
      <c r="C703" s="7" t="str">
        <f>IFERROR(__xludf.DUMMYFUNCTION("""COMPUTED_VALUE"""),"Blockchain Architecture, Consensus &amp; Distributed Ledgers")</f>
        <v>Blockchain Architecture, Consensus &amp; Distributed Ledgers</v>
      </c>
      <c r="D703" s="7" t="str">
        <f>IFERROR(__xludf.DUMMYFUNCTION("""COMPUTED_VALUE"""),"S240")</f>
        <v>S240</v>
      </c>
      <c r="E703" s="7" t="str">
        <f>IFERROR(__xludf.DUMMYFUNCTION("""COMPUTED_VALUE"""),"Enterprise Resource Planning Systems (SAP ERP, S/4HANA, ABAP)")</f>
        <v>Enterprise Resource Planning Systems (SAP ERP, S/4HANA, ABAP)</v>
      </c>
      <c r="F703" s="7" t="str">
        <f>IFERROR(__xludf.DUMMYFUNCTION("""COMPUTED_VALUE"""),"S237 unlocks S240")</f>
        <v>S237 unlocks S240</v>
      </c>
    </row>
    <row r="704">
      <c r="A704" s="7" t="str">
        <f>IFERROR(__xludf.DUMMYFUNCTION("""COMPUTED_VALUE"""),"PE0703")</f>
        <v>PE0703</v>
      </c>
      <c r="B704" s="7" t="str">
        <f>IFERROR(__xludf.DUMMYFUNCTION("""COMPUTED_VALUE"""),"S237")</f>
        <v>S237</v>
      </c>
      <c r="C704" s="7" t="str">
        <f>IFERROR(__xludf.DUMMYFUNCTION("""COMPUTED_VALUE"""),"Blockchain Architecture, Consensus &amp; Distributed Ledgers")</f>
        <v>Blockchain Architecture, Consensus &amp; Distributed Ledgers</v>
      </c>
      <c r="D704" s="7" t="str">
        <f>IFERROR(__xludf.DUMMYFUNCTION("""COMPUTED_VALUE"""),"S241")</f>
        <v>S241</v>
      </c>
      <c r="E704" s="7" t="str">
        <f>IFERROR(__xludf.DUMMYFUNCTION("""COMPUTED_VALUE"""),"Customer Relationship Management Platforms (Salesforce CRM, Apex, LWC)")</f>
        <v>Customer Relationship Management Platforms (Salesforce CRM, Apex, LWC)</v>
      </c>
      <c r="F704" s="7" t="str">
        <f>IFERROR(__xludf.DUMMYFUNCTION("""COMPUTED_VALUE"""),"S237 unlocks S241")</f>
        <v>S237 unlocks S241</v>
      </c>
    </row>
    <row r="705">
      <c r="A705" s="7" t="str">
        <f>IFERROR(__xludf.DUMMYFUNCTION("""COMPUTED_VALUE"""),"PE0704")</f>
        <v>PE0704</v>
      </c>
      <c r="B705" s="7" t="str">
        <f>IFERROR(__xludf.DUMMYFUNCTION("""COMPUTED_VALUE"""),"S242")</f>
        <v>S242</v>
      </c>
      <c r="C705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  <c r="D705" s="7" t="str">
        <f>IFERROR(__xludf.DUMMYFUNCTION("""COMPUTED_VALUE"""),"S239")</f>
        <v>S239</v>
      </c>
      <c r="E705" s="7" t="str">
        <f>IFERROR(__xludf.DUMMYFUNCTION("""COMPUTED_VALUE"""),"Decentralized Application Integration (Web3 Libraries &amp; Wallet Connect)")</f>
        <v>Decentralized Application Integration (Web3 Libraries &amp; Wallet Connect)</v>
      </c>
      <c r="F705" s="7" t="str">
        <f>IFERROR(__xludf.DUMMYFUNCTION("""COMPUTED_VALUE"""),"S242 unlocks S239")</f>
        <v>S242 unlocks S239</v>
      </c>
    </row>
    <row r="706">
      <c r="A706" s="7" t="str">
        <f>IFERROR(__xludf.DUMMYFUNCTION("""COMPUTED_VALUE"""),"PE0705")</f>
        <v>PE0705</v>
      </c>
      <c r="B706" s="7" t="str">
        <f>IFERROR(__xludf.DUMMYFUNCTION("""COMPUTED_VALUE"""),"S242")</f>
        <v>S242</v>
      </c>
      <c r="C706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  <c r="D706" s="7" t="str">
        <f>IFERROR(__xludf.DUMMYFUNCTION("""COMPUTED_VALUE"""),"S240")</f>
        <v>S240</v>
      </c>
      <c r="E706" s="7" t="str">
        <f>IFERROR(__xludf.DUMMYFUNCTION("""COMPUTED_VALUE"""),"Enterprise Resource Planning Systems (SAP ERP, S/4HANA, ABAP)")</f>
        <v>Enterprise Resource Planning Systems (SAP ERP, S/4HANA, ABAP)</v>
      </c>
      <c r="F706" s="7" t="str">
        <f>IFERROR(__xludf.DUMMYFUNCTION("""COMPUTED_VALUE"""),"S242 unlocks S240")</f>
        <v>S242 unlocks S240</v>
      </c>
    </row>
    <row r="707">
      <c r="A707" s="7" t="str">
        <f>IFERROR(__xludf.DUMMYFUNCTION("""COMPUTED_VALUE"""),"PE0706")</f>
        <v>PE0706</v>
      </c>
      <c r="B707" s="7" t="str">
        <f>IFERROR(__xludf.DUMMYFUNCTION("""COMPUTED_VALUE"""),"S242")</f>
        <v>S242</v>
      </c>
      <c r="C707" s="7" t="str">
        <f>IFERROR(__xludf.DUMMYFUNCTION("""COMPUTED_VALUE"""),"IT Service Management &amp; Helpdesk Operations (ITIL, ServiceNow, Hardware Troubleshooting)")</f>
        <v>IT Service Management &amp; Helpdesk Operations (ITIL, ServiceNow, Hardware Troubleshooting)</v>
      </c>
      <c r="D707" s="7" t="str">
        <f>IFERROR(__xludf.DUMMYFUNCTION("""COMPUTED_VALUE"""),"S241")</f>
        <v>S241</v>
      </c>
      <c r="E707" s="7" t="str">
        <f>IFERROR(__xludf.DUMMYFUNCTION("""COMPUTED_VALUE"""),"Customer Relationship Management Platforms (Salesforce CRM, Apex, LWC)")</f>
        <v>Customer Relationship Management Platforms (Salesforce CRM, Apex, LWC)</v>
      </c>
      <c r="F707" s="7" t="str">
        <f>IFERROR(__xludf.DUMMYFUNCTION("""COMPUTED_VALUE"""),"S242 unlocks S241")</f>
        <v>S242 unlocks S241</v>
      </c>
    </row>
    <row r="708">
      <c r="A708" s="7" t="str">
        <f>IFERROR(__xludf.DUMMYFUNCTION("""COMPUTED_VALUE"""),"PE0707")</f>
        <v>PE0707</v>
      </c>
      <c r="B708" s="7" t="str">
        <f>IFERROR(__xludf.DUMMYFUNCTION("""COMPUTED_VALUE"""),"S246")</f>
        <v>S246</v>
      </c>
      <c r="C708" s="7" t="str">
        <f>IFERROR(__xludf.DUMMYFUNCTION("""COMPUTED_VALUE"""),"Agile Methodologies, Scrum Framework &amp; Kanban")</f>
        <v>Agile Methodologies, Scrum Framework &amp; Kanban</v>
      </c>
      <c r="D708" s="7" t="str">
        <f>IFERROR(__xludf.DUMMYFUNCTION("""COMPUTED_VALUE"""),"S248")</f>
        <v>S248</v>
      </c>
      <c r="E708" s="7" t="str">
        <f>IFERROR(__xludf.DUMMYFUNCTION("""COMPUTED_VALUE"""),"Product Management, Roadmapping &amp; User Story Mapping")</f>
        <v>Product Management, Roadmapping &amp; User Story Mapping</v>
      </c>
      <c r="F708" s="7" t="str">
        <f>IFERROR(__xludf.DUMMYFUNCTION("""COMPUTED_VALUE"""),"S246 unlocks S248")</f>
        <v>S246 unlocks S248</v>
      </c>
    </row>
    <row r="709">
      <c r="A709" s="7" t="str">
        <f>IFERROR(__xludf.DUMMYFUNCTION("""COMPUTED_VALUE"""),"PE0708")</f>
        <v>PE0708</v>
      </c>
      <c r="B709" s="7" t="str">
        <f>IFERROR(__xludf.DUMMYFUNCTION("""COMPUTED_VALUE"""),"S246")</f>
        <v>S246</v>
      </c>
      <c r="C709" s="7" t="str">
        <f>IFERROR(__xludf.DUMMYFUNCTION("""COMPUTED_VALUE"""),"Agile Methodologies, Scrum Framework &amp; Kanban")</f>
        <v>Agile Methodologies, Scrum Framework &amp; Kanban</v>
      </c>
      <c r="D709" s="7" t="str">
        <f>IFERROR(__xludf.DUMMYFUNCTION("""COMPUTED_VALUE"""),"S249")</f>
        <v>S249</v>
      </c>
      <c r="E709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F709" s="7" t="str">
        <f>IFERROR(__xludf.DUMMYFUNCTION("""COMPUTED_VALUE"""),"S246 unlocks S249")</f>
        <v>S246 unlocks S249</v>
      </c>
    </row>
    <row r="710">
      <c r="A710" s="7" t="str">
        <f>IFERROR(__xludf.DUMMYFUNCTION("""COMPUTED_VALUE"""),"PE0709")</f>
        <v>PE0709</v>
      </c>
      <c r="B710" s="7" t="str">
        <f>IFERROR(__xludf.DUMMYFUNCTION("""COMPUTED_VALUE"""),"S247")</f>
        <v>S247</v>
      </c>
      <c r="C710" s="7" t="str">
        <f>IFERROR(__xludf.DUMMYFUNCTION("""COMPUTED_VALUE"""),"Project Tracking &amp; Documentation Tools (Jira, Confluence, Linear)")</f>
        <v>Project Tracking &amp; Documentation Tools (Jira, Confluence, Linear)</v>
      </c>
      <c r="D710" s="7" t="str">
        <f>IFERROR(__xludf.DUMMYFUNCTION("""COMPUTED_VALUE"""),"S248")</f>
        <v>S248</v>
      </c>
      <c r="E710" s="7" t="str">
        <f>IFERROR(__xludf.DUMMYFUNCTION("""COMPUTED_VALUE"""),"Product Management, Roadmapping &amp; User Story Mapping")</f>
        <v>Product Management, Roadmapping &amp; User Story Mapping</v>
      </c>
      <c r="F710" s="7" t="str">
        <f>IFERROR(__xludf.DUMMYFUNCTION("""COMPUTED_VALUE"""),"S247 unlocks S248")</f>
        <v>S247 unlocks S248</v>
      </c>
    </row>
    <row r="711">
      <c r="A711" s="7" t="str">
        <f>IFERROR(__xludf.DUMMYFUNCTION("""COMPUTED_VALUE"""),"PE0710")</f>
        <v>PE0710</v>
      </c>
      <c r="B711" s="7" t="str">
        <f>IFERROR(__xludf.DUMMYFUNCTION("""COMPUTED_VALUE"""),"S247")</f>
        <v>S247</v>
      </c>
      <c r="C711" s="7" t="str">
        <f>IFERROR(__xludf.DUMMYFUNCTION("""COMPUTED_VALUE"""),"Project Tracking &amp; Documentation Tools (Jira, Confluence, Linear)")</f>
        <v>Project Tracking &amp; Documentation Tools (Jira, Confluence, Linear)</v>
      </c>
      <c r="D711" s="7" t="str">
        <f>IFERROR(__xludf.DUMMYFUNCTION("""COMPUTED_VALUE"""),"S249")</f>
        <v>S249</v>
      </c>
      <c r="E711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F711" s="7" t="str">
        <f>IFERROR(__xludf.DUMMYFUNCTION("""COMPUTED_VALUE"""),"S247 unlocks S249")</f>
        <v>S247 unlocks S249</v>
      </c>
    </row>
    <row r="712">
      <c r="A712" s="7" t="str">
        <f>IFERROR(__xludf.DUMMYFUNCTION("""COMPUTED_VALUE"""),"PE0711")</f>
        <v>PE0711</v>
      </c>
      <c r="B712" s="7" t="str">
        <f>IFERROR(__xludf.DUMMYFUNCTION("""COMPUTED_VALUE"""),"S003")</f>
        <v>S003</v>
      </c>
      <c r="C712" s="7" t="str">
        <f>IFERROR(__xludf.DUMMYFUNCTION("""COMPUTED_VALUE"""),"Process &amp; Thread Management")</f>
        <v>Process &amp; Thread Management</v>
      </c>
      <c r="D712" s="7" t="str">
        <f>IFERROR(__xludf.DUMMYFUNCTION("""COMPUTED_VALUE"""),"S011")</f>
        <v>S011</v>
      </c>
      <c r="E712" s="7" t="str">
        <f>IFERROR(__xludf.DUMMYFUNCTION("""COMPUTED_VALUE"""),"Dynamic Programming &amp; Greedy Algorithms")</f>
        <v>Dynamic Programming &amp; Greedy Algorithms</v>
      </c>
      <c r="F712" s="7" t="str">
        <f>IFERROR(__xludf.DUMMYFUNCTION("""COMPUTED_VALUE"""),"S003 unlocks S011")</f>
        <v>S003 unlocks S011</v>
      </c>
    </row>
    <row r="713">
      <c r="A713" s="7" t="str">
        <f>IFERROR(__xludf.DUMMYFUNCTION("""COMPUTED_VALUE"""),"PE0712")</f>
        <v>PE0712</v>
      </c>
      <c r="B713" s="7" t="str">
        <f>IFERROR(__xludf.DUMMYFUNCTION("""COMPUTED_VALUE"""),"S003")</f>
        <v>S003</v>
      </c>
      <c r="C713" s="7" t="str">
        <f>IFERROR(__xludf.DUMMYFUNCTION("""COMPUTED_VALUE"""),"Process &amp; Thread Management")</f>
        <v>Process &amp; Thread Management</v>
      </c>
      <c r="D713" s="7" t="str">
        <f>IFERROR(__xludf.DUMMYFUNCTION("""COMPUTED_VALUE"""),"S015")</f>
        <v>S015</v>
      </c>
      <c r="E713" s="7" t="str">
        <f>IFERROR(__xludf.DUMMYFUNCTION("""COMPUTED_VALUE"""),"Software Design Patterns (GoF)")</f>
        <v>Software Design Patterns (GoF)</v>
      </c>
      <c r="F713" s="7" t="str">
        <f>IFERROR(__xludf.DUMMYFUNCTION("""COMPUTED_VALUE"""),"S003 unlocks S015")</f>
        <v>S003 unlocks S015</v>
      </c>
    </row>
    <row r="714">
      <c r="A714" s="7" t="str">
        <f>IFERROR(__xludf.DUMMYFUNCTION("""COMPUTED_VALUE"""),"PE0713")</f>
        <v>PE0713</v>
      </c>
      <c r="B714" s="7" t="str">
        <f>IFERROR(__xludf.DUMMYFUNCTION("""COMPUTED_VALUE"""),"S004")</f>
        <v>S004</v>
      </c>
      <c r="C714" s="7" t="str">
        <f>IFERROR(__xludf.DUMMYFUNCTION("""COMPUTED_VALUE"""),"Memory Management &amp; Paging")</f>
        <v>Memory Management &amp; Paging</v>
      </c>
      <c r="D714" s="7" t="str">
        <f>IFERROR(__xludf.DUMMYFUNCTION("""COMPUTED_VALUE"""),"S011")</f>
        <v>S011</v>
      </c>
      <c r="E714" s="7" t="str">
        <f>IFERROR(__xludf.DUMMYFUNCTION("""COMPUTED_VALUE"""),"Dynamic Programming &amp; Greedy Algorithms")</f>
        <v>Dynamic Programming &amp; Greedy Algorithms</v>
      </c>
      <c r="F714" s="7" t="str">
        <f>IFERROR(__xludf.DUMMYFUNCTION("""COMPUTED_VALUE"""),"S004 unlocks S011")</f>
        <v>S004 unlocks S011</v>
      </c>
    </row>
    <row r="715">
      <c r="A715" s="7" t="str">
        <f>IFERROR(__xludf.DUMMYFUNCTION("""COMPUTED_VALUE"""),"PE0714")</f>
        <v>PE0714</v>
      </c>
      <c r="B715" s="7" t="str">
        <f>IFERROR(__xludf.DUMMYFUNCTION("""COMPUTED_VALUE"""),"S004")</f>
        <v>S004</v>
      </c>
      <c r="C715" s="7" t="str">
        <f>IFERROR(__xludf.DUMMYFUNCTION("""COMPUTED_VALUE"""),"Memory Management &amp; Paging")</f>
        <v>Memory Management &amp; Paging</v>
      </c>
      <c r="D715" s="7" t="str">
        <f>IFERROR(__xludf.DUMMYFUNCTION("""COMPUTED_VALUE"""),"S015")</f>
        <v>S015</v>
      </c>
      <c r="E715" s="7" t="str">
        <f>IFERROR(__xludf.DUMMYFUNCTION("""COMPUTED_VALUE"""),"Software Design Patterns (GoF)")</f>
        <v>Software Design Patterns (GoF)</v>
      </c>
      <c r="F715" s="7" t="str">
        <f>IFERROR(__xludf.DUMMYFUNCTION("""COMPUTED_VALUE"""),"S004 unlocks S015")</f>
        <v>S004 unlocks S015</v>
      </c>
    </row>
    <row r="716">
      <c r="A716" s="7" t="str">
        <f>IFERROR(__xludf.DUMMYFUNCTION("""COMPUTED_VALUE"""),"PE0715")</f>
        <v>PE0715</v>
      </c>
      <c r="B716" s="7" t="str">
        <f>IFERROR(__xludf.DUMMYFUNCTION("""COMPUTED_VALUE"""),"S007")</f>
        <v>S007</v>
      </c>
      <c r="C716" s="7" t="str">
        <f>IFERROR(__xludf.DUMMYFUNCTION("""COMPUTED_VALUE"""),"Trees &amp; Binary Search Trees")</f>
        <v>Trees &amp; Binary Search Trees</v>
      </c>
      <c r="D716" s="7" t="str">
        <f>IFERROR(__xludf.DUMMYFUNCTION("""COMPUTED_VALUE"""),"S011")</f>
        <v>S011</v>
      </c>
      <c r="E716" s="7" t="str">
        <f>IFERROR(__xludf.DUMMYFUNCTION("""COMPUTED_VALUE"""),"Dynamic Programming &amp; Greedy Algorithms")</f>
        <v>Dynamic Programming &amp; Greedy Algorithms</v>
      </c>
      <c r="F716" s="7" t="str">
        <f>IFERROR(__xludf.DUMMYFUNCTION("""COMPUTED_VALUE"""),"S007 unlocks S011")</f>
        <v>S007 unlocks S011</v>
      </c>
    </row>
    <row r="717">
      <c r="A717" s="7" t="str">
        <f>IFERROR(__xludf.DUMMYFUNCTION("""COMPUTED_VALUE"""),"PE0716")</f>
        <v>PE0716</v>
      </c>
      <c r="B717" s="7" t="str">
        <f>IFERROR(__xludf.DUMMYFUNCTION("""COMPUTED_VALUE"""),"S007")</f>
        <v>S007</v>
      </c>
      <c r="C717" s="7" t="str">
        <f>IFERROR(__xludf.DUMMYFUNCTION("""COMPUTED_VALUE"""),"Trees &amp; Binary Search Trees")</f>
        <v>Trees &amp; Binary Search Trees</v>
      </c>
      <c r="D717" s="7" t="str">
        <f>IFERROR(__xludf.DUMMYFUNCTION("""COMPUTED_VALUE"""),"S015")</f>
        <v>S015</v>
      </c>
      <c r="E717" s="7" t="str">
        <f>IFERROR(__xludf.DUMMYFUNCTION("""COMPUTED_VALUE"""),"Software Design Patterns (GoF)")</f>
        <v>Software Design Patterns (GoF)</v>
      </c>
      <c r="F717" s="7" t="str">
        <f>IFERROR(__xludf.DUMMYFUNCTION("""COMPUTED_VALUE"""),"S007 unlocks S015")</f>
        <v>S007 unlocks S015</v>
      </c>
    </row>
    <row r="718">
      <c r="A718" s="7" t="str">
        <f>IFERROR(__xludf.DUMMYFUNCTION("""COMPUTED_VALUE"""),"PE0717")</f>
        <v>PE0717</v>
      </c>
      <c r="B718" s="7" t="str">
        <f>IFERROR(__xludf.DUMMYFUNCTION("""COMPUTED_VALUE"""),"S008")</f>
        <v>S008</v>
      </c>
      <c r="C718" s="7" t="str">
        <f>IFERROR(__xludf.DUMMYFUNCTION("""COMPUTED_VALUE"""),"Heaps, Priority Queues &amp; Hashing")</f>
        <v>Heaps, Priority Queues &amp; Hashing</v>
      </c>
      <c r="D718" s="7" t="str">
        <f>IFERROR(__xludf.DUMMYFUNCTION("""COMPUTED_VALUE"""),"S011")</f>
        <v>S011</v>
      </c>
      <c r="E718" s="7" t="str">
        <f>IFERROR(__xludf.DUMMYFUNCTION("""COMPUTED_VALUE"""),"Dynamic Programming &amp; Greedy Algorithms")</f>
        <v>Dynamic Programming &amp; Greedy Algorithms</v>
      </c>
      <c r="F718" s="7" t="str">
        <f>IFERROR(__xludf.DUMMYFUNCTION("""COMPUTED_VALUE"""),"S008 unlocks S011")</f>
        <v>S008 unlocks S011</v>
      </c>
    </row>
    <row r="719">
      <c r="A719" s="7" t="str">
        <f>IFERROR(__xludf.DUMMYFUNCTION("""COMPUTED_VALUE"""),"PE0718")</f>
        <v>PE0718</v>
      </c>
      <c r="B719" s="7" t="str">
        <f>IFERROR(__xludf.DUMMYFUNCTION("""COMPUTED_VALUE"""),"S008")</f>
        <v>S008</v>
      </c>
      <c r="C719" s="7" t="str">
        <f>IFERROR(__xludf.DUMMYFUNCTION("""COMPUTED_VALUE"""),"Heaps, Priority Queues &amp; Hashing")</f>
        <v>Heaps, Priority Queues &amp; Hashing</v>
      </c>
      <c r="D719" s="7" t="str">
        <f>IFERROR(__xludf.DUMMYFUNCTION("""COMPUTED_VALUE"""),"S015")</f>
        <v>S015</v>
      </c>
      <c r="E719" s="7" t="str">
        <f>IFERROR(__xludf.DUMMYFUNCTION("""COMPUTED_VALUE"""),"Software Design Patterns (GoF)")</f>
        <v>Software Design Patterns (GoF)</v>
      </c>
      <c r="F719" s="7" t="str">
        <f>IFERROR(__xludf.DUMMYFUNCTION("""COMPUTED_VALUE"""),"S008 unlocks S015")</f>
        <v>S008 unlocks S015</v>
      </c>
    </row>
    <row r="720">
      <c r="A720" s="7" t="str">
        <f>IFERROR(__xludf.DUMMYFUNCTION("""COMPUTED_VALUE"""),"PE0719")</f>
        <v>PE0719</v>
      </c>
      <c r="B720" s="7" t="str">
        <f>IFERROR(__xludf.DUMMYFUNCTION("""COMPUTED_VALUE"""),"S009")</f>
        <v>S009</v>
      </c>
      <c r="C720" s="7" t="str">
        <f>IFERROR(__xludf.DUMMYFUNCTION("""COMPUTED_VALUE"""),"Graphs &amp; Graph Traversal (BFS/DFS)")</f>
        <v>Graphs &amp; Graph Traversal (BFS/DFS)</v>
      </c>
      <c r="D720" s="7" t="str">
        <f>IFERROR(__xludf.DUMMYFUNCTION("""COMPUTED_VALUE"""),"S011")</f>
        <v>S011</v>
      </c>
      <c r="E720" s="7" t="str">
        <f>IFERROR(__xludf.DUMMYFUNCTION("""COMPUTED_VALUE"""),"Dynamic Programming &amp; Greedy Algorithms")</f>
        <v>Dynamic Programming &amp; Greedy Algorithms</v>
      </c>
      <c r="F720" s="7" t="str">
        <f>IFERROR(__xludf.DUMMYFUNCTION("""COMPUTED_VALUE"""),"S009 unlocks S011")</f>
        <v>S009 unlocks S011</v>
      </c>
    </row>
    <row r="721">
      <c r="A721" s="7" t="str">
        <f>IFERROR(__xludf.DUMMYFUNCTION("""COMPUTED_VALUE"""),"PE0720")</f>
        <v>PE0720</v>
      </c>
      <c r="B721" s="7" t="str">
        <f>IFERROR(__xludf.DUMMYFUNCTION("""COMPUTED_VALUE"""),"S009")</f>
        <v>S009</v>
      </c>
      <c r="C721" s="7" t="str">
        <f>IFERROR(__xludf.DUMMYFUNCTION("""COMPUTED_VALUE"""),"Graphs &amp; Graph Traversal (BFS/DFS)")</f>
        <v>Graphs &amp; Graph Traversal (BFS/DFS)</v>
      </c>
      <c r="D721" s="7" t="str">
        <f>IFERROR(__xludf.DUMMYFUNCTION("""COMPUTED_VALUE"""),"S015")</f>
        <v>S015</v>
      </c>
      <c r="E721" s="7" t="str">
        <f>IFERROR(__xludf.DUMMYFUNCTION("""COMPUTED_VALUE"""),"Software Design Patterns (GoF)")</f>
        <v>Software Design Patterns (GoF)</v>
      </c>
      <c r="F721" s="7" t="str">
        <f>IFERROR(__xludf.DUMMYFUNCTION("""COMPUTED_VALUE"""),"S009 unlocks S015")</f>
        <v>S009 unlocks S015</v>
      </c>
    </row>
    <row r="722">
      <c r="A722" s="7" t="str">
        <f>IFERROR(__xludf.DUMMYFUNCTION("""COMPUTED_VALUE"""),"PE0721")</f>
        <v>PE0721</v>
      </c>
      <c r="B722" s="7" t="str">
        <f>IFERROR(__xludf.DUMMYFUNCTION("""COMPUTED_VALUE"""),"S014")</f>
        <v>S014</v>
      </c>
      <c r="C722" s="7" t="str">
        <f>IFERROR(__xludf.DUMMYFUNCTION("""COMPUTED_VALUE"""),"Functional Programming Concepts")</f>
        <v>Functional Programming Concepts</v>
      </c>
      <c r="D722" s="7" t="str">
        <f>IFERROR(__xludf.DUMMYFUNCTION("""COMPUTED_VALUE"""),"S011")</f>
        <v>S011</v>
      </c>
      <c r="E722" s="7" t="str">
        <f>IFERROR(__xludf.DUMMYFUNCTION("""COMPUTED_VALUE"""),"Dynamic Programming &amp; Greedy Algorithms")</f>
        <v>Dynamic Programming &amp; Greedy Algorithms</v>
      </c>
      <c r="F722" s="7" t="str">
        <f>IFERROR(__xludf.DUMMYFUNCTION("""COMPUTED_VALUE"""),"S014 unlocks S011")</f>
        <v>S014 unlocks S011</v>
      </c>
    </row>
    <row r="723">
      <c r="A723" s="7" t="str">
        <f>IFERROR(__xludf.DUMMYFUNCTION("""COMPUTED_VALUE"""),"PE0722")</f>
        <v>PE0722</v>
      </c>
      <c r="B723" s="7" t="str">
        <f>IFERROR(__xludf.DUMMYFUNCTION("""COMPUTED_VALUE"""),"S014")</f>
        <v>S014</v>
      </c>
      <c r="C723" s="7" t="str">
        <f>IFERROR(__xludf.DUMMYFUNCTION("""COMPUTED_VALUE"""),"Functional Programming Concepts")</f>
        <v>Functional Programming Concepts</v>
      </c>
      <c r="D723" s="7" t="str">
        <f>IFERROR(__xludf.DUMMYFUNCTION("""COMPUTED_VALUE"""),"S015")</f>
        <v>S015</v>
      </c>
      <c r="E723" s="7" t="str">
        <f>IFERROR(__xludf.DUMMYFUNCTION("""COMPUTED_VALUE"""),"Software Design Patterns (GoF)")</f>
        <v>Software Design Patterns (GoF)</v>
      </c>
      <c r="F723" s="7" t="str">
        <f>IFERROR(__xludf.DUMMYFUNCTION("""COMPUTED_VALUE"""),"S014 unlocks S015")</f>
        <v>S014 unlocks S015</v>
      </c>
    </row>
    <row r="724">
      <c r="A724" s="7" t="str">
        <f>IFERROR(__xludf.DUMMYFUNCTION("""COMPUTED_VALUE"""),"PE0723")</f>
        <v>PE0723</v>
      </c>
      <c r="B724" s="7" t="str">
        <f>IFERROR(__xludf.DUMMYFUNCTION("""COMPUTED_VALUE"""),"S016")</f>
        <v>S016</v>
      </c>
      <c r="C724" s="7" t="str">
        <f>IFERROR(__xludf.DUMMYFUNCTION("""COMPUTED_VALUE"""),"SOLID Principles &amp; Clean Code")</f>
        <v>SOLID Principles &amp; Clean Code</v>
      </c>
      <c r="D724" s="7" t="str">
        <f>IFERROR(__xludf.DUMMYFUNCTION("""COMPUTED_VALUE"""),"S011")</f>
        <v>S011</v>
      </c>
      <c r="E724" s="7" t="str">
        <f>IFERROR(__xludf.DUMMYFUNCTION("""COMPUTED_VALUE"""),"Dynamic Programming &amp; Greedy Algorithms")</f>
        <v>Dynamic Programming &amp; Greedy Algorithms</v>
      </c>
      <c r="F724" s="7" t="str">
        <f>IFERROR(__xludf.DUMMYFUNCTION("""COMPUTED_VALUE"""),"S016 unlocks S011")</f>
        <v>S016 unlocks S011</v>
      </c>
    </row>
    <row r="725">
      <c r="A725" s="7" t="str">
        <f>IFERROR(__xludf.DUMMYFUNCTION("""COMPUTED_VALUE"""),"PE0724")</f>
        <v>PE0724</v>
      </c>
      <c r="B725" s="7" t="str">
        <f>IFERROR(__xludf.DUMMYFUNCTION("""COMPUTED_VALUE"""),"S016")</f>
        <v>S016</v>
      </c>
      <c r="C725" s="7" t="str">
        <f>IFERROR(__xludf.DUMMYFUNCTION("""COMPUTED_VALUE"""),"SOLID Principles &amp; Clean Code")</f>
        <v>SOLID Principles &amp; Clean Code</v>
      </c>
      <c r="D725" s="7" t="str">
        <f>IFERROR(__xludf.DUMMYFUNCTION("""COMPUTED_VALUE"""),"S015")</f>
        <v>S015</v>
      </c>
      <c r="E725" s="7" t="str">
        <f>IFERROR(__xludf.DUMMYFUNCTION("""COMPUTED_VALUE"""),"Software Design Patterns (GoF)")</f>
        <v>Software Design Patterns (GoF)</v>
      </c>
      <c r="F725" s="7" t="str">
        <f>IFERROR(__xludf.DUMMYFUNCTION("""COMPUTED_VALUE"""),"S016 unlocks S015")</f>
        <v>S016 unlocks S015</v>
      </c>
    </row>
    <row r="726">
      <c r="A726" s="7" t="str">
        <f>IFERROR(__xludf.DUMMYFUNCTION("""COMPUTED_VALUE"""),"PE0725")</f>
        <v>PE0725</v>
      </c>
      <c r="B726" s="7" t="str">
        <f>IFERROR(__xludf.DUMMYFUNCTION("""COMPUTED_VALUE"""),"S020")</f>
        <v>S020</v>
      </c>
      <c r="C726" s="7" t="str">
        <f>IFERROR(__xludf.DUMMYFUNCTION("""COMPUTED_VALUE"""),"Bash &amp; Shell Scripting")</f>
        <v>Bash &amp; Shell Scripting</v>
      </c>
      <c r="D726" s="7" t="str">
        <f>IFERROR(__xludf.DUMMYFUNCTION("""COMPUTED_VALUE"""),"S011")</f>
        <v>S011</v>
      </c>
      <c r="E726" s="7" t="str">
        <f>IFERROR(__xludf.DUMMYFUNCTION("""COMPUTED_VALUE"""),"Dynamic Programming &amp; Greedy Algorithms")</f>
        <v>Dynamic Programming &amp; Greedy Algorithms</v>
      </c>
      <c r="F726" s="7" t="str">
        <f>IFERROR(__xludf.DUMMYFUNCTION("""COMPUTED_VALUE"""),"S020 unlocks S011")</f>
        <v>S020 unlocks S011</v>
      </c>
    </row>
    <row r="727">
      <c r="A727" s="7" t="str">
        <f>IFERROR(__xludf.DUMMYFUNCTION("""COMPUTED_VALUE"""),"PE0726")</f>
        <v>PE0726</v>
      </c>
      <c r="B727" s="7" t="str">
        <f>IFERROR(__xludf.DUMMYFUNCTION("""COMPUTED_VALUE"""),"S020")</f>
        <v>S020</v>
      </c>
      <c r="C727" s="7" t="str">
        <f>IFERROR(__xludf.DUMMYFUNCTION("""COMPUTED_VALUE"""),"Bash &amp; Shell Scripting")</f>
        <v>Bash &amp; Shell Scripting</v>
      </c>
      <c r="D727" s="7" t="str">
        <f>IFERROR(__xludf.DUMMYFUNCTION("""COMPUTED_VALUE"""),"S015")</f>
        <v>S015</v>
      </c>
      <c r="E727" s="7" t="str">
        <f>IFERROR(__xludf.DUMMYFUNCTION("""COMPUTED_VALUE"""),"Software Design Patterns (GoF)")</f>
        <v>Software Design Patterns (GoF)</v>
      </c>
      <c r="F727" s="7" t="str">
        <f>IFERROR(__xludf.DUMMYFUNCTION("""COMPUTED_VALUE"""),"S020 unlocks S015")</f>
        <v>S020 unlocks S015</v>
      </c>
    </row>
    <row r="728">
      <c r="A728" s="7" t="str">
        <f>IFERROR(__xludf.DUMMYFUNCTION("""COMPUTED_VALUE"""),"PE0727")</f>
        <v>PE0727</v>
      </c>
      <c r="B728" s="7" t="str">
        <f>IFERROR(__xludf.DUMMYFUNCTION("""COMPUTED_VALUE"""),"S021")</f>
        <v>S021</v>
      </c>
      <c r="C728" s="7" t="str">
        <f>IFERROR(__xludf.DUMMYFUNCTION("""COMPUTED_VALUE"""),"PowerShell Scripting")</f>
        <v>PowerShell Scripting</v>
      </c>
      <c r="D728" s="7" t="str">
        <f>IFERROR(__xludf.DUMMYFUNCTION("""COMPUTED_VALUE"""),"S011")</f>
        <v>S011</v>
      </c>
      <c r="E728" s="7" t="str">
        <f>IFERROR(__xludf.DUMMYFUNCTION("""COMPUTED_VALUE"""),"Dynamic Programming &amp; Greedy Algorithms")</f>
        <v>Dynamic Programming &amp; Greedy Algorithms</v>
      </c>
      <c r="F728" s="7" t="str">
        <f>IFERROR(__xludf.DUMMYFUNCTION("""COMPUTED_VALUE"""),"S021 unlocks S011")</f>
        <v>S021 unlocks S011</v>
      </c>
    </row>
    <row r="729">
      <c r="A729" s="7" t="str">
        <f>IFERROR(__xludf.DUMMYFUNCTION("""COMPUTED_VALUE"""),"PE0728")</f>
        <v>PE0728</v>
      </c>
      <c r="B729" s="7" t="str">
        <f>IFERROR(__xludf.DUMMYFUNCTION("""COMPUTED_VALUE"""),"S021")</f>
        <v>S021</v>
      </c>
      <c r="C729" s="7" t="str">
        <f>IFERROR(__xludf.DUMMYFUNCTION("""COMPUTED_VALUE"""),"PowerShell Scripting")</f>
        <v>PowerShell Scripting</v>
      </c>
      <c r="D729" s="7" t="str">
        <f>IFERROR(__xludf.DUMMYFUNCTION("""COMPUTED_VALUE"""),"S015")</f>
        <v>S015</v>
      </c>
      <c r="E729" s="7" t="str">
        <f>IFERROR(__xludf.DUMMYFUNCTION("""COMPUTED_VALUE"""),"Software Design Patterns (GoF)")</f>
        <v>Software Design Patterns (GoF)</v>
      </c>
      <c r="F729" s="7" t="str">
        <f>IFERROR(__xludf.DUMMYFUNCTION("""COMPUTED_VALUE"""),"S021 unlocks S015")</f>
        <v>S021 unlocks S015</v>
      </c>
    </row>
    <row r="730">
      <c r="A730" s="7" t="str">
        <f>IFERROR(__xludf.DUMMYFUNCTION("""COMPUTED_VALUE"""),"PE0729")</f>
        <v>PE0729</v>
      </c>
      <c r="B730" s="7" t="str">
        <f>IFERROR(__xludf.DUMMYFUNCTION("""COMPUTED_VALUE"""),"S024")</f>
        <v>S024</v>
      </c>
      <c r="C730" s="7" t="str">
        <f>IFERROR(__xludf.DUMMYFUNCTION("""COMPUTED_VALUE"""),"DNS, Domain Routing &amp; SSL/TLS")</f>
        <v>DNS, Domain Routing &amp; SSL/TLS</v>
      </c>
      <c r="D730" s="7" t="str">
        <f>IFERROR(__xludf.DUMMYFUNCTION("""COMPUTED_VALUE"""),"S011")</f>
        <v>S011</v>
      </c>
      <c r="E730" s="7" t="str">
        <f>IFERROR(__xludf.DUMMYFUNCTION("""COMPUTED_VALUE"""),"Dynamic Programming &amp; Greedy Algorithms")</f>
        <v>Dynamic Programming &amp; Greedy Algorithms</v>
      </c>
      <c r="F730" s="7" t="str">
        <f>IFERROR(__xludf.DUMMYFUNCTION("""COMPUTED_VALUE"""),"S024 unlocks S011")</f>
        <v>S024 unlocks S011</v>
      </c>
    </row>
    <row r="731">
      <c r="A731" s="7" t="str">
        <f>IFERROR(__xludf.DUMMYFUNCTION("""COMPUTED_VALUE"""),"PE0730")</f>
        <v>PE0730</v>
      </c>
      <c r="B731" s="7" t="str">
        <f>IFERROR(__xludf.DUMMYFUNCTION("""COMPUTED_VALUE"""),"S024")</f>
        <v>S024</v>
      </c>
      <c r="C731" s="7" t="str">
        <f>IFERROR(__xludf.DUMMYFUNCTION("""COMPUTED_VALUE"""),"DNS, Domain Routing &amp; SSL/TLS")</f>
        <v>DNS, Domain Routing &amp; SSL/TLS</v>
      </c>
      <c r="D731" s="7" t="str">
        <f>IFERROR(__xludf.DUMMYFUNCTION("""COMPUTED_VALUE"""),"S015")</f>
        <v>S015</v>
      </c>
      <c r="E731" s="7" t="str">
        <f>IFERROR(__xludf.DUMMYFUNCTION("""COMPUTED_VALUE"""),"Software Design Patterns (GoF)")</f>
        <v>Software Design Patterns (GoF)</v>
      </c>
      <c r="F731" s="7" t="str">
        <f>IFERROR(__xludf.DUMMYFUNCTION("""COMPUTED_VALUE"""),"S024 unlocks S015")</f>
        <v>S024 unlocks S015</v>
      </c>
    </row>
    <row r="732">
      <c r="A732" s="7" t="str">
        <f>IFERROR(__xludf.DUMMYFUNCTION("""COMPUTED_VALUE"""),"PE0731")</f>
        <v>PE0731</v>
      </c>
      <c r="B732" s="7" t="str">
        <f>IFERROR(__xludf.DUMMYFUNCTION("""COMPUTED_VALUE"""),"S029")</f>
        <v>S029</v>
      </c>
      <c r="C732" s="7" t="str">
        <f>IFERROR(__xludf.DUMMYFUNCTION("""COMPUTED_VALUE"""),"Debugging, Profiling &amp; Root Cause Analysis")</f>
        <v>Debugging, Profiling &amp; Root Cause Analysis</v>
      </c>
      <c r="D732" s="7" t="str">
        <f>IFERROR(__xludf.DUMMYFUNCTION("""COMPUTED_VALUE"""),"S011")</f>
        <v>S011</v>
      </c>
      <c r="E732" s="7" t="str">
        <f>IFERROR(__xludf.DUMMYFUNCTION("""COMPUTED_VALUE"""),"Dynamic Programming &amp; Greedy Algorithms")</f>
        <v>Dynamic Programming &amp; Greedy Algorithms</v>
      </c>
      <c r="F732" s="7" t="str">
        <f>IFERROR(__xludf.DUMMYFUNCTION("""COMPUTED_VALUE"""),"S029 unlocks S011")</f>
        <v>S029 unlocks S011</v>
      </c>
    </row>
    <row r="733">
      <c r="A733" s="7" t="str">
        <f>IFERROR(__xludf.DUMMYFUNCTION("""COMPUTED_VALUE"""),"PE0732")</f>
        <v>PE0732</v>
      </c>
      <c r="B733" s="7" t="str">
        <f>IFERROR(__xludf.DUMMYFUNCTION("""COMPUTED_VALUE"""),"S029")</f>
        <v>S029</v>
      </c>
      <c r="C733" s="7" t="str">
        <f>IFERROR(__xludf.DUMMYFUNCTION("""COMPUTED_VALUE"""),"Debugging, Profiling &amp; Root Cause Analysis")</f>
        <v>Debugging, Profiling &amp; Root Cause Analysis</v>
      </c>
      <c r="D733" s="7" t="str">
        <f>IFERROR(__xludf.DUMMYFUNCTION("""COMPUTED_VALUE"""),"S015")</f>
        <v>S015</v>
      </c>
      <c r="E733" s="7" t="str">
        <f>IFERROR(__xludf.DUMMYFUNCTION("""COMPUTED_VALUE"""),"Software Design Patterns (GoF)")</f>
        <v>Software Design Patterns (GoF)</v>
      </c>
      <c r="F733" s="7" t="str">
        <f>IFERROR(__xludf.DUMMYFUNCTION("""COMPUTED_VALUE"""),"S029 unlocks S015")</f>
        <v>S029 unlocks S015</v>
      </c>
    </row>
    <row r="734">
      <c r="A734" s="7" t="str">
        <f>IFERROR(__xludf.DUMMYFUNCTION("""COMPUTED_VALUE"""),"PE0733")</f>
        <v>PE0733</v>
      </c>
      <c r="B734" s="7" t="str">
        <f>IFERROR(__xludf.DUMMYFUNCTION("""COMPUTED_VALUE"""),"S035")</f>
        <v>S035</v>
      </c>
      <c r="C734" s="7" t="str">
        <f>IFERROR(__xludf.DUMMYFUNCTION("""COMPUTED_VALUE"""),"Asynchronous JavaScript (Promises, Async/Await)")</f>
        <v>Asynchronous JavaScript (Promises, Async/Await)</v>
      </c>
      <c r="D734" s="7" t="str">
        <f>IFERROR(__xludf.DUMMYFUNCTION("""COMPUTED_VALUE"""),"S043")</f>
        <v>S043</v>
      </c>
      <c r="E734" s="7" t="str">
        <f>IFERROR(__xludf.DUMMYFUNCTION("""COMPUTED_VALUE"""),"Next.js (SSR, SSG &amp; App Router)")</f>
        <v>Next.js (SSR, SSG &amp; App Router)</v>
      </c>
      <c r="F734" s="7" t="str">
        <f>IFERROR(__xludf.DUMMYFUNCTION("""COMPUTED_VALUE"""),"S035 unlocks S043")</f>
        <v>S035 unlocks S043</v>
      </c>
    </row>
    <row r="735">
      <c r="A735" s="7" t="str">
        <f>IFERROR(__xludf.DUMMYFUNCTION("""COMPUTED_VALUE"""),"PE0734")</f>
        <v>PE0734</v>
      </c>
      <c r="B735" s="7" t="str">
        <f>IFERROR(__xludf.DUMMYFUNCTION("""COMPUTED_VALUE"""),"S035")</f>
        <v>S035</v>
      </c>
      <c r="C735" s="7" t="str">
        <f>IFERROR(__xludf.DUMMYFUNCTION("""COMPUTED_VALUE"""),"Asynchronous JavaScript (Promises, Async/Await)")</f>
        <v>Asynchronous JavaScript (Promises, Async/Await)</v>
      </c>
      <c r="D735" s="7" t="str">
        <f>IFERROR(__xludf.DUMMYFUNCTION("""COMPUTED_VALUE"""),"S044")</f>
        <v>S044</v>
      </c>
      <c r="E735" s="7" t="str">
        <f>IFERROR(__xludf.DUMMYFUNCTION("""COMPUTED_VALUE"""),"Nuxt.js Framework")</f>
        <v>Nuxt.js Framework</v>
      </c>
      <c r="F735" s="7" t="str">
        <f>IFERROR(__xludf.DUMMYFUNCTION("""COMPUTED_VALUE"""),"S035 unlocks S044")</f>
        <v>S035 unlocks S044</v>
      </c>
    </row>
    <row r="736">
      <c r="A736" s="7" t="str">
        <f>IFERROR(__xludf.DUMMYFUNCTION("""COMPUTED_VALUE"""),"PE0735")</f>
        <v>PE0735</v>
      </c>
      <c r="B736" s="7" t="str">
        <f>IFERROR(__xludf.DUMMYFUNCTION("""COMPUTED_VALUE"""),"S035")</f>
        <v>S035</v>
      </c>
      <c r="C736" s="7" t="str">
        <f>IFERROR(__xludf.DUMMYFUNCTION("""COMPUTED_VALUE"""),"Asynchronous JavaScript (Promises, Async/Await)")</f>
        <v>Asynchronous JavaScript (Promises, Async/Await)</v>
      </c>
      <c r="D736" s="7" t="str">
        <f>IFERROR(__xludf.DUMMYFUNCTION("""COMPUTED_VALUE"""),"S045")</f>
        <v>S045</v>
      </c>
      <c r="E736" s="7" t="str">
        <f>IFERROR(__xludf.DUMMYFUNCTION("""COMPUTED_VALUE"""),"Frontend State Management (Redux Toolkit, Zustand, MobX)")</f>
        <v>Frontend State Management (Redux Toolkit, Zustand, MobX)</v>
      </c>
      <c r="F736" s="7" t="str">
        <f>IFERROR(__xludf.DUMMYFUNCTION("""COMPUTED_VALUE"""),"S035 unlocks S045")</f>
        <v>S035 unlocks S045</v>
      </c>
    </row>
    <row r="737">
      <c r="A737" s="7" t="str">
        <f>IFERROR(__xludf.DUMMYFUNCTION("""COMPUTED_VALUE"""),"PE0736")</f>
        <v>PE0736</v>
      </c>
      <c r="B737" s="7" t="str">
        <f>IFERROR(__xludf.DUMMYFUNCTION("""COMPUTED_VALUE"""),"S035")</f>
        <v>S035</v>
      </c>
      <c r="C737" s="7" t="str">
        <f>IFERROR(__xludf.DUMMYFUNCTION("""COMPUTED_VALUE"""),"Asynchronous JavaScript (Promises, Async/Await)")</f>
        <v>Asynchronous JavaScript (Promises, Async/Await)</v>
      </c>
      <c r="D737" s="7" t="str">
        <f>IFERROR(__xludf.DUMMYFUNCTION("""COMPUTED_VALUE"""),"S052")</f>
        <v>S052</v>
      </c>
      <c r="E737" s="7" t="str">
        <f>IFERROR(__xludf.DUMMYFUNCTION("""COMPUTED_VALUE"""),"Web Performance Optimization &amp; Core Web Vitals")</f>
        <v>Web Performance Optimization &amp; Core Web Vitals</v>
      </c>
      <c r="F737" s="7" t="str">
        <f>IFERROR(__xludf.DUMMYFUNCTION("""COMPUTED_VALUE"""),"S035 unlocks S052")</f>
        <v>S035 unlocks S052</v>
      </c>
    </row>
    <row r="738">
      <c r="A738" s="7" t="str">
        <f>IFERROR(__xludf.DUMMYFUNCTION("""COMPUTED_VALUE"""),"PE0737")</f>
        <v>PE0737</v>
      </c>
      <c r="B738" s="7" t="str">
        <f>IFERROR(__xludf.DUMMYFUNCTION("""COMPUTED_VALUE"""),"S035")</f>
        <v>S035</v>
      </c>
      <c r="C738" s="7" t="str">
        <f>IFERROR(__xludf.DUMMYFUNCTION("""COMPUTED_VALUE"""),"Asynchronous JavaScript (Promises, Async/Await)")</f>
        <v>Asynchronous JavaScript (Promises, Async/Await)</v>
      </c>
      <c r="D738" s="7" t="str">
        <f>IFERROR(__xludf.DUMMYFUNCTION("""COMPUTED_VALUE"""),"S054")</f>
        <v>S054</v>
      </c>
      <c r="E738" s="7" t="str">
        <f>IFERROR(__xludf.DUMMYFUNCTION("""COMPUTED_VALUE"""),"Progressive Web Apps (PWA) &amp; Service Workers")</f>
        <v>Progressive Web Apps (PWA) &amp; Service Workers</v>
      </c>
      <c r="F738" s="7" t="str">
        <f>IFERROR(__xludf.DUMMYFUNCTION("""COMPUTED_VALUE"""),"S035 unlocks S054")</f>
        <v>S035 unlocks S054</v>
      </c>
    </row>
    <row r="739">
      <c r="A739" s="7" t="str">
        <f>IFERROR(__xludf.DUMMYFUNCTION("""COMPUTED_VALUE"""),"PE0738")</f>
        <v>PE0738</v>
      </c>
      <c r="B739" s="7" t="str">
        <f>IFERROR(__xludf.DUMMYFUNCTION("""COMPUTED_VALUE"""),"S035")</f>
        <v>S035</v>
      </c>
      <c r="C739" s="7" t="str">
        <f>IFERROR(__xludf.DUMMYFUNCTION("""COMPUTED_VALUE"""),"Asynchronous JavaScript (Promises, Async/Await)")</f>
        <v>Asynchronous JavaScript (Promises, Async/Await)</v>
      </c>
      <c r="D739" s="7" t="str">
        <f>IFERROR(__xludf.DUMMYFUNCTION("""COMPUTED_VALUE"""),"S055")</f>
        <v>S055</v>
      </c>
      <c r="E739" s="7" t="str">
        <f>IFERROR(__xludf.DUMMYFUNCTION("""COMPUTED_VALUE"""),"WebAssembly (Wasm)")</f>
        <v>WebAssembly (Wasm)</v>
      </c>
      <c r="F739" s="7" t="str">
        <f>IFERROR(__xludf.DUMMYFUNCTION("""COMPUTED_VALUE"""),"S035 unlocks S055")</f>
        <v>S035 unlocks S055</v>
      </c>
    </row>
    <row r="740">
      <c r="A740" s="7" t="str">
        <f>IFERROR(__xludf.DUMMYFUNCTION("""COMPUTED_VALUE"""),"PE0739")</f>
        <v>PE0739</v>
      </c>
      <c r="B740" s="7" t="str">
        <f>IFERROR(__xludf.DUMMYFUNCTION("""COMPUTED_VALUE"""),"S035")</f>
        <v>S035</v>
      </c>
      <c r="C740" s="7" t="str">
        <f>IFERROR(__xludf.DUMMYFUNCTION("""COMPUTED_VALUE"""),"Asynchronous JavaScript (Promises, Async/Await)")</f>
        <v>Asynchronous JavaScript (Promises, Async/Await)</v>
      </c>
      <c r="D740" s="7" t="str">
        <f>IFERROR(__xludf.DUMMYFUNCTION("""COMPUTED_VALUE"""),"S056")</f>
        <v>S056</v>
      </c>
      <c r="E740" s="7" t="str">
        <f>IFERROR(__xludf.DUMMYFUNCTION("""COMPUTED_VALUE"""),"Micro-Frontends Architecture")</f>
        <v>Micro-Frontends Architecture</v>
      </c>
      <c r="F740" s="7" t="str">
        <f>IFERROR(__xludf.DUMMYFUNCTION("""COMPUTED_VALUE"""),"S035 unlocks S056")</f>
        <v>S035 unlocks S056</v>
      </c>
    </row>
    <row r="741">
      <c r="A741" s="7" t="str">
        <f>IFERROR(__xludf.DUMMYFUNCTION("""COMPUTED_VALUE"""),"PE0740")</f>
        <v>PE0740</v>
      </c>
      <c r="B741" s="7" t="str">
        <f>IFERROR(__xludf.DUMMYFUNCTION("""COMPUTED_VALUE"""),"S035")</f>
        <v>S035</v>
      </c>
      <c r="C741" s="7" t="str">
        <f>IFERROR(__xludf.DUMMYFUNCTION("""COMPUTED_VALUE"""),"Asynchronous JavaScript (Promises, Async/Await)")</f>
        <v>Asynchronous JavaScript (Promises, Async/Await)</v>
      </c>
      <c r="D741" s="7" t="str">
        <f>IFERROR(__xludf.DUMMYFUNCTION("""COMPUTED_VALUE"""),"S058")</f>
        <v>S058</v>
      </c>
      <c r="E741" s="7" t="str">
        <f>IFERROR(__xludf.DUMMYFUNCTION("""COMPUTED_VALUE"""),"WebGL &amp; 3D Browser Graphics (Three.js)")</f>
        <v>WebGL &amp; 3D Browser Graphics (Three.js)</v>
      </c>
      <c r="F741" s="7" t="str">
        <f>IFERROR(__xludf.DUMMYFUNCTION("""COMPUTED_VALUE"""),"S035 unlocks S058")</f>
        <v>S035 unlocks S058</v>
      </c>
    </row>
    <row r="742">
      <c r="A742" s="7" t="str">
        <f>IFERROR(__xludf.DUMMYFUNCTION("""COMPUTED_VALUE"""),"PE0741")</f>
        <v>PE0741</v>
      </c>
      <c r="B742" s="7" t="str">
        <f>IFERROR(__xludf.DUMMYFUNCTION("""COMPUTED_VALUE"""),"S035")</f>
        <v>S035</v>
      </c>
      <c r="C742" s="7" t="str">
        <f>IFERROR(__xludf.DUMMYFUNCTION("""COMPUTED_VALUE"""),"Asynchronous JavaScript (Promises, Async/Await)")</f>
        <v>Asynchronous JavaScript (Promises, Async/Await)</v>
      </c>
      <c r="D742" s="7" t="str">
        <f>IFERROR(__xludf.DUMMYFUNCTION("""COMPUTED_VALUE"""),"S065")</f>
        <v>S065</v>
      </c>
      <c r="E742" s="7" t="str">
        <f>IFERROR(__xludf.DUMMYFUNCTION("""COMPUTED_VALUE"""),"Design Systems &amp; Component Tokens (Storybook)")</f>
        <v>Design Systems &amp; Component Tokens (Storybook)</v>
      </c>
      <c r="F742" s="7" t="str">
        <f>IFERROR(__xludf.DUMMYFUNCTION("""COMPUTED_VALUE"""),"S035 unlocks S065")</f>
        <v>S035 unlocks S065</v>
      </c>
    </row>
    <row r="743">
      <c r="A743" s="7" t="str">
        <f>IFERROR(__xludf.DUMMYFUNCTION("""COMPUTED_VALUE"""),"PE0742")</f>
        <v>PE0742</v>
      </c>
      <c r="B743" s="7" t="str">
        <f>IFERROR(__xludf.DUMMYFUNCTION("""COMPUTED_VALUE"""),"S038")</f>
        <v>S038</v>
      </c>
      <c r="C743" s="7" t="str">
        <f>IFERROR(__xludf.DUMMYFUNCTION("""COMPUTED_VALUE"""),"TypeScript &amp; Static Typing")</f>
        <v>TypeScript &amp; Static Typing</v>
      </c>
      <c r="D743" s="7" t="str">
        <f>IFERROR(__xludf.DUMMYFUNCTION("""COMPUTED_VALUE"""),"S043")</f>
        <v>S043</v>
      </c>
      <c r="E743" s="7" t="str">
        <f>IFERROR(__xludf.DUMMYFUNCTION("""COMPUTED_VALUE"""),"Next.js (SSR, SSG &amp; App Router)")</f>
        <v>Next.js (SSR, SSG &amp; App Router)</v>
      </c>
      <c r="F743" s="7" t="str">
        <f>IFERROR(__xludf.DUMMYFUNCTION("""COMPUTED_VALUE"""),"S038 unlocks S043")</f>
        <v>S038 unlocks S043</v>
      </c>
    </row>
    <row r="744">
      <c r="A744" s="7" t="str">
        <f>IFERROR(__xludf.DUMMYFUNCTION("""COMPUTED_VALUE"""),"PE0743")</f>
        <v>PE0743</v>
      </c>
      <c r="B744" s="7" t="str">
        <f>IFERROR(__xludf.DUMMYFUNCTION("""COMPUTED_VALUE"""),"S038")</f>
        <v>S038</v>
      </c>
      <c r="C744" s="7" t="str">
        <f>IFERROR(__xludf.DUMMYFUNCTION("""COMPUTED_VALUE"""),"TypeScript &amp; Static Typing")</f>
        <v>TypeScript &amp; Static Typing</v>
      </c>
      <c r="D744" s="7" t="str">
        <f>IFERROR(__xludf.DUMMYFUNCTION("""COMPUTED_VALUE"""),"S044")</f>
        <v>S044</v>
      </c>
      <c r="E744" s="7" t="str">
        <f>IFERROR(__xludf.DUMMYFUNCTION("""COMPUTED_VALUE"""),"Nuxt.js Framework")</f>
        <v>Nuxt.js Framework</v>
      </c>
      <c r="F744" s="7" t="str">
        <f>IFERROR(__xludf.DUMMYFUNCTION("""COMPUTED_VALUE"""),"S038 unlocks S044")</f>
        <v>S038 unlocks S044</v>
      </c>
    </row>
    <row r="745">
      <c r="A745" s="7" t="str">
        <f>IFERROR(__xludf.DUMMYFUNCTION("""COMPUTED_VALUE"""),"PE0744")</f>
        <v>PE0744</v>
      </c>
      <c r="B745" s="7" t="str">
        <f>IFERROR(__xludf.DUMMYFUNCTION("""COMPUTED_VALUE"""),"S038")</f>
        <v>S038</v>
      </c>
      <c r="C745" s="7" t="str">
        <f>IFERROR(__xludf.DUMMYFUNCTION("""COMPUTED_VALUE"""),"TypeScript &amp; Static Typing")</f>
        <v>TypeScript &amp; Static Typing</v>
      </c>
      <c r="D745" s="7" t="str">
        <f>IFERROR(__xludf.DUMMYFUNCTION("""COMPUTED_VALUE"""),"S045")</f>
        <v>S045</v>
      </c>
      <c r="E745" s="7" t="str">
        <f>IFERROR(__xludf.DUMMYFUNCTION("""COMPUTED_VALUE"""),"Frontend State Management (Redux Toolkit, Zustand, MobX)")</f>
        <v>Frontend State Management (Redux Toolkit, Zustand, MobX)</v>
      </c>
      <c r="F745" s="7" t="str">
        <f>IFERROR(__xludf.DUMMYFUNCTION("""COMPUTED_VALUE"""),"S038 unlocks S045")</f>
        <v>S038 unlocks S045</v>
      </c>
    </row>
    <row r="746">
      <c r="A746" s="7" t="str">
        <f>IFERROR(__xludf.DUMMYFUNCTION("""COMPUTED_VALUE"""),"PE0745")</f>
        <v>PE0745</v>
      </c>
      <c r="B746" s="7" t="str">
        <f>IFERROR(__xludf.DUMMYFUNCTION("""COMPUTED_VALUE"""),"S038")</f>
        <v>S038</v>
      </c>
      <c r="C746" s="7" t="str">
        <f>IFERROR(__xludf.DUMMYFUNCTION("""COMPUTED_VALUE"""),"TypeScript &amp; Static Typing")</f>
        <v>TypeScript &amp; Static Typing</v>
      </c>
      <c r="D746" s="7" t="str">
        <f>IFERROR(__xludf.DUMMYFUNCTION("""COMPUTED_VALUE"""),"S052")</f>
        <v>S052</v>
      </c>
      <c r="E746" s="7" t="str">
        <f>IFERROR(__xludf.DUMMYFUNCTION("""COMPUTED_VALUE"""),"Web Performance Optimization &amp; Core Web Vitals")</f>
        <v>Web Performance Optimization &amp; Core Web Vitals</v>
      </c>
      <c r="F746" s="7" t="str">
        <f>IFERROR(__xludf.DUMMYFUNCTION("""COMPUTED_VALUE"""),"S038 unlocks S052")</f>
        <v>S038 unlocks S052</v>
      </c>
    </row>
    <row r="747">
      <c r="A747" s="7" t="str">
        <f>IFERROR(__xludf.DUMMYFUNCTION("""COMPUTED_VALUE"""),"PE0746")</f>
        <v>PE0746</v>
      </c>
      <c r="B747" s="7" t="str">
        <f>IFERROR(__xludf.DUMMYFUNCTION("""COMPUTED_VALUE"""),"S038")</f>
        <v>S038</v>
      </c>
      <c r="C747" s="7" t="str">
        <f>IFERROR(__xludf.DUMMYFUNCTION("""COMPUTED_VALUE"""),"TypeScript &amp; Static Typing")</f>
        <v>TypeScript &amp; Static Typing</v>
      </c>
      <c r="D747" s="7" t="str">
        <f>IFERROR(__xludf.DUMMYFUNCTION("""COMPUTED_VALUE"""),"S054")</f>
        <v>S054</v>
      </c>
      <c r="E747" s="7" t="str">
        <f>IFERROR(__xludf.DUMMYFUNCTION("""COMPUTED_VALUE"""),"Progressive Web Apps (PWA) &amp; Service Workers")</f>
        <v>Progressive Web Apps (PWA) &amp; Service Workers</v>
      </c>
      <c r="F747" s="7" t="str">
        <f>IFERROR(__xludf.DUMMYFUNCTION("""COMPUTED_VALUE"""),"S038 unlocks S054")</f>
        <v>S038 unlocks S054</v>
      </c>
    </row>
    <row r="748">
      <c r="A748" s="7" t="str">
        <f>IFERROR(__xludf.DUMMYFUNCTION("""COMPUTED_VALUE"""),"PE0747")</f>
        <v>PE0747</v>
      </c>
      <c r="B748" s="7" t="str">
        <f>IFERROR(__xludf.DUMMYFUNCTION("""COMPUTED_VALUE"""),"S038")</f>
        <v>S038</v>
      </c>
      <c r="C748" s="7" t="str">
        <f>IFERROR(__xludf.DUMMYFUNCTION("""COMPUTED_VALUE"""),"TypeScript &amp; Static Typing")</f>
        <v>TypeScript &amp; Static Typing</v>
      </c>
      <c r="D748" s="7" t="str">
        <f>IFERROR(__xludf.DUMMYFUNCTION("""COMPUTED_VALUE"""),"S055")</f>
        <v>S055</v>
      </c>
      <c r="E748" s="7" t="str">
        <f>IFERROR(__xludf.DUMMYFUNCTION("""COMPUTED_VALUE"""),"WebAssembly (Wasm)")</f>
        <v>WebAssembly (Wasm)</v>
      </c>
      <c r="F748" s="7" t="str">
        <f>IFERROR(__xludf.DUMMYFUNCTION("""COMPUTED_VALUE"""),"S038 unlocks S055")</f>
        <v>S038 unlocks S055</v>
      </c>
    </row>
    <row r="749">
      <c r="A749" s="7" t="str">
        <f>IFERROR(__xludf.DUMMYFUNCTION("""COMPUTED_VALUE"""),"PE0748")</f>
        <v>PE0748</v>
      </c>
      <c r="B749" s="7" t="str">
        <f>IFERROR(__xludf.DUMMYFUNCTION("""COMPUTED_VALUE"""),"S038")</f>
        <v>S038</v>
      </c>
      <c r="C749" s="7" t="str">
        <f>IFERROR(__xludf.DUMMYFUNCTION("""COMPUTED_VALUE"""),"TypeScript &amp; Static Typing")</f>
        <v>TypeScript &amp; Static Typing</v>
      </c>
      <c r="D749" s="7" t="str">
        <f>IFERROR(__xludf.DUMMYFUNCTION("""COMPUTED_VALUE"""),"S056")</f>
        <v>S056</v>
      </c>
      <c r="E749" s="7" t="str">
        <f>IFERROR(__xludf.DUMMYFUNCTION("""COMPUTED_VALUE"""),"Micro-Frontends Architecture")</f>
        <v>Micro-Frontends Architecture</v>
      </c>
      <c r="F749" s="7" t="str">
        <f>IFERROR(__xludf.DUMMYFUNCTION("""COMPUTED_VALUE"""),"S038 unlocks S056")</f>
        <v>S038 unlocks S056</v>
      </c>
    </row>
    <row r="750">
      <c r="A750" s="7" t="str">
        <f>IFERROR(__xludf.DUMMYFUNCTION("""COMPUTED_VALUE"""),"PE0749")</f>
        <v>PE0749</v>
      </c>
      <c r="B750" s="7" t="str">
        <f>IFERROR(__xludf.DUMMYFUNCTION("""COMPUTED_VALUE"""),"S038")</f>
        <v>S038</v>
      </c>
      <c r="C750" s="7" t="str">
        <f>IFERROR(__xludf.DUMMYFUNCTION("""COMPUTED_VALUE"""),"TypeScript &amp; Static Typing")</f>
        <v>TypeScript &amp; Static Typing</v>
      </c>
      <c r="D750" s="7" t="str">
        <f>IFERROR(__xludf.DUMMYFUNCTION("""COMPUTED_VALUE"""),"S058")</f>
        <v>S058</v>
      </c>
      <c r="E750" s="7" t="str">
        <f>IFERROR(__xludf.DUMMYFUNCTION("""COMPUTED_VALUE"""),"WebGL &amp; 3D Browser Graphics (Three.js)")</f>
        <v>WebGL &amp; 3D Browser Graphics (Three.js)</v>
      </c>
      <c r="F750" s="7" t="str">
        <f>IFERROR(__xludf.DUMMYFUNCTION("""COMPUTED_VALUE"""),"S038 unlocks S058")</f>
        <v>S038 unlocks S058</v>
      </c>
    </row>
    <row r="751">
      <c r="A751" s="7" t="str">
        <f>IFERROR(__xludf.DUMMYFUNCTION("""COMPUTED_VALUE"""),"PE0750")</f>
        <v>PE0750</v>
      </c>
      <c r="B751" s="7" t="str">
        <f>IFERROR(__xludf.DUMMYFUNCTION("""COMPUTED_VALUE"""),"S038")</f>
        <v>S038</v>
      </c>
      <c r="C751" s="7" t="str">
        <f>IFERROR(__xludf.DUMMYFUNCTION("""COMPUTED_VALUE"""),"TypeScript &amp; Static Typing")</f>
        <v>TypeScript &amp; Static Typing</v>
      </c>
      <c r="D751" s="7" t="str">
        <f>IFERROR(__xludf.DUMMYFUNCTION("""COMPUTED_VALUE"""),"S065")</f>
        <v>S065</v>
      </c>
      <c r="E751" s="7" t="str">
        <f>IFERROR(__xludf.DUMMYFUNCTION("""COMPUTED_VALUE"""),"Design Systems &amp; Component Tokens (Storybook)")</f>
        <v>Design Systems &amp; Component Tokens (Storybook)</v>
      </c>
      <c r="F751" s="7" t="str">
        <f>IFERROR(__xludf.DUMMYFUNCTION("""COMPUTED_VALUE"""),"S038 unlocks S065")</f>
        <v>S038 unlocks S065</v>
      </c>
    </row>
    <row r="752">
      <c r="A752" s="7" t="str">
        <f>IFERROR(__xludf.DUMMYFUNCTION("""COMPUTED_VALUE"""),"PE0751")</f>
        <v>PE0751</v>
      </c>
      <c r="B752" s="7" t="str">
        <f>IFERROR(__xludf.DUMMYFUNCTION("""COMPUTED_VALUE"""),"S039")</f>
        <v>S039</v>
      </c>
      <c r="C752" s="7" t="str">
        <f>IFERROR(__xludf.DUMMYFUNCTION("""COMPUTED_VALUE"""),"React.js &amp; Hooks Architecture")</f>
        <v>React.js &amp; Hooks Architecture</v>
      </c>
      <c r="D752" s="7" t="str">
        <f>IFERROR(__xludf.DUMMYFUNCTION("""COMPUTED_VALUE"""),"S043")</f>
        <v>S043</v>
      </c>
      <c r="E752" s="7" t="str">
        <f>IFERROR(__xludf.DUMMYFUNCTION("""COMPUTED_VALUE"""),"Next.js (SSR, SSG &amp; App Router)")</f>
        <v>Next.js (SSR, SSG &amp; App Router)</v>
      </c>
      <c r="F752" s="7" t="str">
        <f>IFERROR(__xludf.DUMMYFUNCTION("""COMPUTED_VALUE"""),"S039 unlocks S043")</f>
        <v>S039 unlocks S043</v>
      </c>
    </row>
    <row r="753">
      <c r="A753" s="7" t="str">
        <f>IFERROR(__xludf.DUMMYFUNCTION("""COMPUTED_VALUE"""),"PE0752")</f>
        <v>PE0752</v>
      </c>
      <c r="B753" s="7" t="str">
        <f>IFERROR(__xludf.DUMMYFUNCTION("""COMPUTED_VALUE"""),"S039")</f>
        <v>S039</v>
      </c>
      <c r="C753" s="7" t="str">
        <f>IFERROR(__xludf.DUMMYFUNCTION("""COMPUTED_VALUE"""),"React.js &amp; Hooks Architecture")</f>
        <v>React.js &amp; Hooks Architecture</v>
      </c>
      <c r="D753" s="7" t="str">
        <f>IFERROR(__xludf.DUMMYFUNCTION("""COMPUTED_VALUE"""),"S044")</f>
        <v>S044</v>
      </c>
      <c r="E753" s="7" t="str">
        <f>IFERROR(__xludf.DUMMYFUNCTION("""COMPUTED_VALUE"""),"Nuxt.js Framework")</f>
        <v>Nuxt.js Framework</v>
      </c>
      <c r="F753" s="7" t="str">
        <f>IFERROR(__xludf.DUMMYFUNCTION("""COMPUTED_VALUE"""),"S039 unlocks S044")</f>
        <v>S039 unlocks S044</v>
      </c>
    </row>
    <row r="754">
      <c r="A754" s="7" t="str">
        <f>IFERROR(__xludf.DUMMYFUNCTION("""COMPUTED_VALUE"""),"PE0753")</f>
        <v>PE0753</v>
      </c>
      <c r="B754" s="7" t="str">
        <f>IFERROR(__xludf.DUMMYFUNCTION("""COMPUTED_VALUE"""),"S039")</f>
        <v>S039</v>
      </c>
      <c r="C754" s="7" t="str">
        <f>IFERROR(__xludf.DUMMYFUNCTION("""COMPUTED_VALUE"""),"React.js &amp; Hooks Architecture")</f>
        <v>React.js &amp; Hooks Architecture</v>
      </c>
      <c r="D754" s="7" t="str">
        <f>IFERROR(__xludf.DUMMYFUNCTION("""COMPUTED_VALUE"""),"S045")</f>
        <v>S045</v>
      </c>
      <c r="E754" s="7" t="str">
        <f>IFERROR(__xludf.DUMMYFUNCTION("""COMPUTED_VALUE"""),"Frontend State Management (Redux Toolkit, Zustand, MobX)")</f>
        <v>Frontend State Management (Redux Toolkit, Zustand, MobX)</v>
      </c>
      <c r="F754" s="7" t="str">
        <f>IFERROR(__xludf.DUMMYFUNCTION("""COMPUTED_VALUE"""),"S039 unlocks S045")</f>
        <v>S039 unlocks S045</v>
      </c>
    </row>
    <row r="755">
      <c r="A755" s="7" t="str">
        <f>IFERROR(__xludf.DUMMYFUNCTION("""COMPUTED_VALUE"""),"PE0754")</f>
        <v>PE0754</v>
      </c>
      <c r="B755" s="7" t="str">
        <f>IFERROR(__xludf.DUMMYFUNCTION("""COMPUTED_VALUE"""),"S039")</f>
        <v>S039</v>
      </c>
      <c r="C755" s="7" t="str">
        <f>IFERROR(__xludf.DUMMYFUNCTION("""COMPUTED_VALUE"""),"React.js &amp; Hooks Architecture")</f>
        <v>React.js &amp; Hooks Architecture</v>
      </c>
      <c r="D755" s="7" t="str">
        <f>IFERROR(__xludf.DUMMYFUNCTION("""COMPUTED_VALUE"""),"S052")</f>
        <v>S052</v>
      </c>
      <c r="E755" s="7" t="str">
        <f>IFERROR(__xludf.DUMMYFUNCTION("""COMPUTED_VALUE"""),"Web Performance Optimization &amp; Core Web Vitals")</f>
        <v>Web Performance Optimization &amp; Core Web Vitals</v>
      </c>
      <c r="F755" s="7" t="str">
        <f>IFERROR(__xludf.DUMMYFUNCTION("""COMPUTED_VALUE"""),"S039 unlocks S052")</f>
        <v>S039 unlocks S052</v>
      </c>
    </row>
    <row r="756">
      <c r="A756" s="7" t="str">
        <f>IFERROR(__xludf.DUMMYFUNCTION("""COMPUTED_VALUE"""),"PE0755")</f>
        <v>PE0755</v>
      </c>
      <c r="B756" s="7" t="str">
        <f>IFERROR(__xludf.DUMMYFUNCTION("""COMPUTED_VALUE"""),"S039")</f>
        <v>S039</v>
      </c>
      <c r="C756" s="7" t="str">
        <f>IFERROR(__xludf.DUMMYFUNCTION("""COMPUTED_VALUE"""),"React.js &amp; Hooks Architecture")</f>
        <v>React.js &amp; Hooks Architecture</v>
      </c>
      <c r="D756" s="7" t="str">
        <f>IFERROR(__xludf.DUMMYFUNCTION("""COMPUTED_VALUE"""),"S054")</f>
        <v>S054</v>
      </c>
      <c r="E756" s="7" t="str">
        <f>IFERROR(__xludf.DUMMYFUNCTION("""COMPUTED_VALUE"""),"Progressive Web Apps (PWA) &amp; Service Workers")</f>
        <v>Progressive Web Apps (PWA) &amp; Service Workers</v>
      </c>
      <c r="F756" s="7" t="str">
        <f>IFERROR(__xludf.DUMMYFUNCTION("""COMPUTED_VALUE"""),"S039 unlocks S054")</f>
        <v>S039 unlocks S054</v>
      </c>
    </row>
    <row r="757">
      <c r="A757" s="7" t="str">
        <f>IFERROR(__xludf.DUMMYFUNCTION("""COMPUTED_VALUE"""),"PE0756")</f>
        <v>PE0756</v>
      </c>
      <c r="B757" s="7" t="str">
        <f>IFERROR(__xludf.DUMMYFUNCTION("""COMPUTED_VALUE"""),"S039")</f>
        <v>S039</v>
      </c>
      <c r="C757" s="7" t="str">
        <f>IFERROR(__xludf.DUMMYFUNCTION("""COMPUTED_VALUE"""),"React.js &amp; Hooks Architecture")</f>
        <v>React.js &amp; Hooks Architecture</v>
      </c>
      <c r="D757" s="7" t="str">
        <f>IFERROR(__xludf.DUMMYFUNCTION("""COMPUTED_VALUE"""),"S055")</f>
        <v>S055</v>
      </c>
      <c r="E757" s="7" t="str">
        <f>IFERROR(__xludf.DUMMYFUNCTION("""COMPUTED_VALUE"""),"WebAssembly (Wasm)")</f>
        <v>WebAssembly (Wasm)</v>
      </c>
      <c r="F757" s="7" t="str">
        <f>IFERROR(__xludf.DUMMYFUNCTION("""COMPUTED_VALUE"""),"S039 unlocks S055")</f>
        <v>S039 unlocks S055</v>
      </c>
    </row>
    <row r="758">
      <c r="A758" s="7" t="str">
        <f>IFERROR(__xludf.DUMMYFUNCTION("""COMPUTED_VALUE"""),"PE0757")</f>
        <v>PE0757</v>
      </c>
      <c r="B758" s="7" t="str">
        <f>IFERROR(__xludf.DUMMYFUNCTION("""COMPUTED_VALUE"""),"S039")</f>
        <v>S039</v>
      </c>
      <c r="C758" s="7" t="str">
        <f>IFERROR(__xludf.DUMMYFUNCTION("""COMPUTED_VALUE"""),"React.js &amp; Hooks Architecture")</f>
        <v>React.js &amp; Hooks Architecture</v>
      </c>
      <c r="D758" s="7" t="str">
        <f>IFERROR(__xludf.DUMMYFUNCTION("""COMPUTED_VALUE"""),"S056")</f>
        <v>S056</v>
      </c>
      <c r="E758" s="7" t="str">
        <f>IFERROR(__xludf.DUMMYFUNCTION("""COMPUTED_VALUE"""),"Micro-Frontends Architecture")</f>
        <v>Micro-Frontends Architecture</v>
      </c>
      <c r="F758" s="7" t="str">
        <f>IFERROR(__xludf.DUMMYFUNCTION("""COMPUTED_VALUE"""),"S039 unlocks S056")</f>
        <v>S039 unlocks S056</v>
      </c>
    </row>
    <row r="759">
      <c r="A759" s="7" t="str">
        <f>IFERROR(__xludf.DUMMYFUNCTION("""COMPUTED_VALUE"""),"PE0758")</f>
        <v>PE0758</v>
      </c>
      <c r="B759" s="7" t="str">
        <f>IFERROR(__xludf.DUMMYFUNCTION("""COMPUTED_VALUE"""),"S039")</f>
        <v>S039</v>
      </c>
      <c r="C759" s="7" t="str">
        <f>IFERROR(__xludf.DUMMYFUNCTION("""COMPUTED_VALUE"""),"React.js &amp; Hooks Architecture")</f>
        <v>React.js &amp; Hooks Architecture</v>
      </c>
      <c r="D759" s="7" t="str">
        <f>IFERROR(__xludf.DUMMYFUNCTION("""COMPUTED_VALUE"""),"S058")</f>
        <v>S058</v>
      </c>
      <c r="E759" s="7" t="str">
        <f>IFERROR(__xludf.DUMMYFUNCTION("""COMPUTED_VALUE"""),"WebGL &amp; 3D Browser Graphics (Three.js)")</f>
        <v>WebGL &amp; 3D Browser Graphics (Three.js)</v>
      </c>
      <c r="F759" s="7" t="str">
        <f>IFERROR(__xludf.DUMMYFUNCTION("""COMPUTED_VALUE"""),"S039 unlocks S058")</f>
        <v>S039 unlocks S058</v>
      </c>
    </row>
    <row r="760">
      <c r="A760" s="7" t="str">
        <f>IFERROR(__xludf.DUMMYFUNCTION("""COMPUTED_VALUE"""),"PE0759")</f>
        <v>PE0759</v>
      </c>
      <c r="B760" s="7" t="str">
        <f>IFERROR(__xludf.DUMMYFUNCTION("""COMPUTED_VALUE"""),"S039")</f>
        <v>S039</v>
      </c>
      <c r="C760" s="7" t="str">
        <f>IFERROR(__xludf.DUMMYFUNCTION("""COMPUTED_VALUE"""),"React.js &amp; Hooks Architecture")</f>
        <v>React.js &amp; Hooks Architecture</v>
      </c>
      <c r="D760" s="7" t="str">
        <f>IFERROR(__xludf.DUMMYFUNCTION("""COMPUTED_VALUE"""),"S065")</f>
        <v>S065</v>
      </c>
      <c r="E760" s="7" t="str">
        <f>IFERROR(__xludf.DUMMYFUNCTION("""COMPUTED_VALUE"""),"Design Systems &amp; Component Tokens (Storybook)")</f>
        <v>Design Systems &amp; Component Tokens (Storybook)</v>
      </c>
      <c r="F760" s="7" t="str">
        <f>IFERROR(__xludf.DUMMYFUNCTION("""COMPUTED_VALUE"""),"S039 unlocks S065")</f>
        <v>S039 unlocks S065</v>
      </c>
    </row>
    <row r="761">
      <c r="A761" s="7" t="str">
        <f>IFERROR(__xludf.DUMMYFUNCTION("""COMPUTED_VALUE"""),"PE0760")</f>
        <v>PE0760</v>
      </c>
      <c r="B761" s="7" t="str">
        <f>IFERROR(__xludf.DUMMYFUNCTION("""COMPUTED_VALUE"""),"S040")</f>
        <v>S040</v>
      </c>
      <c r="C761" s="7" t="str">
        <f>IFERROR(__xludf.DUMMYFUNCTION("""COMPUTED_VALUE"""),"Angular Framework &amp; RxJS")</f>
        <v>Angular Framework &amp; RxJS</v>
      </c>
      <c r="D761" s="7" t="str">
        <f>IFERROR(__xludf.DUMMYFUNCTION("""COMPUTED_VALUE"""),"S043")</f>
        <v>S043</v>
      </c>
      <c r="E761" s="7" t="str">
        <f>IFERROR(__xludf.DUMMYFUNCTION("""COMPUTED_VALUE"""),"Next.js (SSR, SSG &amp; App Router)")</f>
        <v>Next.js (SSR, SSG &amp; App Router)</v>
      </c>
      <c r="F761" s="7" t="str">
        <f>IFERROR(__xludf.DUMMYFUNCTION("""COMPUTED_VALUE"""),"S040 unlocks S043")</f>
        <v>S040 unlocks S043</v>
      </c>
    </row>
    <row r="762">
      <c r="A762" s="7" t="str">
        <f>IFERROR(__xludf.DUMMYFUNCTION("""COMPUTED_VALUE"""),"PE0761")</f>
        <v>PE0761</v>
      </c>
      <c r="B762" s="7" t="str">
        <f>IFERROR(__xludf.DUMMYFUNCTION("""COMPUTED_VALUE"""),"S040")</f>
        <v>S040</v>
      </c>
      <c r="C762" s="7" t="str">
        <f>IFERROR(__xludf.DUMMYFUNCTION("""COMPUTED_VALUE"""),"Angular Framework &amp; RxJS")</f>
        <v>Angular Framework &amp; RxJS</v>
      </c>
      <c r="D762" s="7" t="str">
        <f>IFERROR(__xludf.DUMMYFUNCTION("""COMPUTED_VALUE"""),"S044")</f>
        <v>S044</v>
      </c>
      <c r="E762" s="7" t="str">
        <f>IFERROR(__xludf.DUMMYFUNCTION("""COMPUTED_VALUE"""),"Nuxt.js Framework")</f>
        <v>Nuxt.js Framework</v>
      </c>
      <c r="F762" s="7" t="str">
        <f>IFERROR(__xludf.DUMMYFUNCTION("""COMPUTED_VALUE"""),"S040 unlocks S044")</f>
        <v>S040 unlocks S044</v>
      </c>
    </row>
    <row r="763">
      <c r="A763" s="7" t="str">
        <f>IFERROR(__xludf.DUMMYFUNCTION("""COMPUTED_VALUE"""),"PE0762")</f>
        <v>PE0762</v>
      </c>
      <c r="B763" s="7" t="str">
        <f>IFERROR(__xludf.DUMMYFUNCTION("""COMPUTED_VALUE"""),"S040")</f>
        <v>S040</v>
      </c>
      <c r="C763" s="7" t="str">
        <f>IFERROR(__xludf.DUMMYFUNCTION("""COMPUTED_VALUE"""),"Angular Framework &amp; RxJS")</f>
        <v>Angular Framework &amp; RxJS</v>
      </c>
      <c r="D763" s="7" t="str">
        <f>IFERROR(__xludf.DUMMYFUNCTION("""COMPUTED_VALUE"""),"S045")</f>
        <v>S045</v>
      </c>
      <c r="E763" s="7" t="str">
        <f>IFERROR(__xludf.DUMMYFUNCTION("""COMPUTED_VALUE"""),"Frontend State Management (Redux Toolkit, Zustand, MobX)")</f>
        <v>Frontend State Management (Redux Toolkit, Zustand, MobX)</v>
      </c>
      <c r="F763" s="7" t="str">
        <f>IFERROR(__xludf.DUMMYFUNCTION("""COMPUTED_VALUE"""),"S040 unlocks S045")</f>
        <v>S040 unlocks S045</v>
      </c>
    </row>
    <row r="764">
      <c r="A764" s="7" t="str">
        <f>IFERROR(__xludf.DUMMYFUNCTION("""COMPUTED_VALUE"""),"PE0763")</f>
        <v>PE0763</v>
      </c>
      <c r="B764" s="7" t="str">
        <f>IFERROR(__xludf.DUMMYFUNCTION("""COMPUTED_VALUE"""),"S040")</f>
        <v>S040</v>
      </c>
      <c r="C764" s="7" t="str">
        <f>IFERROR(__xludf.DUMMYFUNCTION("""COMPUTED_VALUE"""),"Angular Framework &amp; RxJS")</f>
        <v>Angular Framework &amp; RxJS</v>
      </c>
      <c r="D764" s="7" t="str">
        <f>IFERROR(__xludf.DUMMYFUNCTION("""COMPUTED_VALUE"""),"S052")</f>
        <v>S052</v>
      </c>
      <c r="E764" s="7" t="str">
        <f>IFERROR(__xludf.DUMMYFUNCTION("""COMPUTED_VALUE"""),"Web Performance Optimization &amp; Core Web Vitals")</f>
        <v>Web Performance Optimization &amp; Core Web Vitals</v>
      </c>
      <c r="F764" s="7" t="str">
        <f>IFERROR(__xludf.DUMMYFUNCTION("""COMPUTED_VALUE"""),"S040 unlocks S052")</f>
        <v>S040 unlocks S052</v>
      </c>
    </row>
    <row r="765">
      <c r="A765" s="7" t="str">
        <f>IFERROR(__xludf.DUMMYFUNCTION("""COMPUTED_VALUE"""),"PE0764")</f>
        <v>PE0764</v>
      </c>
      <c r="B765" s="7" t="str">
        <f>IFERROR(__xludf.DUMMYFUNCTION("""COMPUTED_VALUE"""),"S040")</f>
        <v>S040</v>
      </c>
      <c r="C765" s="7" t="str">
        <f>IFERROR(__xludf.DUMMYFUNCTION("""COMPUTED_VALUE"""),"Angular Framework &amp; RxJS")</f>
        <v>Angular Framework &amp; RxJS</v>
      </c>
      <c r="D765" s="7" t="str">
        <f>IFERROR(__xludf.DUMMYFUNCTION("""COMPUTED_VALUE"""),"S054")</f>
        <v>S054</v>
      </c>
      <c r="E765" s="7" t="str">
        <f>IFERROR(__xludf.DUMMYFUNCTION("""COMPUTED_VALUE"""),"Progressive Web Apps (PWA) &amp; Service Workers")</f>
        <v>Progressive Web Apps (PWA) &amp; Service Workers</v>
      </c>
      <c r="F765" s="7" t="str">
        <f>IFERROR(__xludf.DUMMYFUNCTION("""COMPUTED_VALUE"""),"S040 unlocks S054")</f>
        <v>S040 unlocks S054</v>
      </c>
    </row>
    <row r="766">
      <c r="A766" s="7" t="str">
        <f>IFERROR(__xludf.DUMMYFUNCTION("""COMPUTED_VALUE"""),"PE0765")</f>
        <v>PE0765</v>
      </c>
      <c r="B766" s="7" t="str">
        <f>IFERROR(__xludf.DUMMYFUNCTION("""COMPUTED_VALUE"""),"S040")</f>
        <v>S040</v>
      </c>
      <c r="C766" s="7" t="str">
        <f>IFERROR(__xludf.DUMMYFUNCTION("""COMPUTED_VALUE"""),"Angular Framework &amp; RxJS")</f>
        <v>Angular Framework &amp; RxJS</v>
      </c>
      <c r="D766" s="7" t="str">
        <f>IFERROR(__xludf.DUMMYFUNCTION("""COMPUTED_VALUE"""),"S055")</f>
        <v>S055</v>
      </c>
      <c r="E766" s="7" t="str">
        <f>IFERROR(__xludf.DUMMYFUNCTION("""COMPUTED_VALUE"""),"WebAssembly (Wasm)")</f>
        <v>WebAssembly (Wasm)</v>
      </c>
      <c r="F766" s="7" t="str">
        <f>IFERROR(__xludf.DUMMYFUNCTION("""COMPUTED_VALUE"""),"S040 unlocks S055")</f>
        <v>S040 unlocks S055</v>
      </c>
    </row>
    <row r="767">
      <c r="A767" s="7" t="str">
        <f>IFERROR(__xludf.DUMMYFUNCTION("""COMPUTED_VALUE"""),"PE0766")</f>
        <v>PE0766</v>
      </c>
      <c r="B767" s="7" t="str">
        <f>IFERROR(__xludf.DUMMYFUNCTION("""COMPUTED_VALUE"""),"S040")</f>
        <v>S040</v>
      </c>
      <c r="C767" s="7" t="str">
        <f>IFERROR(__xludf.DUMMYFUNCTION("""COMPUTED_VALUE"""),"Angular Framework &amp; RxJS")</f>
        <v>Angular Framework &amp; RxJS</v>
      </c>
      <c r="D767" s="7" t="str">
        <f>IFERROR(__xludf.DUMMYFUNCTION("""COMPUTED_VALUE"""),"S056")</f>
        <v>S056</v>
      </c>
      <c r="E767" s="7" t="str">
        <f>IFERROR(__xludf.DUMMYFUNCTION("""COMPUTED_VALUE"""),"Micro-Frontends Architecture")</f>
        <v>Micro-Frontends Architecture</v>
      </c>
      <c r="F767" s="7" t="str">
        <f>IFERROR(__xludf.DUMMYFUNCTION("""COMPUTED_VALUE"""),"S040 unlocks S056")</f>
        <v>S040 unlocks S056</v>
      </c>
    </row>
    <row r="768">
      <c r="A768" s="7" t="str">
        <f>IFERROR(__xludf.DUMMYFUNCTION("""COMPUTED_VALUE"""),"PE0767")</f>
        <v>PE0767</v>
      </c>
      <c r="B768" s="7" t="str">
        <f>IFERROR(__xludf.DUMMYFUNCTION("""COMPUTED_VALUE"""),"S040")</f>
        <v>S040</v>
      </c>
      <c r="C768" s="7" t="str">
        <f>IFERROR(__xludf.DUMMYFUNCTION("""COMPUTED_VALUE"""),"Angular Framework &amp; RxJS")</f>
        <v>Angular Framework &amp; RxJS</v>
      </c>
      <c r="D768" s="7" t="str">
        <f>IFERROR(__xludf.DUMMYFUNCTION("""COMPUTED_VALUE"""),"S058")</f>
        <v>S058</v>
      </c>
      <c r="E768" s="7" t="str">
        <f>IFERROR(__xludf.DUMMYFUNCTION("""COMPUTED_VALUE"""),"WebGL &amp; 3D Browser Graphics (Three.js)")</f>
        <v>WebGL &amp; 3D Browser Graphics (Three.js)</v>
      </c>
      <c r="F768" s="7" t="str">
        <f>IFERROR(__xludf.DUMMYFUNCTION("""COMPUTED_VALUE"""),"S040 unlocks S058")</f>
        <v>S040 unlocks S058</v>
      </c>
    </row>
    <row r="769">
      <c r="A769" s="7" t="str">
        <f>IFERROR(__xludf.DUMMYFUNCTION("""COMPUTED_VALUE"""),"PE0768")</f>
        <v>PE0768</v>
      </c>
      <c r="B769" s="7" t="str">
        <f>IFERROR(__xludf.DUMMYFUNCTION("""COMPUTED_VALUE"""),"S040")</f>
        <v>S040</v>
      </c>
      <c r="C769" s="7" t="str">
        <f>IFERROR(__xludf.DUMMYFUNCTION("""COMPUTED_VALUE"""),"Angular Framework &amp; RxJS")</f>
        <v>Angular Framework &amp; RxJS</v>
      </c>
      <c r="D769" s="7" t="str">
        <f>IFERROR(__xludf.DUMMYFUNCTION("""COMPUTED_VALUE"""),"S065")</f>
        <v>S065</v>
      </c>
      <c r="E769" s="7" t="str">
        <f>IFERROR(__xludf.DUMMYFUNCTION("""COMPUTED_VALUE"""),"Design Systems &amp; Component Tokens (Storybook)")</f>
        <v>Design Systems &amp; Component Tokens (Storybook)</v>
      </c>
      <c r="F769" s="7" t="str">
        <f>IFERROR(__xludf.DUMMYFUNCTION("""COMPUTED_VALUE"""),"S040 unlocks S065")</f>
        <v>S040 unlocks S065</v>
      </c>
    </row>
    <row r="770">
      <c r="A770" s="7" t="str">
        <f>IFERROR(__xludf.DUMMYFUNCTION("""COMPUTED_VALUE"""),"PE0769")</f>
        <v>PE0769</v>
      </c>
      <c r="B770" s="7" t="str">
        <f>IFERROR(__xludf.DUMMYFUNCTION("""COMPUTED_VALUE"""),"S041")</f>
        <v>S041</v>
      </c>
      <c r="C770" s="7" t="str">
        <f>IFERROR(__xludf.DUMMYFUNCTION("""COMPUTED_VALUE"""),"Vue.js &amp; Composition API")</f>
        <v>Vue.js &amp; Composition API</v>
      </c>
      <c r="D770" s="7" t="str">
        <f>IFERROR(__xludf.DUMMYFUNCTION("""COMPUTED_VALUE"""),"S043")</f>
        <v>S043</v>
      </c>
      <c r="E770" s="7" t="str">
        <f>IFERROR(__xludf.DUMMYFUNCTION("""COMPUTED_VALUE"""),"Next.js (SSR, SSG &amp; App Router)")</f>
        <v>Next.js (SSR, SSG &amp; App Router)</v>
      </c>
      <c r="F770" s="7" t="str">
        <f>IFERROR(__xludf.DUMMYFUNCTION("""COMPUTED_VALUE"""),"S041 unlocks S043")</f>
        <v>S041 unlocks S043</v>
      </c>
    </row>
    <row r="771">
      <c r="A771" s="7" t="str">
        <f>IFERROR(__xludf.DUMMYFUNCTION("""COMPUTED_VALUE"""),"PE0770")</f>
        <v>PE0770</v>
      </c>
      <c r="B771" s="7" t="str">
        <f>IFERROR(__xludf.DUMMYFUNCTION("""COMPUTED_VALUE"""),"S041")</f>
        <v>S041</v>
      </c>
      <c r="C771" s="7" t="str">
        <f>IFERROR(__xludf.DUMMYFUNCTION("""COMPUTED_VALUE"""),"Vue.js &amp; Composition API")</f>
        <v>Vue.js &amp; Composition API</v>
      </c>
      <c r="D771" s="7" t="str">
        <f>IFERROR(__xludf.DUMMYFUNCTION("""COMPUTED_VALUE"""),"S044")</f>
        <v>S044</v>
      </c>
      <c r="E771" s="7" t="str">
        <f>IFERROR(__xludf.DUMMYFUNCTION("""COMPUTED_VALUE"""),"Nuxt.js Framework")</f>
        <v>Nuxt.js Framework</v>
      </c>
      <c r="F771" s="7" t="str">
        <f>IFERROR(__xludf.DUMMYFUNCTION("""COMPUTED_VALUE"""),"S041 unlocks S044")</f>
        <v>S041 unlocks S044</v>
      </c>
    </row>
    <row r="772">
      <c r="A772" s="7" t="str">
        <f>IFERROR(__xludf.DUMMYFUNCTION("""COMPUTED_VALUE"""),"PE0771")</f>
        <v>PE0771</v>
      </c>
      <c r="B772" s="7" t="str">
        <f>IFERROR(__xludf.DUMMYFUNCTION("""COMPUTED_VALUE"""),"S041")</f>
        <v>S041</v>
      </c>
      <c r="C772" s="7" t="str">
        <f>IFERROR(__xludf.DUMMYFUNCTION("""COMPUTED_VALUE"""),"Vue.js &amp; Composition API")</f>
        <v>Vue.js &amp; Composition API</v>
      </c>
      <c r="D772" s="7" t="str">
        <f>IFERROR(__xludf.DUMMYFUNCTION("""COMPUTED_VALUE"""),"S045")</f>
        <v>S045</v>
      </c>
      <c r="E772" s="7" t="str">
        <f>IFERROR(__xludf.DUMMYFUNCTION("""COMPUTED_VALUE"""),"Frontend State Management (Redux Toolkit, Zustand, MobX)")</f>
        <v>Frontend State Management (Redux Toolkit, Zustand, MobX)</v>
      </c>
      <c r="F772" s="7" t="str">
        <f>IFERROR(__xludf.DUMMYFUNCTION("""COMPUTED_VALUE"""),"S041 unlocks S045")</f>
        <v>S041 unlocks S045</v>
      </c>
    </row>
    <row r="773">
      <c r="A773" s="7" t="str">
        <f>IFERROR(__xludf.DUMMYFUNCTION("""COMPUTED_VALUE"""),"PE0772")</f>
        <v>PE0772</v>
      </c>
      <c r="B773" s="7" t="str">
        <f>IFERROR(__xludf.DUMMYFUNCTION("""COMPUTED_VALUE"""),"S041")</f>
        <v>S041</v>
      </c>
      <c r="C773" s="7" t="str">
        <f>IFERROR(__xludf.DUMMYFUNCTION("""COMPUTED_VALUE"""),"Vue.js &amp; Composition API")</f>
        <v>Vue.js &amp; Composition API</v>
      </c>
      <c r="D773" s="7" t="str">
        <f>IFERROR(__xludf.DUMMYFUNCTION("""COMPUTED_VALUE"""),"S052")</f>
        <v>S052</v>
      </c>
      <c r="E773" s="7" t="str">
        <f>IFERROR(__xludf.DUMMYFUNCTION("""COMPUTED_VALUE"""),"Web Performance Optimization &amp; Core Web Vitals")</f>
        <v>Web Performance Optimization &amp; Core Web Vitals</v>
      </c>
      <c r="F773" s="7" t="str">
        <f>IFERROR(__xludf.DUMMYFUNCTION("""COMPUTED_VALUE"""),"S041 unlocks S052")</f>
        <v>S041 unlocks S052</v>
      </c>
    </row>
    <row r="774">
      <c r="A774" s="7" t="str">
        <f>IFERROR(__xludf.DUMMYFUNCTION("""COMPUTED_VALUE"""),"PE0773")</f>
        <v>PE0773</v>
      </c>
      <c r="B774" s="7" t="str">
        <f>IFERROR(__xludf.DUMMYFUNCTION("""COMPUTED_VALUE"""),"S041")</f>
        <v>S041</v>
      </c>
      <c r="C774" s="7" t="str">
        <f>IFERROR(__xludf.DUMMYFUNCTION("""COMPUTED_VALUE"""),"Vue.js &amp; Composition API")</f>
        <v>Vue.js &amp; Composition API</v>
      </c>
      <c r="D774" s="7" t="str">
        <f>IFERROR(__xludf.DUMMYFUNCTION("""COMPUTED_VALUE"""),"S054")</f>
        <v>S054</v>
      </c>
      <c r="E774" s="7" t="str">
        <f>IFERROR(__xludf.DUMMYFUNCTION("""COMPUTED_VALUE"""),"Progressive Web Apps (PWA) &amp; Service Workers")</f>
        <v>Progressive Web Apps (PWA) &amp; Service Workers</v>
      </c>
      <c r="F774" s="7" t="str">
        <f>IFERROR(__xludf.DUMMYFUNCTION("""COMPUTED_VALUE"""),"S041 unlocks S054")</f>
        <v>S041 unlocks S054</v>
      </c>
    </row>
    <row r="775">
      <c r="A775" s="7" t="str">
        <f>IFERROR(__xludf.DUMMYFUNCTION("""COMPUTED_VALUE"""),"PE0774")</f>
        <v>PE0774</v>
      </c>
      <c r="B775" s="7" t="str">
        <f>IFERROR(__xludf.DUMMYFUNCTION("""COMPUTED_VALUE"""),"S041")</f>
        <v>S041</v>
      </c>
      <c r="C775" s="7" t="str">
        <f>IFERROR(__xludf.DUMMYFUNCTION("""COMPUTED_VALUE"""),"Vue.js &amp; Composition API")</f>
        <v>Vue.js &amp; Composition API</v>
      </c>
      <c r="D775" s="7" t="str">
        <f>IFERROR(__xludf.DUMMYFUNCTION("""COMPUTED_VALUE"""),"S055")</f>
        <v>S055</v>
      </c>
      <c r="E775" s="7" t="str">
        <f>IFERROR(__xludf.DUMMYFUNCTION("""COMPUTED_VALUE"""),"WebAssembly (Wasm)")</f>
        <v>WebAssembly (Wasm)</v>
      </c>
      <c r="F775" s="7" t="str">
        <f>IFERROR(__xludf.DUMMYFUNCTION("""COMPUTED_VALUE"""),"S041 unlocks S055")</f>
        <v>S041 unlocks S055</v>
      </c>
    </row>
    <row r="776">
      <c r="A776" s="7" t="str">
        <f>IFERROR(__xludf.DUMMYFUNCTION("""COMPUTED_VALUE"""),"PE0775")</f>
        <v>PE0775</v>
      </c>
      <c r="B776" s="7" t="str">
        <f>IFERROR(__xludf.DUMMYFUNCTION("""COMPUTED_VALUE"""),"S041")</f>
        <v>S041</v>
      </c>
      <c r="C776" s="7" t="str">
        <f>IFERROR(__xludf.DUMMYFUNCTION("""COMPUTED_VALUE"""),"Vue.js &amp; Composition API")</f>
        <v>Vue.js &amp; Composition API</v>
      </c>
      <c r="D776" s="7" t="str">
        <f>IFERROR(__xludf.DUMMYFUNCTION("""COMPUTED_VALUE"""),"S056")</f>
        <v>S056</v>
      </c>
      <c r="E776" s="7" t="str">
        <f>IFERROR(__xludf.DUMMYFUNCTION("""COMPUTED_VALUE"""),"Micro-Frontends Architecture")</f>
        <v>Micro-Frontends Architecture</v>
      </c>
      <c r="F776" s="7" t="str">
        <f>IFERROR(__xludf.DUMMYFUNCTION("""COMPUTED_VALUE"""),"S041 unlocks S056")</f>
        <v>S041 unlocks S056</v>
      </c>
    </row>
    <row r="777">
      <c r="A777" s="7" t="str">
        <f>IFERROR(__xludf.DUMMYFUNCTION("""COMPUTED_VALUE"""),"PE0776")</f>
        <v>PE0776</v>
      </c>
      <c r="B777" s="7" t="str">
        <f>IFERROR(__xludf.DUMMYFUNCTION("""COMPUTED_VALUE"""),"S041")</f>
        <v>S041</v>
      </c>
      <c r="C777" s="7" t="str">
        <f>IFERROR(__xludf.DUMMYFUNCTION("""COMPUTED_VALUE"""),"Vue.js &amp; Composition API")</f>
        <v>Vue.js &amp; Composition API</v>
      </c>
      <c r="D777" s="7" t="str">
        <f>IFERROR(__xludf.DUMMYFUNCTION("""COMPUTED_VALUE"""),"S058")</f>
        <v>S058</v>
      </c>
      <c r="E777" s="7" t="str">
        <f>IFERROR(__xludf.DUMMYFUNCTION("""COMPUTED_VALUE"""),"WebGL &amp; 3D Browser Graphics (Three.js)")</f>
        <v>WebGL &amp; 3D Browser Graphics (Three.js)</v>
      </c>
      <c r="F777" s="7" t="str">
        <f>IFERROR(__xludf.DUMMYFUNCTION("""COMPUTED_VALUE"""),"S041 unlocks S058")</f>
        <v>S041 unlocks S058</v>
      </c>
    </row>
    <row r="778">
      <c r="A778" s="7" t="str">
        <f>IFERROR(__xludf.DUMMYFUNCTION("""COMPUTED_VALUE"""),"PE0777")</f>
        <v>PE0777</v>
      </c>
      <c r="B778" s="7" t="str">
        <f>IFERROR(__xludf.DUMMYFUNCTION("""COMPUTED_VALUE"""),"S041")</f>
        <v>S041</v>
      </c>
      <c r="C778" s="7" t="str">
        <f>IFERROR(__xludf.DUMMYFUNCTION("""COMPUTED_VALUE"""),"Vue.js &amp; Composition API")</f>
        <v>Vue.js &amp; Composition API</v>
      </c>
      <c r="D778" s="7" t="str">
        <f>IFERROR(__xludf.DUMMYFUNCTION("""COMPUTED_VALUE"""),"S065")</f>
        <v>S065</v>
      </c>
      <c r="E778" s="7" t="str">
        <f>IFERROR(__xludf.DUMMYFUNCTION("""COMPUTED_VALUE"""),"Design Systems &amp; Component Tokens (Storybook)")</f>
        <v>Design Systems &amp; Component Tokens (Storybook)</v>
      </c>
      <c r="F778" s="7" t="str">
        <f>IFERROR(__xludf.DUMMYFUNCTION("""COMPUTED_VALUE"""),"S041 unlocks S065")</f>
        <v>S041 unlocks S065</v>
      </c>
    </row>
    <row r="779">
      <c r="A779" s="7" t="str">
        <f>IFERROR(__xludf.DUMMYFUNCTION("""COMPUTED_VALUE"""),"PE0778")</f>
        <v>PE0778</v>
      </c>
      <c r="B779" s="7" t="str">
        <f>IFERROR(__xludf.DUMMYFUNCTION("""COMPUTED_VALUE"""),"S042")</f>
        <v>S042</v>
      </c>
      <c r="C779" s="7" t="str">
        <f>IFERROR(__xludf.DUMMYFUNCTION("""COMPUTED_VALUE"""),"Svelte &amp; SvelteKit")</f>
        <v>Svelte &amp; SvelteKit</v>
      </c>
      <c r="D779" s="7" t="str">
        <f>IFERROR(__xludf.DUMMYFUNCTION("""COMPUTED_VALUE"""),"S043")</f>
        <v>S043</v>
      </c>
      <c r="E779" s="7" t="str">
        <f>IFERROR(__xludf.DUMMYFUNCTION("""COMPUTED_VALUE"""),"Next.js (SSR, SSG &amp; App Router)")</f>
        <v>Next.js (SSR, SSG &amp; App Router)</v>
      </c>
      <c r="F779" s="7" t="str">
        <f>IFERROR(__xludf.DUMMYFUNCTION("""COMPUTED_VALUE"""),"S042 unlocks S043")</f>
        <v>S042 unlocks S043</v>
      </c>
    </row>
    <row r="780">
      <c r="A780" s="7" t="str">
        <f>IFERROR(__xludf.DUMMYFUNCTION("""COMPUTED_VALUE"""),"PE0779")</f>
        <v>PE0779</v>
      </c>
      <c r="B780" s="7" t="str">
        <f>IFERROR(__xludf.DUMMYFUNCTION("""COMPUTED_VALUE"""),"S042")</f>
        <v>S042</v>
      </c>
      <c r="C780" s="7" t="str">
        <f>IFERROR(__xludf.DUMMYFUNCTION("""COMPUTED_VALUE"""),"Svelte &amp; SvelteKit")</f>
        <v>Svelte &amp; SvelteKit</v>
      </c>
      <c r="D780" s="7" t="str">
        <f>IFERROR(__xludf.DUMMYFUNCTION("""COMPUTED_VALUE"""),"S044")</f>
        <v>S044</v>
      </c>
      <c r="E780" s="7" t="str">
        <f>IFERROR(__xludf.DUMMYFUNCTION("""COMPUTED_VALUE"""),"Nuxt.js Framework")</f>
        <v>Nuxt.js Framework</v>
      </c>
      <c r="F780" s="7" t="str">
        <f>IFERROR(__xludf.DUMMYFUNCTION("""COMPUTED_VALUE"""),"S042 unlocks S044")</f>
        <v>S042 unlocks S044</v>
      </c>
    </row>
    <row r="781">
      <c r="A781" s="7" t="str">
        <f>IFERROR(__xludf.DUMMYFUNCTION("""COMPUTED_VALUE"""),"PE0780")</f>
        <v>PE0780</v>
      </c>
      <c r="B781" s="7" t="str">
        <f>IFERROR(__xludf.DUMMYFUNCTION("""COMPUTED_VALUE"""),"S042")</f>
        <v>S042</v>
      </c>
      <c r="C781" s="7" t="str">
        <f>IFERROR(__xludf.DUMMYFUNCTION("""COMPUTED_VALUE"""),"Svelte &amp; SvelteKit")</f>
        <v>Svelte &amp; SvelteKit</v>
      </c>
      <c r="D781" s="7" t="str">
        <f>IFERROR(__xludf.DUMMYFUNCTION("""COMPUTED_VALUE"""),"S045")</f>
        <v>S045</v>
      </c>
      <c r="E781" s="7" t="str">
        <f>IFERROR(__xludf.DUMMYFUNCTION("""COMPUTED_VALUE"""),"Frontend State Management (Redux Toolkit, Zustand, MobX)")</f>
        <v>Frontend State Management (Redux Toolkit, Zustand, MobX)</v>
      </c>
      <c r="F781" s="7" t="str">
        <f>IFERROR(__xludf.DUMMYFUNCTION("""COMPUTED_VALUE"""),"S042 unlocks S045")</f>
        <v>S042 unlocks S045</v>
      </c>
    </row>
    <row r="782">
      <c r="A782" s="7" t="str">
        <f>IFERROR(__xludf.DUMMYFUNCTION("""COMPUTED_VALUE"""),"PE0781")</f>
        <v>PE0781</v>
      </c>
      <c r="B782" s="7" t="str">
        <f>IFERROR(__xludf.DUMMYFUNCTION("""COMPUTED_VALUE"""),"S042")</f>
        <v>S042</v>
      </c>
      <c r="C782" s="7" t="str">
        <f>IFERROR(__xludf.DUMMYFUNCTION("""COMPUTED_VALUE"""),"Svelte &amp; SvelteKit")</f>
        <v>Svelte &amp; SvelteKit</v>
      </c>
      <c r="D782" s="7" t="str">
        <f>IFERROR(__xludf.DUMMYFUNCTION("""COMPUTED_VALUE"""),"S052")</f>
        <v>S052</v>
      </c>
      <c r="E782" s="7" t="str">
        <f>IFERROR(__xludf.DUMMYFUNCTION("""COMPUTED_VALUE"""),"Web Performance Optimization &amp; Core Web Vitals")</f>
        <v>Web Performance Optimization &amp; Core Web Vitals</v>
      </c>
      <c r="F782" s="7" t="str">
        <f>IFERROR(__xludf.DUMMYFUNCTION("""COMPUTED_VALUE"""),"S042 unlocks S052")</f>
        <v>S042 unlocks S052</v>
      </c>
    </row>
    <row r="783">
      <c r="A783" s="7" t="str">
        <f>IFERROR(__xludf.DUMMYFUNCTION("""COMPUTED_VALUE"""),"PE0782")</f>
        <v>PE0782</v>
      </c>
      <c r="B783" s="7" t="str">
        <f>IFERROR(__xludf.DUMMYFUNCTION("""COMPUTED_VALUE"""),"S042")</f>
        <v>S042</v>
      </c>
      <c r="C783" s="7" t="str">
        <f>IFERROR(__xludf.DUMMYFUNCTION("""COMPUTED_VALUE"""),"Svelte &amp; SvelteKit")</f>
        <v>Svelte &amp; SvelteKit</v>
      </c>
      <c r="D783" s="7" t="str">
        <f>IFERROR(__xludf.DUMMYFUNCTION("""COMPUTED_VALUE"""),"S054")</f>
        <v>S054</v>
      </c>
      <c r="E783" s="7" t="str">
        <f>IFERROR(__xludf.DUMMYFUNCTION("""COMPUTED_VALUE"""),"Progressive Web Apps (PWA) &amp; Service Workers")</f>
        <v>Progressive Web Apps (PWA) &amp; Service Workers</v>
      </c>
      <c r="F783" s="7" t="str">
        <f>IFERROR(__xludf.DUMMYFUNCTION("""COMPUTED_VALUE"""),"S042 unlocks S054")</f>
        <v>S042 unlocks S054</v>
      </c>
    </row>
    <row r="784">
      <c r="A784" s="7" t="str">
        <f>IFERROR(__xludf.DUMMYFUNCTION("""COMPUTED_VALUE"""),"PE0783")</f>
        <v>PE0783</v>
      </c>
      <c r="B784" s="7" t="str">
        <f>IFERROR(__xludf.DUMMYFUNCTION("""COMPUTED_VALUE"""),"S042")</f>
        <v>S042</v>
      </c>
      <c r="C784" s="7" t="str">
        <f>IFERROR(__xludf.DUMMYFUNCTION("""COMPUTED_VALUE"""),"Svelte &amp; SvelteKit")</f>
        <v>Svelte &amp; SvelteKit</v>
      </c>
      <c r="D784" s="7" t="str">
        <f>IFERROR(__xludf.DUMMYFUNCTION("""COMPUTED_VALUE"""),"S055")</f>
        <v>S055</v>
      </c>
      <c r="E784" s="7" t="str">
        <f>IFERROR(__xludf.DUMMYFUNCTION("""COMPUTED_VALUE"""),"WebAssembly (Wasm)")</f>
        <v>WebAssembly (Wasm)</v>
      </c>
      <c r="F784" s="7" t="str">
        <f>IFERROR(__xludf.DUMMYFUNCTION("""COMPUTED_VALUE"""),"S042 unlocks S055")</f>
        <v>S042 unlocks S055</v>
      </c>
    </row>
    <row r="785">
      <c r="A785" s="7" t="str">
        <f>IFERROR(__xludf.DUMMYFUNCTION("""COMPUTED_VALUE"""),"PE0784")</f>
        <v>PE0784</v>
      </c>
      <c r="B785" s="7" t="str">
        <f>IFERROR(__xludf.DUMMYFUNCTION("""COMPUTED_VALUE"""),"S042")</f>
        <v>S042</v>
      </c>
      <c r="C785" s="7" t="str">
        <f>IFERROR(__xludf.DUMMYFUNCTION("""COMPUTED_VALUE"""),"Svelte &amp; SvelteKit")</f>
        <v>Svelte &amp; SvelteKit</v>
      </c>
      <c r="D785" s="7" t="str">
        <f>IFERROR(__xludf.DUMMYFUNCTION("""COMPUTED_VALUE"""),"S056")</f>
        <v>S056</v>
      </c>
      <c r="E785" s="7" t="str">
        <f>IFERROR(__xludf.DUMMYFUNCTION("""COMPUTED_VALUE"""),"Micro-Frontends Architecture")</f>
        <v>Micro-Frontends Architecture</v>
      </c>
      <c r="F785" s="7" t="str">
        <f>IFERROR(__xludf.DUMMYFUNCTION("""COMPUTED_VALUE"""),"S042 unlocks S056")</f>
        <v>S042 unlocks S056</v>
      </c>
    </row>
    <row r="786">
      <c r="A786" s="7" t="str">
        <f>IFERROR(__xludf.DUMMYFUNCTION("""COMPUTED_VALUE"""),"PE0785")</f>
        <v>PE0785</v>
      </c>
      <c r="B786" s="7" t="str">
        <f>IFERROR(__xludf.DUMMYFUNCTION("""COMPUTED_VALUE"""),"S042")</f>
        <v>S042</v>
      </c>
      <c r="C786" s="7" t="str">
        <f>IFERROR(__xludf.DUMMYFUNCTION("""COMPUTED_VALUE"""),"Svelte &amp; SvelteKit")</f>
        <v>Svelte &amp; SvelteKit</v>
      </c>
      <c r="D786" s="7" t="str">
        <f>IFERROR(__xludf.DUMMYFUNCTION("""COMPUTED_VALUE"""),"S058")</f>
        <v>S058</v>
      </c>
      <c r="E786" s="7" t="str">
        <f>IFERROR(__xludf.DUMMYFUNCTION("""COMPUTED_VALUE"""),"WebGL &amp; 3D Browser Graphics (Three.js)")</f>
        <v>WebGL &amp; 3D Browser Graphics (Three.js)</v>
      </c>
      <c r="F786" s="7" t="str">
        <f>IFERROR(__xludf.DUMMYFUNCTION("""COMPUTED_VALUE"""),"S042 unlocks S058")</f>
        <v>S042 unlocks S058</v>
      </c>
    </row>
    <row r="787">
      <c r="A787" s="7" t="str">
        <f>IFERROR(__xludf.DUMMYFUNCTION("""COMPUTED_VALUE"""),"PE0786")</f>
        <v>PE0786</v>
      </c>
      <c r="B787" s="7" t="str">
        <f>IFERROR(__xludf.DUMMYFUNCTION("""COMPUTED_VALUE"""),"S042")</f>
        <v>S042</v>
      </c>
      <c r="C787" s="7" t="str">
        <f>IFERROR(__xludf.DUMMYFUNCTION("""COMPUTED_VALUE"""),"Svelte &amp; SvelteKit")</f>
        <v>Svelte &amp; SvelteKit</v>
      </c>
      <c r="D787" s="7" t="str">
        <f>IFERROR(__xludf.DUMMYFUNCTION("""COMPUTED_VALUE"""),"S065")</f>
        <v>S065</v>
      </c>
      <c r="E787" s="7" t="str">
        <f>IFERROR(__xludf.DUMMYFUNCTION("""COMPUTED_VALUE"""),"Design Systems &amp; Component Tokens (Storybook)")</f>
        <v>Design Systems &amp; Component Tokens (Storybook)</v>
      </c>
      <c r="F787" s="7" t="str">
        <f>IFERROR(__xludf.DUMMYFUNCTION("""COMPUTED_VALUE"""),"S042 unlocks S065")</f>
        <v>S042 unlocks S065</v>
      </c>
    </row>
    <row r="788">
      <c r="A788" s="7" t="str">
        <f>IFERROR(__xludf.DUMMYFUNCTION("""COMPUTED_VALUE"""),"PE0787")</f>
        <v>PE0787</v>
      </c>
      <c r="B788" s="7" t="str">
        <f>IFERROR(__xludf.DUMMYFUNCTION("""COMPUTED_VALUE"""),"S046")</f>
        <v>S046</v>
      </c>
      <c r="C788" s="7" t="str">
        <f>IFERROR(__xludf.DUMMYFUNCTION("""COMPUTED_VALUE"""),"Data Fetching &amp; Caching (TanStack React Query, SWR)")</f>
        <v>Data Fetching &amp; Caching (TanStack React Query, SWR)</v>
      </c>
      <c r="D788" s="7" t="str">
        <f>IFERROR(__xludf.DUMMYFUNCTION("""COMPUTED_VALUE"""),"S043")</f>
        <v>S043</v>
      </c>
      <c r="E788" s="7" t="str">
        <f>IFERROR(__xludf.DUMMYFUNCTION("""COMPUTED_VALUE"""),"Next.js (SSR, SSG &amp; App Router)")</f>
        <v>Next.js (SSR, SSG &amp; App Router)</v>
      </c>
      <c r="F788" s="7" t="str">
        <f>IFERROR(__xludf.DUMMYFUNCTION("""COMPUTED_VALUE"""),"S046 unlocks S043")</f>
        <v>S046 unlocks S043</v>
      </c>
    </row>
    <row r="789">
      <c r="A789" s="7" t="str">
        <f>IFERROR(__xludf.DUMMYFUNCTION("""COMPUTED_VALUE"""),"PE0788")</f>
        <v>PE0788</v>
      </c>
      <c r="B789" s="7" t="str">
        <f>IFERROR(__xludf.DUMMYFUNCTION("""COMPUTED_VALUE"""),"S046")</f>
        <v>S046</v>
      </c>
      <c r="C789" s="7" t="str">
        <f>IFERROR(__xludf.DUMMYFUNCTION("""COMPUTED_VALUE"""),"Data Fetching &amp; Caching (TanStack React Query, SWR)")</f>
        <v>Data Fetching &amp; Caching (TanStack React Query, SWR)</v>
      </c>
      <c r="D789" s="7" t="str">
        <f>IFERROR(__xludf.DUMMYFUNCTION("""COMPUTED_VALUE"""),"S044")</f>
        <v>S044</v>
      </c>
      <c r="E789" s="7" t="str">
        <f>IFERROR(__xludf.DUMMYFUNCTION("""COMPUTED_VALUE"""),"Nuxt.js Framework")</f>
        <v>Nuxt.js Framework</v>
      </c>
      <c r="F789" s="7" t="str">
        <f>IFERROR(__xludf.DUMMYFUNCTION("""COMPUTED_VALUE"""),"S046 unlocks S044")</f>
        <v>S046 unlocks S044</v>
      </c>
    </row>
    <row r="790">
      <c r="A790" s="7" t="str">
        <f>IFERROR(__xludf.DUMMYFUNCTION("""COMPUTED_VALUE"""),"PE0789")</f>
        <v>PE0789</v>
      </c>
      <c r="B790" s="7" t="str">
        <f>IFERROR(__xludf.DUMMYFUNCTION("""COMPUTED_VALUE"""),"S046")</f>
        <v>S046</v>
      </c>
      <c r="C790" s="7" t="str">
        <f>IFERROR(__xludf.DUMMYFUNCTION("""COMPUTED_VALUE"""),"Data Fetching &amp; Caching (TanStack React Query, SWR)")</f>
        <v>Data Fetching &amp; Caching (TanStack React Query, SWR)</v>
      </c>
      <c r="D790" s="7" t="str">
        <f>IFERROR(__xludf.DUMMYFUNCTION("""COMPUTED_VALUE"""),"S045")</f>
        <v>S045</v>
      </c>
      <c r="E790" s="7" t="str">
        <f>IFERROR(__xludf.DUMMYFUNCTION("""COMPUTED_VALUE"""),"Frontend State Management (Redux Toolkit, Zustand, MobX)")</f>
        <v>Frontend State Management (Redux Toolkit, Zustand, MobX)</v>
      </c>
      <c r="F790" s="7" t="str">
        <f>IFERROR(__xludf.DUMMYFUNCTION("""COMPUTED_VALUE"""),"S046 unlocks S045")</f>
        <v>S046 unlocks S045</v>
      </c>
    </row>
    <row r="791">
      <c r="A791" s="7" t="str">
        <f>IFERROR(__xludf.DUMMYFUNCTION("""COMPUTED_VALUE"""),"PE0790")</f>
        <v>PE0790</v>
      </c>
      <c r="B791" s="7" t="str">
        <f>IFERROR(__xludf.DUMMYFUNCTION("""COMPUTED_VALUE"""),"S046")</f>
        <v>S046</v>
      </c>
      <c r="C791" s="7" t="str">
        <f>IFERROR(__xludf.DUMMYFUNCTION("""COMPUTED_VALUE"""),"Data Fetching &amp; Caching (TanStack React Query, SWR)")</f>
        <v>Data Fetching &amp; Caching (TanStack React Query, SWR)</v>
      </c>
      <c r="D791" s="7" t="str">
        <f>IFERROR(__xludf.DUMMYFUNCTION("""COMPUTED_VALUE"""),"S052")</f>
        <v>S052</v>
      </c>
      <c r="E791" s="7" t="str">
        <f>IFERROR(__xludf.DUMMYFUNCTION("""COMPUTED_VALUE"""),"Web Performance Optimization &amp; Core Web Vitals")</f>
        <v>Web Performance Optimization &amp; Core Web Vitals</v>
      </c>
      <c r="F791" s="7" t="str">
        <f>IFERROR(__xludf.DUMMYFUNCTION("""COMPUTED_VALUE"""),"S046 unlocks S052")</f>
        <v>S046 unlocks S052</v>
      </c>
    </row>
    <row r="792">
      <c r="A792" s="7" t="str">
        <f>IFERROR(__xludf.DUMMYFUNCTION("""COMPUTED_VALUE"""),"PE0791")</f>
        <v>PE0791</v>
      </c>
      <c r="B792" s="7" t="str">
        <f>IFERROR(__xludf.DUMMYFUNCTION("""COMPUTED_VALUE"""),"S046")</f>
        <v>S046</v>
      </c>
      <c r="C792" s="7" t="str">
        <f>IFERROR(__xludf.DUMMYFUNCTION("""COMPUTED_VALUE"""),"Data Fetching &amp; Caching (TanStack React Query, SWR)")</f>
        <v>Data Fetching &amp; Caching (TanStack React Query, SWR)</v>
      </c>
      <c r="D792" s="7" t="str">
        <f>IFERROR(__xludf.DUMMYFUNCTION("""COMPUTED_VALUE"""),"S054")</f>
        <v>S054</v>
      </c>
      <c r="E792" s="7" t="str">
        <f>IFERROR(__xludf.DUMMYFUNCTION("""COMPUTED_VALUE"""),"Progressive Web Apps (PWA) &amp; Service Workers")</f>
        <v>Progressive Web Apps (PWA) &amp; Service Workers</v>
      </c>
      <c r="F792" s="7" t="str">
        <f>IFERROR(__xludf.DUMMYFUNCTION("""COMPUTED_VALUE"""),"S046 unlocks S054")</f>
        <v>S046 unlocks S054</v>
      </c>
    </row>
    <row r="793">
      <c r="A793" s="7" t="str">
        <f>IFERROR(__xludf.DUMMYFUNCTION("""COMPUTED_VALUE"""),"PE0792")</f>
        <v>PE0792</v>
      </c>
      <c r="B793" s="7" t="str">
        <f>IFERROR(__xludf.DUMMYFUNCTION("""COMPUTED_VALUE"""),"S046")</f>
        <v>S046</v>
      </c>
      <c r="C793" s="7" t="str">
        <f>IFERROR(__xludf.DUMMYFUNCTION("""COMPUTED_VALUE"""),"Data Fetching &amp; Caching (TanStack React Query, SWR)")</f>
        <v>Data Fetching &amp; Caching (TanStack React Query, SWR)</v>
      </c>
      <c r="D793" s="7" t="str">
        <f>IFERROR(__xludf.DUMMYFUNCTION("""COMPUTED_VALUE"""),"S055")</f>
        <v>S055</v>
      </c>
      <c r="E793" s="7" t="str">
        <f>IFERROR(__xludf.DUMMYFUNCTION("""COMPUTED_VALUE"""),"WebAssembly (Wasm)")</f>
        <v>WebAssembly (Wasm)</v>
      </c>
      <c r="F793" s="7" t="str">
        <f>IFERROR(__xludf.DUMMYFUNCTION("""COMPUTED_VALUE"""),"S046 unlocks S055")</f>
        <v>S046 unlocks S055</v>
      </c>
    </row>
    <row r="794">
      <c r="A794" s="7" t="str">
        <f>IFERROR(__xludf.DUMMYFUNCTION("""COMPUTED_VALUE"""),"PE0793")</f>
        <v>PE0793</v>
      </c>
      <c r="B794" s="7" t="str">
        <f>IFERROR(__xludf.DUMMYFUNCTION("""COMPUTED_VALUE"""),"S046")</f>
        <v>S046</v>
      </c>
      <c r="C794" s="7" t="str">
        <f>IFERROR(__xludf.DUMMYFUNCTION("""COMPUTED_VALUE"""),"Data Fetching &amp; Caching (TanStack React Query, SWR)")</f>
        <v>Data Fetching &amp; Caching (TanStack React Query, SWR)</v>
      </c>
      <c r="D794" s="7" t="str">
        <f>IFERROR(__xludf.DUMMYFUNCTION("""COMPUTED_VALUE"""),"S056")</f>
        <v>S056</v>
      </c>
      <c r="E794" s="7" t="str">
        <f>IFERROR(__xludf.DUMMYFUNCTION("""COMPUTED_VALUE"""),"Micro-Frontends Architecture")</f>
        <v>Micro-Frontends Architecture</v>
      </c>
      <c r="F794" s="7" t="str">
        <f>IFERROR(__xludf.DUMMYFUNCTION("""COMPUTED_VALUE"""),"S046 unlocks S056")</f>
        <v>S046 unlocks S056</v>
      </c>
    </row>
    <row r="795">
      <c r="A795" s="7" t="str">
        <f>IFERROR(__xludf.DUMMYFUNCTION("""COMPUTED_VALUE"""),"PE0794")</f>
        <v>PE0794</v>
      </c>
      <c r="B795" s="7" t="str">
        <f>IFERROR(__xludf.DUMMYFUNCTION("""COMPUTED_VALUE"""),"S046")</f>
        <v>S046</v>
      </c>
      <c r="C795" s="7" t="str">
        <f>IFERROR(__xludf.DUMMYFUNCTION("""COMPUTED_VALUE"""),"Data Fetching &amp; Caching (TanStack React Query, SWR)")</f>
        <v>Data Fetching &amp; Caching (TanStack React Query, SWR)</v>
      </c>
      <c r="D795" s="7" t="str">
        <f>IFERROR(__xludf.DUMMYFUNCTION("""COMPUTED_VALUE"""),"S058")</f>
        <v>S058</v>
      </c>
      <c r="E795" s="7" t="str">
        <f>IFERROR(__xludf.DUMMYFUNCTION("""COMPUTED_VALUE"""),"WebGL &amp; 3D Browser Graphics (Three.js)")</f>
        <v>WebGL &amp; 3D Browser Graphics (Three.js)</v>
      </c>
      <c r="F795" s="7" t="str">
        <f>IFERROR(__xludf.DUMMYFUNCTION("""COMPUTED_VALUE"""),"S046 unlocks S058")</f>
        <v>S046 unlocks S058</v>
      </c>
    </row>
    <row r="796">
      <c r="A796" s="7" t="str">
        <f>IFERROR(__xludf.DUMMYFUNCTION("""COMPUTED_VALUE"""),"PE0795")</f>
        <v>PE0795</v>
      </c>
      <c r="B796" s="7" t="str">
        <f>IFERROR(__xludf.DUMMYFUNCTION("""COMPUTED_VALUE"""),"S046")</f>
        <v>S046</v>
      </c>
      <c r="C796" s="7" t="str">
        <f>IFERROR(__xludf.DUMMYFUNCTION("""COMPUTED_VALUE"""),"Data Fetching &amp; Caching (TanStack React Query, SWR)")</f>
        <v>Data Fetching &amp; Caching (TanStack React Query, SWR)</v>
      </c>
      <c r="D796" s="7" t="str">
        <f>IFERROR(__xludf.DUMMYFUNCTION("""COMPUTED_VALUE"""),"S065")</f>
        <v>S065</v>
      </c>
      <c r="E796" s="7" t="str">
        <f>IFERROR(__xludf.DUMMYFUNCTION("""COMPUTED_VALUE"""),"Design Systems &amp; Component Tokens (Storybook)")</f>
        <v>Design Systems &amp; Component Tokens (Storybook)</v>
      </c>
      <c r="F796" s="7" t="str">
        <f>IFERROR(__xludf.DUMMYFUNCTION("""COMPUTED_VALUE"""),"S046 unlocks S065")</f>
        <v>S046 unlocks S065</v>
      </c>
    </row>
    <row r="797">
      <c r="A797" s="7" t="str">
        <f>IFERROR(__xludf.DUMMYFUNCTION("""COMPUTED_VALUE"""),"PE0796")</f>
        <v>PE0796</v>
      </c>
      <c r="B797" s="7" t="str">
        <f>IFERROR(__xludf.DUMMYFUNCTION("""COMPUTED_VALUE"""),"S047")</f>
        <v>S047</v>
      </c>
      <c r="C797" s="7" t="str">
        <f>IFERROR(__xludf.DUMMYFUNCTION("""COMPUTED_VALUE"""),"Tailwind CSS Utility Styling")</f>
        <v>Tailwind CSS Utility Styling</v>
      </c>
      <c r="D797" s="7" t="str">
        <f>IFERROR(__xludf.DUMMYFUNCTION("""COMPUTED_VALUE"""),"S043")</f>
        <v>S043</v>
      </c>
      <c r="E797" s="7" t="str">
        <f>IFERROR(__xludf.DUMMYFUNCTION("""COMPUTED_VALUE"""),"Next.js (SSR, SSG &amp; App Router)")</f>
        <v>Next.js (SSR, SSG &amp; App Router)</v>
      </c>
      <c r="F797" s="7" t="str">
        <f>IFERROR(__xludf.DUMMYFUNCTION("""COMPUTED_VALUE"""),"S047 unlocks S043")</f>
        <v>S047 unlocks S043</v>
      </c>
    </row>
    <row r="798">
      <c r="A798" s="7" t="str">
        <f>IFERROR(__xludf.DUMMYFUNCTION("""COMPUTED_VALUE"""),"PE0797")</f>
        <v>PE0797</v>
      </c>
      <c r="B798" s="7" t="str">
        <f>IFERROR(__xludf.DUMMYFUNCTION("""COMPUTED_VALUE"""),"S047")</f>
        <v>S047</v>
      </c>
      <c r="C798" s="7" t="str">
        <f>IFERROR(__xludf.DUMMYFUNCTION("""COMPUTED_VALUE"""),"Tailwind CSS Utility Styling")</f>
        <v>Tailwind CSS Utility Styling</v>
      </c>
      <c r="D798" s="7" t="str">
        <f>IFERROR(__xludf.DUMMYFUNCTION("""COMPUTED_VALUE"""),"S044")</f>
        <v>S044</v>
      </c>
      <c r="E798" s="7" t="str">
        <f>IFERROR(__xludf.DUMMYFUNCTION("""COMPUTED_VALUE"""),"Nuxt.js Framework")</f>
        <v>Nuxt.js Framework</v>
      </c>
      <c r="F798" s="7" t="str">
        <f>IFERROR(__xludf.DUMMYFUNCTION("""COMPUTED_VALUE"""),"S047 unlocks S044")</f>
        <v>S047 unlocks S044</v>
      </c>
    </row>
    <row r="799">
      <c r="A799" s="7" t="str">
        <f>IFERROR(__xludf.DUMMYFUNCTION("""COMPUTED_VALUE"""),"PE0798")</f>
        <v>PE0798</v>
      </c>
      <c r="B799" s="7" t="str">
        <f>IFERROR(__xludf.DUMMYFUNCTION("""COMPUTED_VALUE"""),"S047")</f>
        <v>S047</v>
      </c>
      <c r="C799" s="7" t="str">
        <f>IFERROR(__xludf.DUMMYFUNCTION("""COMPUTED_VALUE"""),"Tailwind CSS Utility Styling")</f>
        <v>Tailwind CSS Utility Styling</v>
      </c>
      <c r="D799" s="7" t="str">
        <f>IFERROR(__xludf.DUMMYFUNCTION("""COMPUTED_VALUE"""),"S045")</f>
        <v>S045</v>
      </c>
      <c r="E799" s="7" t="str">
        <f>IFERROR(__xludf.DUMMYFUNCTION("""COMPUTED_VALUE"""),"Frontend State Management (Redux Toolkit, Zustand, MobX)")</f>
        <v>Frontend State Management (Redux Toolkit, Zustand, MobX)</v>
      </c>
      <c r="F799" s="7" t="str">
        <f>IFERROR(__xludf.DUMMYFUNCTION("""COMPUTED_VALUE"""),"S047 unlocks S045")</f>
        <v>S047 unlocks S045</v>
      </c>
    </row>
    <row r="800">
      <c r="A800" s="7" t="str">
        <f>IFERROR(__xludf.DUMMYFUNCTION("""COMPUTED_VALUE"""),"PE0799")</f>
        <v>PE0799</v>
      </c>
      <c r="B800" s="7" t="str">
        <f>IFERROR(__xludf.DUMMYFUNCTION("""COMPUTED_VALUE"""),"S047")</f>
        <v>S047</v>
      </c>
      <c r="C800" s="7" t="str">
        <f>IFERROR(__xludf.DUMMYFUNCTION("""COMPUTED_VALUE"""),"Tailwind CSS Utility Styling")</f>
        <v>Tailwind CSS Utility Styling</v>
      </c>
      <c r="D800" s="7" t="str">
        <f>IFERROR(__xludf.DUMMYFUNCTION("""COMPUTED_VALUE"""),"S052")</f>
        <v>S052</v>
      </c>
      <c r="E800" s="7" t="str">
        <f>IFERROR(__xludf.DUMMYFUNCTION("""COMPUTED_VALUE"""),"Web Performance Optimization &amp; Core Web Vitals")</f>
        <v>Web Performance Optimization &amp; Core Web Vitals</v>
      </c>
      <c r="F800" s="7" t="str">
        <f>IFERROR(__xludf.DUMMYFUNCTION("""COMPUTED_VALUE"""),"S047 unlocks S052")</f>
        <v>S047 unlocks S052</v>
      </c>
    </row>
    <row r="801">
      <c r="A801" s="7" t="str">
        <f>IFERROR(__xludf.DUMMYFUNCTION("""COMPUTED_VALUE"""),"PE0800")</f>
        <v>PE0800</v>
      </c>
      <c r="B801" s="7" t="str">
        <f>IFERROR(__xludf.DUMMYFUNCTION("""COMPUTED_VALUE"""),"S047")</f>
        <v>S047</v>
      </c>
      <c r="C801" s="7" t="str">
        <f>IFERROR(__xludf.DUMMYFUNCTION("""COMPUTED_VALUE"""),"Tailwind CSS Utility Styling")</f>
        <v>Tailwind CSS Utility Styling</v>
      </c>
      <c r="D801" s="7" t="str">
        <f>IFERROR(__xludf.DUMMYFUNCTION("""COMPUTED_VALUE"""),"S054")</f>
        <v>S054</v>
      </c>
      <c r="E801" s="7" t="str">
        <f>IFERROR(__xludf.DUMMYFUNCTION("""COMPUTED_VALUE"""),"Progressive Web Apps (PWA) &amp; Service Workers")</f>
        <v>Progressive Web Apps (PWA) &amp; Service Workers</v>
      </c>
      <c r="F801" s="7" t="str">
        <f>IFERROR(__xludf.DUMMYFUNCTION("""COMPUTED_VALUE"""),"S047 unlocks S054")</f>
        <v>S047 unlocks S054</v>
      </c>
    </row>
    <row r="802">
      <c r="A802" s="7" t="str">
        <f>IFERROR(__xludf.DUMMYFUNCTION("""COMPUTED_VALUE"""),"PE0801")</f>
        <v>PE0801</v>
      </c>
      <c r="B802" s="7" t="str">
        <f>IFERROR(__xludf.DUMMYFUNCTION("""COMPUTED_VALUE"""),"S047")</f>
        <v>S047</v>
      </c>
      <c r="C802" s="7" t="str">
        <f>IFERROR(__xludf.DUMMYFUNCTION("""COMPUTED_VALUE"""),"Tailwind CSS Utility Styling")</f>
        <v>Tailwind CSS Utility Styling</v>
      </c>
      <c r="D802" s="7" t="str">
        <f>IFERROR(__xludf.DUMMYFUNCTION("""COMPUTED_VALUE"""),"S055")</f>
        <v>S055</v>
      </c>
      <c r="E802" s="7" t="str">
        <f>IFERROR(__xludf.DUMMYFUNCTION("""COMPUTED_VALUE"""),"WebAssembly (Wasm)")</f>
        <v>WebAssembly (Wasm)</v>
      </c>
      <c r="F802" s="7" t="str">
        <f>IFERROR(__xludf.DUMMYFUNCTION("""COMPUTED_VALUE"""),"S047 unlocks S055")</f>
        <v>S047 unlocks S055</v>
      </c>
    </row>
    <row r="803">
      <c r="A803" s="7" t="str">
        <f>IFERROR(__xludf.DUMMYFUNCTION("""COMPUTED_VALUE"""),"PE0802")</f>
        <v>PE0802</v>
      </c>
      <c r="B803" s="7" t="str">
        <f>IFERROR(__xludf.DUMMYFUNCTION("""COMPUTED_VALUE"""),"S047")</f>
        <v>S047</v>
      </c>
      <c r="C803" s="7" t="str">
        <f>IFERROR(__xludf.DUMMYFUNCTION("""COMPUTED_VALUE"""),"Tailwind CSS Utility Styling")</f>
        <v>Tailwind CSS Utility Styling</v>
      </c>
      <c r="D803" s="7" t="str">
        <f>IFERROR(__xludf.DUMMYFUNCTION("""COMPUTED_VALUE"""),"S056")</f>
        <v>S056</v>
      </c>
      <c r="E803" s="7" t="str">
        <f>IFERROR(__xludf.DUMMYFUNCTION("""COMPUTED_VALUE"""),"Micro-Frontends Architecture")</f>
        <v>Micro-Frontends Architecture</v>
      </c>
      <c r="F803" s="7" t="str">
        <f>IFERROR(__xludf.DUMMYFUNCTION("""COMPUTED_VALUE"""),"S047 unlocks S056")</f>
        <v>S047 unlocks S056</v>
      </c>
    </row>
    <row r="804">
      <c r="A804" s="7" t="str">
        <f>IFERROR(__xludf.DUMMYFUNCTION("""COMPUTED_VALUE"""),"PE0803")</f>
        <v>PE0803</v>
      </c>
      <c r="B804" s="7" t="str">
        <f>IFERROR(__xludf.DUMMYFUNCTION("""COMPUTED_VALUE"""),"S047")</f>
        <v>S047</v>
      </c>
      <c r="C804" s="7" t="str">
        <f>IFERROR(__xludf.DUMMYFUNCTION("""COMPUTED_VALUE"""),"Tailwind CSS Utility Styling")</f>
        <v>Tailwind CSS Utility Styling</v>
      </c>
      <c r="D804" s="7" t="str">
        <f>IFERROR(__xludf.DUMMYFUNCTION("""COMPUTED_VALUE"""),"S058")</f>
        <v>S058</v>
      </c>
      <c r="E804" s="7" t="str">
        <f>IFERROR(__xludf.DUMMYFUNCTION("""COMPUTED_VALUE"""),"WebGL &amp; 3D Browser Graphics (Three.js)")</f>
        <v>WebGL &amp; 3D Browser Graphics (Three.js)</v>
      </c>
      <c r="F804" s="7" t="str">
        <f>IFERROR(__xludf.DUMMYFUNCTION("""COMPUTED_VALUE"""),"S047 unlocks S058")</f>
        <v>S047 unlocks S058</v>
      </c>
    </row>
    <row r="805">
      <c r="A805" s="7" t="str">
        <f>IFERROR(__xludf.DUMMYFUNCTION("""COMPUTED_VALUE"""),"PE0804")</f>
        <v>PE0804</v>
      </c>
      <c r="B805" s="7" t="str">
        <f>IFERROR(__xludf.DUMMYFUNCTION("""COMPUTED_VALUE"""),"S047")</f>
        <v>S047</v>
      </c>
      <c r="C805" s="7" t="str">
        <f>IFERROR(__xludf.DUMMYFUNCTION("""COMPUTED_VALUE"""),"Tailwind CSS Utility Styling")</f>
        <v>Tailwind CSS Utility Styling</v>
      </c>
      <c r="D805" s="7" t="str">
        <f>IFERROR(__xludf.DUMMYFUNCTION("""COMPUTED_VALUE"""),"S065")</f>
        <v>S065</v>
      </c>
      <c r="E805" s="7" t="str">
        <f>IFERROR(__xludf.DUMMYFUNCTION("""COMPUTED_VALUE"""),"Design Systems &amp; Component Tokens (Storybook)")</f>
        <v>Design Systems &amp; Component Tokens (Storybook)</v>
      </c>
      <c r="F805" s="7" t="str">
        <f>IFERROR(__xludf.DUMMYFUNCTION("""COMPUTED_VALUE"""),"S047 unlocks S065")</f>
        <v>S047 unlocks S065</v>
      </c>
    </row>
    <row r="806">
      <c r="A806" s="7" t="str">
        <f>IFERROR(__xludf.DUMMYFUNCTION("""COMPUTED_VALUE"""),"PE0805")</f>
        <v>PE0805</v>
      </c>
      <c r="B806" s="7" t="str">
        <f>IFERROR(__xludf.DUMMYFUNCTION("""COMPUTED_VALUE"""),"S048")</f>
        <v>S048</v>
      </c>
      <c r="C806" s="7" t="str">
        <f>IFERROR(__xludf.DUMMYFUNCTION("""COMPUTED_VALUE"""),"CSS Preprocessors (Sass / SCSS)")</f>
        <v>CSS Preprocessors (Sass / SCSS)</v>
      </c>
      <c r="D806" s="7" t="str">
        <f>IFERROR(__xludf.DUMMYFUNCTION("""COMPUTED_VALUE"""),"S043")</f>
        <v>S043</v>
      </c>
      <c r="E806" s="7" t="str">
        <f>IFERROR(__xludf.DUMMYFUNCTION("""COMPUTED_VALUE"""),"Next.js (SSR, SSG &amp; App Router)")</f>
        <v>Next.js (SSR, SSG &amp; App Router)</v>
      </c>
      <c r="F806" s="7" t="str">
        <f>IFERROR(__xludf.DUMMYFUNCTION("""COMPUTED_VALUE"""),"S048 unlocks S043")</f>
        <v>S048 unlocks S043</v>
      </c>
    </row>
    <row r="807">
      <c r="A807" s="7" t="str">
        <f>IFERROR(__xludf.DUMMYFUNCTION("""COMPUTED_VALUE"""),"PE0806")</f>
        <v>PE0806</v>
      </c>
      <c r="B807" s="7" t="str">
        <f>IFERROR(__xludf.DUMMYFUNCTION("""COMPUTED_VALUE"""),"S048")</f>
        <v>S048</v>
      </c>
      <c r="C807" s="7" t="str">
        <f>IFERROR(__xludf.DUMMYFUNCTION("""COMPUTED_VALUE"""),"CSS Preprocessors (Sass / SCSS)")</f>
        <v>CSS Preprocessors (Sass / SCSS)</v>
      </c>
      <c r="D807" s="7" t="str">
        <f>IFERROR(__xludf.DUMMYFUNCTION("""COMPUTED_VALUE"""),"S044")</f>
        <v>S044</v>
      </c>
      <c r="E807" s="7" t="str">
        <f>IFERROR(__xludf.DUMMYFUNCTION("""COMPUTED_VALUE"""),"Nuxt.js Framework")</f>
        <v>Nuxt.js Framework</v>
      </c>
      <c r="F807" s="7" t="str">
        <f>IFERROR(__xludf.DUMMYFUNCTION("""COMPUTED_VALUE"""),"S048 unlocks S044")</f>
        <v>S048 unlocks S044</v>
      </c>
    </row>
    <row r="808">
      <c r="A808" s="7" t="str">
        <f>IFERROR(__xludf.DUMMYFUNCTION("""COMPUTED_VALUE"""),"PE0807")</f>
        <v>PE0807</v>
      </c>
      <c r="B808" s="7" t="str">
        <f>IFERROR(__xludf.DUMMYFUNCTION("""COMPUTED_VALUE"""),"S048")</f>
        <v>S048</v>
      </c>
      <c r="C808" s="7" t="str">
        <f>IFERROR(__xludf.DUMMYFUNCTION("""COMPUTED_VALUE"""),"CSS Preprocessors (Sass / SCSS)")</f>
        <v>CSS Preprocessors (Sass / SCSS)</v>
      </c>
      <c r="D808" s="7" t="str">
        <f>IFERROR(__xludf.DUMMYFUNCTION("""COMPUTED_VALUE"""),"S045")</f>
        <v>S045</v>
      </c>
      <c r="E808" s="7" t="str">
        <f>IFERROR(__xludf.DUMMYFUNCTION("""COMPUTED_VALUE"""),"Frontend State Management (Redux Toolkit, Zustand, MobX)")</f>
        <v>Frontend State Management (Redux Toolkit, Zustand, MobX)</v>
      </c>
      <c r="F808" s="7" t="str">
        <f>IFERROR(__xludf.DUMMYFUNCTION("""COMPUTED_VALUE"""),"S048 unlocks S045")</f>
        <v>S048 unlocks S045</v>
      </c>
    </row>
    <row r="809">
      <c r="A809" s="7" t="str">
        <f>IFERROR(__xludf.DUMMYFUNCTION("""COMPUTED_VALUE"""),"PE0808")</f>
        <v>PE0808</v>
      </c>
      <c r="B809" s="7" t="str">
        <f>IFERROR(__xludf.DUMMYFUNCTION("""COMPUTED_VALUE"""),"S048")</f>
        <v>S048</v>
      </c>
      <c r="C809" s="7" t="str">
        <f>IFERROR(__xludf.DUMMYFUNCTION("""COMPUTED_VALUE"""),"CSS Preprocessors (Sass / SCSS)")</f>
        <v>CSS Preprocessors (Sass / SCSS)</v>
      </c>
      <c r="D809" s="7" t="str">
        <f>IFERROR(__xludf.DUMMYFUNCTION("""COMPUTED_VALUE"""),"S052")</f>
        <v>S052</v>
      </c>
      <c r="E809" s="7" t="str">
        <f>IFERROR(__xludf.DUMMYFUNCTION("""COMPUTED_VALUE"""),"Web Performance Optimization &amp; Core Web Vitals")</f>
        <v>Web Performance Optimization &amp; Core Web Vitals</v>
      </c>
      <c r="F809" s="7" t="str">
        <f>IFERROR(__xludf.DUMMYFUNCTION("""COMPUTED_VALUE"""),"S048 unlocks S052")</f>
        <v>S048 unlocks S052</v>
      </c>
    </row>
    <row r="810">
      <c r="A810" s="7" t="str">
        <f>IFERROR(__xludf.DUMMYFUNCTION("""COMPUTED_VALUE"""),"PE0809")</f>
        <v>PE0809</v>
      </c>
      <c r="B810" s="7" t="str">
        <f>IFERROR(__xludf.DUMMYFUNCTION("""COMPUTED_VALUE"""),"S048")</f>
        <v>S048</v>
      </c>
      <c r="C810" s="7" t="str">
        <f>IFERROR(__xludf.DUMMYFUNCTION("""COMPUTED_VALUE"""),"CSS Preprocessors (Sass / SCSS)")</f>
        <v>CSS Preprocessors (Sass / SCSS)</v>
      </c>
      <c r="D810" s="7" t="str">
        <f>IFERROR(__xludf.DUMMYFUNCTION("""COMPUTED_VALUE"""),"S054")</f>
        <v>S054</v>
      </c>
      <c r="E810" s="7" t="str">
        <f>IFERROR(__xludf.DUMMYFUNCTION("""COMPUTED_VALUE"""),"Progressive Web Apps (PWA) &amp; Service Workers")</f>
        <v>Progressive Web Apps (PWA) &amp; Service Workers</v>
      </c>
      <c r="F810" s="7" t="str">
        <f>IFERROR(__xludf.DUMMYFUNCTION("""COMPUTED_VALUE"""),"S048 unlocks S054")</f>
        <v>S048 unlocks S054</v>
      </c>
    </row>
    <row r="811">
      <c r="A811" s="7" t="str">
        <f>IFERROR(__xludf.DUMMYFUNCTION("""COMPUTED_VALUE"""),"PE0810")</f>
        <v>PE0810</v>
      </c>
      <c r="B811" s="7" t="str">
        <f>IFERROR(__xludf.DUMMYFUNCTION("""COMPUTED_VALUE"""),"S048")</f>
        <v>S048</v>
      </c>
      <c r="C811" s="7" t="str">
        <f>IFERROR(__xludf.DUMMYFUNCTION("""COMPUTED_VALUE"""),"CSS Preprocessors (Sass / SCSS)")</f>
        <v>CSS Preprocessors (Sass / SCSS)</v>
      </c>
      <c r="D811" s="7" t="str">
        <f>IFERROR(__xludf.DUMMYFUNCTION("""COMPUTED_VALUE"""),"S055")</f>
        <v>S055</v>
      </c>
      <c r="E811" s="7" t="str">
        <f>IFERROR(__xludf.DUMMYFUNCTION("""COMPUTED_VALUE"""),"WebAssembly (Wasm)")</f>
        <v>WebAssembly (Wasm)</v>
      </c>
      <c r="F811" s="7" t="str">
        <f>IFERROR(__xludf.DUMMYFUNCTION("""COMPUTED_VALUE"""),"S048 unlocks S055")</f>
        <v>S048 unlocks S055</v>
      </c>
    </row>
    <row r="812">
      <c r="A812" s="7" t="str">
        <f>IFERROR(__xludf.DUMMYFUNCTION("""COMPUTED_VALUE"""),"PE0811")</f>
        <v>PE0811</v>
      </c>
      <c r="B812" s="7" t="str">
        <f>IFERROR(__xludf.DUMMYFUNCTION("""COMPUTED_VALUE"""),"S048")</f>
        <v>S048</v>
      </c>
      <c r="C812" s="7" t="str">
        <f>IFERROR(__xludf.DUMMYFUNCTION("""COMPUTED_VALUE"""),"CSS Preprocessors (Sass / SCSS)")</f>
        <v>CSS Preprocessors (Sass / SCSS)</v>
      </c>
      <c r="D812" s="7" t="str">
        <f>IFERROR(__xludf.DUMMYFUNCTION("""COMPUTED_VALUE"""),"S056")</f>
        <v>S056</v>
      </c>
      <c r="E812" s="7" t="str">
        <f>IFERROR(__xludf.DUMMYFUNCTION("""COMPUTED_VALUE"""),"Micro-Frontends Architecture")</f>
        <v>Micro-Frontends Architecture</v>
      </c>
      <c r="F812" s="7" t="str">
        <f>IFERROR(__xludf.DUMMYFUNCTION("""COMPUTED_VALUE"""),"S048 unlocks S056")</f>
        <v>S048 unlocks S056</v>
      </c>
    </row>
    <row r="813">
      <c r="A813" s="7" t="str">
        <f>IFERROR(__xludf.DUMMYFUNCTION("""COMPUTED_VALUE"""),"PE0812")</f>
        <v>PE0812</v>
      </c>
      <c r="B813" s="7" t="str">
        <f>IFERROR(__xludf.DUMMYFUNCTION("""COMPUTED_VALUE"""),"S048")</f>
        <v>S048</v>
      </c>
      <c r="C813" s="7" t="str">
        <f>IFERROR(__xludf.DUMMYFUNCTION("""COMPUTED_VALUE"""),"CSS Preprocessors (Sass / SCSS)")</f>
        <v>CSS Preprocessors (Sass / SCSS)</v>
      </c>
      <c r="D813" s="7" t="str">
        <f>IFERROR(__xludf.DUMMYFUNCTION("""COMPUTED_VALUE"""),"S058")</f>
        <v>S058</v>
      </c>
      <c r="E813" s="7" t="str">
        <f>IFERROR(__xludf.DUMMYFUNCTION("""COMPUTED_VALUE"""),"WebGL &amp; 3D Browser Graphics (Three.js)")</f>
        <v>WebGL &amp; 3D Browser Graphics (Three.js)</v>
      </c>
      <c r="F813" s="7" t="str">
        <f>IFERROR(__xludf.DUMMYFUNCTION("""COMPUTED_VALUE"""),"S048 unlocks S058")</f>
        <v>S048 unlocks S058</v>
      </c>
    </row>
    <row r="814">
      <c r="A814" s="7" t="str">
        <f>IFERROR(__xludf.DUMMYFUNCTION("""COMPUTED_VALUE"""),"PE0813")</f>
        <v>PE0813</v>
      </c>
      <c r="B814" s="7" t="str">
        <f>IFERROR(__xludf.DUMMYFUNCTION("""COMPUTED_VALUE"""),"S048")</f>
        <v>S048</v>
      </c>
      <c r="C814" s="7" t="str">
        <f>IFERROR(__xludf.DUMMYFUNCTION("""COMPUTED_VALUE"""),"CSS Preprocessors (Sass / SCSS)")</f>
        <v>CSS Preprocessors (Sass / SCSS)</v>
      </c>
      <c r="D814" s="7" t="str">
        <f>IFERROR(__xludf.DUMMYFUNCTION("""COMPUTED_VALUE"""),"S065")</f>
        <v>S065</v>
      </c>
      <c r="E814" s="7" t="str">
        <f>IFERROR(__xludf.DUMMYFUNCTION("""COMPUTED_VALUE"""),"Design Systems &amp; Component Tokens (Storybook)")</f>
        <v>Design Systems &amp; Component Tokens (Storybook)</v>
      </c>
      <c r="F814" s="7" t="str">
        <f>IFERROR(__xludf.DUMMYFUNCTION("""COMPUTED_VALUE"""),"S048 unlocks S065")</f>
        <v>S048 unlocks S065</v>
      </c>
    </row>
    <row r="815">
      <c r="A815" s="7" t="str">
        <f>IFERROR(__xludf.DUMMYFUNCTION("""COMPUTED_VALUE"""),"PE0814")</f>
        <v>PE0814</v>
      </c>
      <c r="B815" s="7" t="str">
        <f>IFERROR(__xludf.DUMMYFUNCTION("""COMPUTED_VALUE"""),"S050")</f>
        <v>S050</v>
      </c>
      <c r="C815" s="7" t="str">
        <f>IFERROR(__xludf.DUMMYFUNCTION("""COMPUTED_VALUE"""),"Module Bundlers &amp; Build Tools (Vite, Webpack, Rollup)")</f>
        <v>Module Bundlers &amp; Build Tools (Vite, Webpack, Rollup)</v>
      </c>
      <c r="D815" s="7" t="str">
        <f>IFERROR(__xludf.DUMMYFUNCTION("""COMPUTED_VALUE"""),"S043")</f>
        <v>S043</v>
      </c>
      <c r="E815" s="7" t="str">
        <f>IFERROR(__xludf.DUMMYFUNCTION("""COMPUTED_VALUE"""),"Next.js (SSR, SSG &amp; App Router)")</f>
        <v>Next.js (SSR, SSG &amp; App Router)</v>
      </c>
      <c r="F815" s="7" t="str">
        <f>IFERROR(__xludf.DUMMYFUNCTION("""COMPUTED_VALUE"""),"S050 unlocks S043")</f>
        <v>S050 unlocks S043</v>
      </c>
    </row>
    <row r="816">
      <c r="A816" s="7" t="str">
        <f>IFERROR(__xludf.DUMMYFUNCTION("""COMPUTED_VALUE"""),"PE0815")</f>
        <v>PE0815</v>
      </c>
      <c r="B816" s="7" t="str">
        <f>IFERROR(__xludf.DUMMYFUNCTION("""COMPUTED_VALUE"""),"S050")</f>
        <v>S050</v>
      </c>
      <c r="C816" s="7" t="str">
        <f>IFERROR(__xludf.DUMMYFUNCTION("""COMPUTED_VALUE"""),"Module Bundlers &amp; Build Tools (Vite, Webpack, Rollup)")</f>
        <v>Module Bundlers &amp; Build Tools (Vite, Webpack, Rollup)</v>
      </c>
      <c r="D816" s="7" t="str">
        <f>IFERROR(__xludf.DUMMYFUNCTION("""COMPUTED_VALUE"""),"S044")</f>
        <v>S044</v>
      </c>
      <c r="E816" s="7" t="str">
        <f>IFERROR(__xludf.DUMMYFUNCTION("""COMPUTED_VALUE"""),"Nuxt.js Framework")</f>
        <v>Nuxt.js Framework</v>
      </c>
      <c r="F816" s="7" t="str">
        <f>IFERROR(__xludf.DUMMYFUNCTION("""COMPUTED_VALUE"""),"S050 unlocks S044")</f>
        <v>S050 unlocks S044</v>
      </c>
    </row>
    <row r="817">
      <c r="A817" s="7" t="str">
        <f>IFERROR(__xludf.DUMMYFUNCTION("""COMPUTED_VALUE"""),"PE0816")</f>
        <v>PE0816</v>
      </c>
      <c r="B817" s="7" t="str">
        <f>IFERROR(__xludf.DUMMYFUNCTION("""COMPUTED_VALUE"""),"S050")</f>
        <v>S050</v>
      </c>
      <c r="C817" s="7" t="str">
        <f>IFERROR(__xludf.DUMMYFUNCTION("""COMPUTED_VALUE"""),"Module Bundlers &amp; Build Tools (Vite, Webpack, Rollup)")</f>
        <v>Module Bundlers &amp; Build Tools (Vite, Webpack, Rollup)</v>
      </c>
      <c r="D817" s="7" t="str">
        <f>IFERROR(__xludf.DUMMYFUNCTION("""COMPUTED_VALUE"""),"S045")</f>
        <v>S045</v>
      </c>
      <c r="E817" s="7" t="str">
        <f>IFERROR(__xludf.DUMMYFUNCTION("""COMPUTED_VALUE"""),"Frontend State Management (Redux Toolkit, Zustand, MobX)")</f>
        <v>Frontend State Management (Redux Toolkit, Zustand, MobX)</v>
      </c>
      <c r="F817" s="7" t="str">
        <f>IFERROR(__xludf.DUMMYFUNCTION("""COMPUTED_VALUE"""),"S050 unlocks S045")</f>
        <v>S050 unlocks S045</v>
      </c>
    </row>
    <row r="818">
      <c r="A818" s="7" t="str">
        <f>IFERROR(__xludf.DUMMYFUNCTION("""COMPUTED_VALUE"""),"PE0817")</f>
        <v>PE0817</v>
      </c>
      <c r="B818" s="7" t="str">
        <f>IFERROR(__xludf.DUMMYFUNCTION("""COMPUTED_VALUE"""),"S050")</f>
        <v>S050</v>
      </c>
      <c r="C818" s="7" t="str">
        <f>IFERROR(__xludf.DUMMYFUNCTION("""COMPUTED_VALUE"""),"Module Bundlers &amp; Build Tools (Vite, Webpack, Rollup)")</f>
        <v>Module Bundlers &amp; Build Tools (Vite, Webpack, Rollup)</v>
      </c>
      <c r="D818" s="7" t="str">
        <f>IFERROR(__xludf.DUMMYFUNCTION("""COMPUTED_VALUE"""),"S052")</f>
        <v>S052</v>
      </c>
      <c r="E818" s="7" t="str">
        <f>IFERROR(__xludf.DUMMYFUNCTION("""COMPUTED_VALUE"""),"Web Performance Optimization &amp; Core Web Vitals")</f>
        <v>Web Performance Optimization &amp; Core Web Vitals</v>
      </c>
      <c r="F818" s="7" t="str">
        <f>IFERROR(__xludf.DUMMYFUNCTION("""COMPUTED_VALUE"""),"S050 unlocks S052")</f>
        <v>S050 unlocks S052</v>
      </c>
    </row>
    <row r="819">
      <c r="A819" s="7" t="str">
        <f>IFERROR(__xludf.DUMMYFUNCTION("""COMPUTED_VALUE"""),"PE0818")</f>
        <v>PE0818</v>
      </c>
      <c r="B819" s="7" t="str">
        <f>IFERROR(__xludf.DUMMYFUNCTION("""COMPUTED_VALUE"""),"S050")</f>
        <v>S050</v>
      </c>
      <c r="C819" s="7" t="str">
        <f>IFERROR(__xludf.DUMMYFUNCTION("""COMPUTED_VALUE"""),"Module Bundlers &amp; Build Tools (Vite, Webpack, Rollup)")</f>
        <v>Module Bundlers &amp; Build Tools (Vite, Webpack, Rollup)</v>
      </c>
      <c r="D819" s="7" t="str">
        <f>IFERROR(__xludf.DUMMYFUNCTION("""COMPUTED_VALUE"""),"S054")</f>
        <v>S054</v>
      </c>
      <c r="E819" s="7" t="str">
        <f>IFERROR(__xludf.DUMMYFUNCTION("""COMPUTED_VALUE"""),"Progressive Web Apps (PWA) &amp; Service Workers")</f>
        <v>Progressive Web Apps (PWA) &amp; Service Workers</v>
      </c>
      <c r="F819" s="7" t="str">
        <f>IFERROR(__xludf.DUMMYFUNCTION("""COMPUTED_VALUE"""),"S050 unlocks S054")</f>
        <v>S050 unlocks S054</v>
      </c>
    </row>
    <row r="820">
      <c r="A820" s="7" t="str">
        <f>IFERROR(__xludf.DUMMYFUNCTION("""COMPUTED_VALUE"""),"PE0819")</f>
        <v>PE0819</v>
      </c>
      <c r="B820" s="7" t="str">
        <f>IFERROR(__xludf.DUMMYFUNCTION("""COMPUTED_VALUE"""),"S050")</f>
        <v>S050</v>
      </c>
      <c r="C820" s="7" t="str">
        <f>IFERROR(__xludf.DUMMYFUNCTION("""COMPUTED_VALUE"""),"Module Bundlers &amp; Build Tools (Vite, Webpack, Rollup)")</f>
        <v>Module Bundlers &amp; Build Tools (Vite, Webpack, Rollup)</v>
      </c>
      <c r="D820" s="7" t="str">
        <f>IFERROR(__xludf.DUMMYFUNCTION("""COMPUTED_VALUE"""),"S055")</f>
        <v>S055</v>
      </c>
      <c r="E820" s="7" t="str">
        <f>IFERROR(__xludf.DUMMYFUNCTION("""COMPUTED_VALUE"""),"WebAssembly (Wasm)")</f>
        <v>WebAssembly (Wasm)</v>
      </c>
      <c r="F820" s="7" t="str">
        <f>IFERROR(__xludf.DUMMYFUNCTION("""COMPUTED_VALUE"""),"S050 unlocks S055")</f>
        <v>S050 unlocks S055</v>
      </c>
    </row>
    <row r="821">
      <c r="A821" s="7" t="str">
        <f>IFERROR(__xludf.DUMMYFUNCTION("""COMPUTED_VALUE"""),"PE0820")</f>
        <v>PE0820</v>
      </c>
      <c r="B821" s="7" t="str">
        <f>IFERROR(__xludf.DUMMYFUNCTION("""COMPUTED_VALUE"""),"S050")</f>
        <v>S050</v>
      </c>
      <c r="C821" s="7" t="str">
        <f>IFERROR(__xludf.DUMMYFUNCTION("""COMPUTED_VALUE"""),"Module Bundlers &amp; Build Tools (Vite, Webpack, Rollup)")</f>
        <v>Module Bundlers &amp; Build Tools (Vite, Webpack, Rollup)</v>
      </c>
      <c r="D821" s="7" t="str">
        <f>IFERROR(__xludf.DUMMYFUNCTION("""COMPUTED_VALUE"""),"S056")</f>
        <v>S056</v>
      </c>
      <c r="E821" s="7" t="str">
        <f>IFERROR(__xludf.DUMMYFUNCTION("""COMPUTED_VALUE"""),"Micro-Frontends Architecture")</f>
        <v>Micro-Frontends Architecture</v>
      </c>
      <c r="F821" s="7" t="str">
        <f>IFERROR(__xludf.DUMMYFUNCTION("""COMPUTED_VALUE"""),"S050 unlocks S056")</f>
        <v>S050 unlocks S056</v>
      </c>
    </row>
    <row r="822">
      <c r="A822" s="7" t="str">
        <f>IFERROR(__xludf.DUMMYFUNCTION("""COMPUTED_VALUE"""),"PE0821")</f>
        <v>PE0821</v>
      </c>
      <c r="B822" s="7" t="str">
        <f>IFERROR(__xludf.DUMMYFUNCTION("""COMPUTED_VALUE"""),"S050")</f>
        <v>S050</v>
      </c>
      <c r="C822" s="7" t="str">
        <f>IFERROR(__xludf.DUMMYFUNCTION("""COMPUTED_VALUE"""),"Module Bundlers &amp; Build Tools (Vite, Webpack, Rollup)")</f>
        <v>Module Bundlers &amp; Build Tools (Vite, Webpack, Rollup)</v>
      </c>
      <c r="D822" s="7" t="str">
        <f>IFERROR(__xludf.DUMMYFUNCTION("""COMPUTED_VALUE"""),"S058")</f>
        <v>S058</v>
      </c>
      <c r="E822" s="7" t="str">
        <f>IFERROR(__xludf.DUMMYFUNCTION("""COMPUTED_VALUE"""),"WebGL &amp; 3D Browser Graphics (Three.js)")</f>
        <v>WebGL &amp; 3D Browser Graphics (Three.js)</v>
      </c>
      <c r="F822" s="7" t="str">
        <f>IFERROR(__xludf.DUMMYFUNCTION("""COMPUTED_VALUE"""),"S050 unlocks S058")</f>
        <v>S050 unlocks S058</v>
      </c>
    </row>
    <row r="823">
      <c r="A823" s="7" t="str">
        <f>IFERROR(__xludf.DUMMYFUNCTION("""COMPUTED_VALUE"""),"PE0822")</f>
        <v>PE0822</v>
      </c>
      <c r="B823" s="7" t="str">
        <f>IFERROR(__xludf.DUMMYFUNCTION("""COMPUTED_VALUE"""),"S050")</f>
        <v>S050</v>
      </c>
      <c r="C823" s="7" t="str">
        <f>IFERROR(__xludf.DUMMYFUNCTION("""COMPUTED_VALUE"""),"Module Bundlers &amp; Build Tools (Vite, Webpack, Rollup)")</f>
        <v>Module Bundlers &amp; Build Tools (Vite, Webpack, Rollup)</v>
      </c>
      <c r="D823" s="7" t="str">
        <f>IFERROR(__xludf.DUMMYFUNCTION("""COMPUTED_VALUE"""),"S065")</f>
        <v>S065</v>
      </c>
      <c r="E823" s="7" t="str">
        <f>IFERROR(__xludf.DUMMYFUNCTION("""COMPUTED_VALUE"""),"Design Systems &amp; Component Tokens (Storybook)")</f>
        <v>Design Systems &amp; Component Tokens (Storybook)</v>
      </c>
      <c r="F823" s="7" t="str">
        <f>IFERROR(__xludf.DUMMYFUNCTION("""COMPUTED_VALUE"""),"S050 unlocks S065")</f>
        <v>S050 unlocks S065</v>
      </c>
    </row>
    <row r="824">
      <c r="A824" s="7" t="str">
        <f>IFERROR(__xludf.DUMMYFUNCTION("""COMPUTED_VALUE"""),"PE0823")</f>
        <v>PE0823</v>
      </c>
      <c r="B824" s="7" t="str">
        <f>IFERROR(__xludf.DUMMYFUNCTION("""COMPUTED_VALUE"""),"S053")</f>
        <v>S053</v>
      </c>
      <c r="C824" s="7" t="str">
        <f>IFERROR(__xludf.DUMMYFUNCTION("""COMPUTED_VALUE"""),"Web Accessibility (WCAG / ARIA / a11y)")</f>
        <v>Web Accessibility (WCAG / ARIA / a11y)</v>
      </c>
      <c r="D824" s="7" t="str">
        <f>IFERROR(__xludf.DUMMYFUNCTION("""COMPUTED_VALUE"""),"S043")</f>
        <v>S043</v>
      </c>
      <c r="E824" s="7" t="str">
        <f>IFERROR(__xludf.DUMMYFUNCTION("""COMPUTED_VALUE"""),"Next.js (SSR, SSG &amp; App Router)")</f>
        <v>Next.js (SSR, SSG &amp; App Router)</v>
      </c>
      <c r="F824" s="7" t="str">
        <f>IFERROR(__xludf.DUMMYFUNCTION("""COMPUTED_VALUE"""),"S053 unlocks S043")</f>
        <v>S053 unlocks S043</v>
      </c>
    </row>
    <row r="825">
      <c r="A825" s="7" t="str">
        <f>IFERROR(__xludf.DUMMYFUNCTION("""COMPUTED_VALUE"""),"PE0824")</f>
        <v>PE0824</v>
      </c>
      <c r="B825" s="7" t="str">
        <f>IFERROR(__xludf.DUMMYFUNCTION("""COMPUTED_VALUE"""),"S053")</f>
        <v>S053</v>
      </c>
      <c r="C825" s="7" t="str">
        <f>IFERROR(__xludf.DUMMYFUNCTION("""COMPUTED_VALUE"""),"Web Accessibility (WCAG / ARIA / a11y)")</f>
        <v>Web Accessibility (WCAG / ARIA / a11y)</v>
      </c>
      <c r="D825" s="7" t="str">
        <f>IFERROR(__xludf.DUMMYFUNCTION("""COMPUTED_VALUE"""),"S044")</f>
        <v>S044</v>
      </c>
      <c r="E825" s="7" t="str">
        <f>IFERROR(__xludf.DUMMYFUNCTION("""COMPUTED_VALUE"""),"Nuxt.js Framework")</f>
        <v>Nuxt.js Framework</v>
      </c>
      <c r="F825" s="7" t="str">
        <f>IFERROR(__xludf.DUMMYFUNCTION("""COMPUTED_VALUE"""),"S053 unlocks S044")</f>
        <v>S053 unlocks S044</v>
      </c>
    </row>
    <row r="826">
      <c r="A826" s="7" t="str">
        <f>IFERROR(__xludf.DUMMYFUNCTION("""COMPUTED_VALUE"""),"PE0825")</f>
        <v>PE0825</v>
      </c>
      <c r="B826" s="7" t="str">
        <f>IFERROR(__xludf.DUMMYFUNCTION("""COMPUTED_VALUE"""),"S053")</f>
        <v>S053</v>
      </c>
      <c r="C826" s="7" t="str">
        <f>IFERROR(__xludf.DUMMYFUNCTION("""COMPUTED_VALUE"""),"Web Accessibility (WCAG / ARIA / a11y)")</f>
        <v>Web Accessibility (WCAG / ARIA / a11y)</v>
      </c>
      <c r="D826" s="7" t="str">
        <f>IFERROR(__xludf.DUMMYFUNCTION("""COMPUTED_VALUE"""),"S045")</f>
        <v>S045</v>
      </c>
      <c r="E826" s="7" t="str">
        <f>IFERROR(__xludf.DUMMYFUNCTION("""COMPUTED_VALUE"""),"Frontend State Management (Redux Toolkit, Zustand, MobX)")</f>
        <v>Frontend State Management (Redux Toolkit, Zustand, MobX)</v>
      </c>
      <c r="F826" s="7" t="str">
        <f>IFERROR(__xludf.DUMMYFUNCTION("""COMPUTED_VALUE"""),"S053 unlocks S045")</f>
        <v>S053 unlocks S045</v>
      </c>
    </row>
    <row r="827">
      <c r="A827" s="7" t="str">
        <f>IFERROR(__xludf.DUMMYFUNCTION("""COMPUTED_VALUE"""),"PE0826")</f>
        <v>PE0826</v>
      </c>
      <c r="B827" s="7" t="str">
        <f>IFERROR(__xludf.DUMMYFUNCTION("""COMPUTED_VALUE"""),"S053")</f>
        <v>S053</v>
      </c>
      <c r="C827" s="7" t="str">
        <f>IFERROR(__xludf.DUMMYFUNCTION("""COMPUTED_VALUE"""),"Web Accessibility (WCAG / ARIA / a11y)")</f>
        <v>Web Accessibility (WCAG / ARIA / a11y)</v>
      </c>
      <c r="D827" s="7" t="str">
        <f>IFERROR(__xludf.DUMMYFUNCTION("""COMPUTED_VALUE"""),"S052")</f>
        <v>S052</v>
      </c>
      <c r="E827" s="7" t="str">
        <f>IFERROR(__xludf.DUMMYFUNCTION("""COMPUTED_VALUE"""),"Web Performance Optimization &amp; Core Web Vitals")</f>
        <v>Web Performance Optimization &amp; Core Web Vitals</v>
      </c>
      <c r="F827" s="7" t="str">
        <f>IFERROR(__xludf.DUMMYFUNCTION("""COMPUTED_VALUE"""),"S053 unlocks S052")</f>
        <v>S053 unlocks S052</v>
      </c>
    </row>
    <row r="828">
      <c r="A828" s="7" t="str">
        <f>IFERROR(__xludf.DUMMYFUNCTION("""COMPUTED_VALUE"""),"PE0827")</f>
        <v>PE0827</v>
      </c>
      <c r="B828" s="7" t="str">
        <f>IFERROR(__xludf.DUMMYFUNCTION("""COMPUTED_VALUE"""),"S053")</f>
        <v>S053</v>
      </c>
      <c r="C828" s="7" t="str">
        <f>IFERROR(__xludf.DUMMYFUNCTION("""COMPUTED_VALUE"""),"Web Accessibility (WCAG / ARIA / a11y)")</f>
        <v>Web Accessibility (WCAG / ARIA / a11y)</v>
      </c>
      <c r="D828" s="7" t="str">
        <f>IFERROR(__xludf.DUMMYFUNCTION("""COMPUTED_VALUE"""),"S054")</f>
        <v>S054</v>
      </c>
      <c r="E828" s="7" t="str">
        <f>IFERROR(__xludf.DUMMYFUNCTION("""COMPUTED_VALUE"""),"Progressive Web Apps (PWA) &amp; Service Workers")</f>
        <v>Progressive Web Apps (PWA) &amp; Service Workers</v>
      </c>
      <c r="F828" s="7" t="str">
        <f>IFERROR(__xludf.DUMMYFUNCTION("""COMPUTED_VALUE"""),"S053 unlocks S054")</f>
        <v>S053 unlocks S054</v>
      </c>
    </row>
    <row r="829">
      <c r="A829" s="7" t="str">
        <f>IFERROR(__xludf.DUMMYFUNCTION("""COMPUTED_VALUE"""),"PE0828")</f>
        <v>PE0828</v>
      </c>
      <c r="B829" s="7" t="str">
        <f>IFERROR(__xludf.DUMMYFUNCTION("""COMPUTED_VALUE"""),"S053")</f>
        <v>S053</v>
      </c>
      <c r="C829" s="7" t="str">
        <f>IFERROR(__xludf.DUMMYFUNCTION("""COMPUTED_VALUE"""),"Web Accessibility (WCAG / ARIA / a11y)")</f>
        <v>Web Accessibility (WCAG / ARIA / a11y)</v>
      </c>
      <c r="D829" s="7" t="str">
        <f>IFERROR(__xludf.DUMMYFUNCTION("""COMPUTED_VALUE"""),"S055")</f>
        <v>S055</v>
      </c>
      <c r="E829" s="7" t="str">
        <f>IFERROR(__xludf.DUMMYFUNCTION("""COMPUTED_VALUE"""),"WebAssembly (Wasm)")</f>
        <v>WebAssembly (Wasm)</v>
      </c>
      <c r="F829" s="7" t="str">
        <f>IFERROR(__xludf.DUMMYFUNCTION("""COMPUTED_VALUE"""),"S053 unlocks S055")</f>
        <v>S053 unlocks S055</v>
      </c>
    </row>
    <row r="830">
      <c r="A830" s="7" t="str">
        <f>IFERROR(__xludf.DUMMYFUNCTION("""COMPUTED_VALUE"""),"PE0829")</f>
        <v>PE0829</v>
      </c>
      <c r="B830" s="7" t="str">
        <f>IFERROR(__xludf.DUMMYFUNCTION("""COMPUTED_VALUE"""),"S053")</f>
        <v>S053</v>
      </c>
      <c r="C830" s="7" t="str">
        <f>IFERROR(__xludf.DUMMYFUNCTION("""COMPUTED_VALUE"""),"Web Accessibility (WCAG / ARIA / a11y)")</f>
        <v>Web Accessibility (WCAG / ARIA / a11y)</v>
      </c>
      <c r="D830" s="7" t="str">
        <f>IFERROR(__xludf.DUMMYFUNCTION("""COMPUTED_VALUE"""),"S056")</f>
        <v>S056</v>
      </c>
      <c r="E830" s="7" t="str">
        <f>IFERROR(__xludf.DUMMYFUNCTION("""COMPUTED_VALUE"""),"Micro-Frontends Architecture")</f>
        <v>Micro-Frontends Architecture</v>
      </c>
      <c r="F830" s="7" t="str">
        <f>IFERROR(__xludf.DUMMYFUNCTION("""COMPUTED_VALUE"""),"S053 unlocks S056")</f>
        <v>S053 unlocks S056</v>
      </c>
    </row>
    <row r="831">
      <c r="A831" s="7" t="str">
        <f>IFERROR(__xludf.DUMMYFUNCTION("""COMPUTED_VALUE"""),"PE0830")</f>
        <v>PE0830</v>
      </c>
      <c r="B831" s="7" t="str">
        <f>IFERROR(__xludf.DUMMYFUNCTION("""COMPUTED_VALUE"""),"S053")</f>
        <v>S053</v>
      </c>
      <c r="C831" s="7" t="str">
        <f>IFERROR(__xludf.DUMMYFUNCTION("""COMPUTED_VALUE"""),"Web Accessibility (WCAG / ARIA / a11y)")</f>
        <v>Web Accessibility (WCAG / ARIA / a11y)</v>
      </c>
      <c r="D831" s="7" t="str">
        <f>IFERROR(__xludf.DUMMYFUNCTION("""COMPUTED_VALUE"""),"S058")</f>
        <v>S058</v>
      </c>
      <c r="E831" s="7" t="str">
        <f>IFERROR(__xludf.DUMMYFUNCTION("""COMPUTED_VALUE"""),"WebGL &amp; 3D Browser Graphics (Three.js)")</f>
        <v>WebGL &amp; 3D Browser Graphics (Three.js)</v>
      </c>
      <c r="F831" s="7" t="str">
        <f>IFERROR(__xludf.DUMMYFUNCTION("""COMPUTED_VALUE"""),"S053 unlocks S058")</f>
        <v>S053 unlocks S058</v>
      </c>
    </row>
    <row r="832">
      <c r="A832" s="7" t="str">
        <f>IFERROR(__xludf.DUMMYFUNCTION("""COMPUTED_VALUE"""),"PE0831")</f>
        <v>PE0831</v>
      </c>
      <c r="B832" s="7" t="str">
        <f>IFERROR(__xludf.DUMMYFUNCTION("""COMPUTED_VALUE"""),"S053")</f>
        <v>S053</v>
      </c>
      <c r="C832" s="7" t="str">
        <f>IFERROR(__xludf.DUMMYFUNCTION("""COMPUTED_VALUE"""),"Web Accessibility (WCAG / ARIA / a11y)")</f>
        <v>Web Accessibility (WCAG / ARIA / a11y)</v>
      </c>
      <c r="D832" s="7" t="str">
        <f>IFERROR(__xludf.DUMMYFUNCTION("""COMPUTED_VALUE"""),"S065")</f>
        <v>S065</v>
      </c>
      <c r="E832" s="7" t="str">
        <f>IFERROR(__xludf.DUMMYFUNCTION("""COMPUTED_VALUE"""),"Design Systems &amp; Component Tokens (Storybook)")</f>
        <v>Design Systems &amp; Component Tokens (Storybook)</v>
      </c>
      <c r="F832" s="7" t="str">
        <f>IFERROR(__xludf.DUMMYFUNCTION("""COMPUTED_VALUE"""),"S053 unlocks S065")</f>
        <v>S053 unlocks S065</v>
      </c>
    </row>
    <row r="833">
      <c r="A833" s="7" t="str">
        <f>IFERROR(__xludf.DUMMYFUNCTION("""COMPUTED_VALUE"""),"PE0832")</f>
        <v>PE0832</v>
      </c>
      <c r="B833" s="7" t="str">
        <f>IFERROR(__xludf.DUMMYFUNCTION("""COMPUTED_VALUE"""),"S057")</f>
        <v>S057</v>
      </c>
      <c r="C833" s="7" t="str">
        <f>IFERROR(__xludf.DUMMYFUNCTION("""COMPUTED_VALUE"""),"Data Visualization &amp; Charting (D3.js, Recharts, Chart.js)")</f>
        <v>Data Visualization &amp; Charting (D3.js, Recharts, Chart.js)</v>
      </c>
      <c r="D833" s="7" t="str">
        <f>IFERROR(__xludf.DUMMYFUNCTION("""COMPUTED_VALUE"""),"S043")</f>
        <v>S043</v>
      </c>
      <c r="E833" s="7" t="str">
        <f>IFERROR(__xludf.DUMMYFUNCTION("""COMPUTED_VALUE"""),"Next.js (SSR, SSG &amp; App Router)")</f>
        <v>Next.js (SSR, SSG &amp; App Router)</v>
      </c>
      <c r="F833" s="7" t="str">
        <f>IFERROR(__xludf.DUMMYFUNCTION("""COMPUTED_VALUE"""),"S057 unlocks S043")</f>
        <v>S057 unlocks S043</v>
      </c>
    </row>
    <row r="834">
      <c r="A834" s="7" t="str">
        <f>IFERROR(__xludf.DUMMYFUNCTION("""COMPUTED_VALUE"""),"PE0833")</f>
        <v>PE0833</v>
      </c>
      <c r="B834" s="7" t="str">
        <f>IFERROR(__xludf.DUMMYFUNCTION("""COMPUTED_VALUE"""),"S057")</f>
        <v>S057</v>
      </c>
      <c r="C834" s="7" t="str">
        <f>IFERROR(__xludf.DUMMYFUNCTION("""COMPUTED_VALUE"""),"Data Visualization &amp; Charting (D3.js, Recharts, Chart.js)")</f>
        <v>Data Visualization &amp; Charting (D3.js, Recharts, Chart.js)</v>
      </c>
      <c r="D834" s="7" t="str">
        <f>IFERROR(__xludf.DUMMYFUNCTION("""COMPUTED_VALUE"""),"S044")</f>
        <v>S044</v>
      </c>
      <c r="E834" s="7" t="str">
        <f>IFERROR(__xludf.DUMMYFUNCTION("""COMPUTED_VALUE"""),"Nuxt.js Framework")</f>
        <v>Nuxt.js Framework</v>
      </c>
      <c r="F834" s="7" t="str">
        <f>IFERROR(__xludf.DUMMYFUNCTION("""COMPUTED_VALUE"""),"S057 unlocks S044")</f>
        <v>S057 unlocks S044</v>
      </c>
    </row>
    <row r="835">
      <c r="A835" s="7" t="str">
        <f>IFERROR(__xludf.DUMMYFUNCTION("""COMPUTED_VALUE"""),"PE0834")</f>
        <v>PE0834</v>
      </c>
      <c r="B835" s="7" t="str">
        <f>IFERROR(__xludf.DUMMYFUNCTION("""COMPUTED_VALUE"""),"S057")</f>
        <v>S057</v>
      </c>
      <c r="C835" s="7" t="str">
        <f>IFERROR(__xludf.DUMMYFUNCTION("""COMPUTED_VALUE"""),"Data Visualization &amp; Charting (D3.js, Recharts, Chart.js)")</f>
        <v>Data Visualization &amp; Charting (D3.js, Recharts, Chart.js)</v>
      </c>
      <c r="D835" s="7" t="str">
        <f>IFERROR(__xludf.DUMMYFUNCTION("""COMPUTED_VALUE"""),"S045")</f>
        <v>S045</v>
      </c>
      <c r="E835" s="7" t="str">
        <f>IFERROR(__xludf.DUMMYFUNCTION("""COMPUTED_VALUE"""),"Frontend State Management (Redux Toolkit, Zustand, MobX)")</f>
        <v>Frontend State Management (Redux Toolkit, Zustand, MobX)</v>
      </c>
      <c r="F835" s="7" t="str">
        <f>IFERROR(__xludf.DUMMYFUNCTION("""COMPUTED_VALUE"""),"S057 unlocks S045")</f>
        <v>S057 unlocks S045</v>
      </c>
    </row>
    <row r="836">
      <c r="A836" s="7" t="str">
        <f>IFERROR(__xludf.DUMMYFUNCTION("""COMPUTED_VALUE"""),"PE0835")</f>
        <v>PE0835</v>
      </c>
      <c r="B836" s="7" t="str">
        <f>IFERROR(__xludf.DUMMYFUNCTION("""COMPUTED_VALUE"""),"S057")</f>
        <v>S057</v>
      </c>
      <c r="C836" s="7" t="str">
        <f>IFERROR(__xludf.DUMMYFUNCTION("""COMPUTED_VALUE"""),"Data Visualization &amp; Charting (D3.js, Recharts, Chart.js)")</f>
        <v>Data Visualization &amp; Charting (D3.js, Recharts, Chart.js)</v>
      </c>
      <c r="D836" s="7" t="str">
        <f>IFERROR(__xludf.DUMMYFUNCTION("""COMPUTED_VALUE"""),"S052")</f>
        <v>S052</v>
      </c>
      <c r="E836" s="7" t="str">
        <f>IFERROR(__xludf.DUMMYFUNCTION("""COMPUTED_VALUE"""),"Web Performance Optimization &amp; Core Web Vitals")</f>
        <v>Web Performance Optimization &amp; Core Web Vitals</v>
      </c>
      <c r="F836" s="7" t="str">
        <f>IFERROR(__xludf.DUMMYFUNCTION("""COMPUTED_VALUE"""),"S057 unlocks S052")</f>
        <v>S057 unlocks S052</v>
      </c>
    </row>
    <row r="837">
      <c r="A837" s="7" t="str">
        <f>IFERROR(__xludf.DUMMYFUNCTION("""COMPUTED_VALUE"""),"PE0836")</f>
        <v>PE0836</v>
      </c>
      <c r="B837" s="7" t="str">
        <f>IFERROR(__xludf.DUMMYFUNCTION("""COMPUTED_VALUE"""),"S057")</f>
        <v>S057</v>
      </c>
      <c r="C837" s="7" t="str">
        <f>IFERROR(__xludf.DUMMYFUNCTION("""COMPUTED_VALUE"""),"Data Visualization &amp; Charting (D3.js, Recharts, Chart.js)")</f>
        <v>Data Visualization &amp; Charting (D3.js, Recharts, Chart.js)</v>
      </c>
      <c r="D837" s="7" t="str">
        <f>IFERROR(__xludf.DUMMYFUNCTION("""COMPUTED_VALUE"""),"S054")</f>
        <v>S054</v>
      </c>
      <c r="E837" s="7" t="str">
        <f>IFERROR(__xludf.DUMMYFUNCTION("""COMPUTED_VALUE"""),"Progressive Web Apps (PWA) &amp; Service Workers")</f>
        <v>Progressive Web Apps (PWA) &amp; Service Workers</v>
      </c>
      <c r="F837" s="7" t="str">
        <f>IFERROR(__xludf.DUMMYFUNCTION("""COMPUTED_VALUE"""),"S057 unlocks S054")</f>
        <v>S057 unlocks S054</v>
      </c>
    </row>
    <row r="838">
      <c r="A838" s="7" t="str">
        <f>IFERROR(__xludf.DUMMYFUNCTION("""COMPUTED_VALUE"""),"PE0837")</f>
        <v>PE0837</v>
      </c>
      <c r="B838" s="7" t="str">
        <f>IFERROR(__xludf.DUMMYFUNCTION("""COMPUTED_VALUE"""),"S057")</f>
        <v>S057</v>
      </c>
      <c r="C838" s="7" t="str">
        <f>IFERROR(__xludf.DUMMYFUNCTION("""COMPUTED_VALUE"""),"Data Visualization &amp; Charting (D3.js, Recharts, Chart.js)")</f>
        <v>Data Visualization &amp; Charting (D3.js, Recharts, Chart.js)</v>
      </c>
      <c r="D838" s="7" t="str">
        <f>IFERROR(__xludf.DUMMYFUNCTION("""COMPUTED_VALUE"""),"S055")</f>
        <v>S055</v>
      </c>
      <c r="E838" s="7" t="str">
        <f>IFERROR(__xludf.DUMMYFUNCTION("""COMPUTED_VALUE"""),"WebAssembly (Wasm)")</f>
        <v>WebAssembly (Wasm)</v>
      </c>
      <c r="F838" s="7" t="str">
        <f>IFERROR(__xludf.DUMMYFUNCTION("""COMPUTED_VALUE"""),"S057 unlocks S055")</f>
        <v>S057 unlocks S055</v>
      </c>
    </row>
    <row r="839">
      <c r="A839" s="7" t="str">
        <f>IFERROR(__xludf.DUMMYFUNCTION("""COMPUTED_VALUE"""),"PE0838")</f>
        <v>PE0838</v>
      </c>
      <c r="B839" s="7" t="str">
        <f>IFERROR(__xludf.DUMMYFUNCTION("""COMPUTED_VALUE"""),"S057")</f>
        <v>S057</v>
      </c>
      <c r="C839" s="7" t="str">
        <f>IFERROR(__xludf.DUMMYFUNCTION("""COMPUTED_VALUE"""),"Data Visualization &amp; Charting (D3.js, Recharts, Chart.js)")</f>
        <v>Data Visualization &amp; Charting (D3.js, Recharts, Chart.js)</v>
      </c>
      <c r="D839" s="7" t="str">
        <f>IFERROR(__xludf.DUMMYFUNCTION("""COMPUTED_VALUE"""),"S056")</f>
        <v>S056</v>
      </c>
      <c r="E839" s="7" t="str">
        <f>IFERROR(__xludf.DUMMYFUNCTION("""COMPUTED_VALUE"""),"Micro-Frontends Architecture")</f>
        <v>Micro-Frontends Architecture</v>
      </c>
      <c r="F839" s="7" t="str">
        <f>IFERROR(__xludf.DUMMYFUNCTION("""COMPUTED_VALUE"""),"S057 unlocks S056")</f>
        <v>S057 unlocks S056</v>
      </c>
    </row>
    <row r="840">
      <c r="A840" s="7" t="str">
        <f>IFERROR(__xludf.DUMMYFUNCTION("""COMPUTED_VALUE"""),"PE0839")</f>
        <v>PE0839</v>
      </c>
      <c r="B840" s="7" t="str">
        <f>IFERROR(__xludf.DUMMYFUNCTION("""COMPUTED_VALUE"""),"S057")</f>
        <v>S057</v>
      </c>
      <c r="C840" s="7" t="str">
        <f>IFERROR(__xludf.DUMMYFUNCTION("""COMPUTED_VALUE"""),"Data Visualization &amp; Charting (D3.js, Recharts, Chart.js)")</f>
        <v>Data Visualization &amp; Charting (D3.js, Recharts, Chart.js)</v>
      </c>
      <c r="D840" s="7" t="str">
        <f>IFERROR(__xludf.DUMMYFUNCTION("""COMPUTED_VALUE"""),"S058")</f>
        <v>S058</v>
      </c>
      <c r="E840" s="7" t="str">
        <f>IFERROR(__xludf.DUMMYFUNCTION("""COMPUTED_VALUE"""),"WebGL &amp; 3D Browser Graphics (Three.js)")</f>
        <v>WebGL &amp; 3D Browser Graphics (Three.js)</v>
      </c>
      <c r="F840" s="7" t="str">
        <f>IFERROR(__xludf.DUMMYFUNCTION("""COMPUTED_VALUE"""),"S057 unlocks S058")</f>
        <v>S057 unlocks S058</v>
      </c>
    </row>
    <row r="841">
      <c r="A841" s="7" t="str">
        <f>IFERROR(__xludf.DUMMYFUNCTION("""COMPUTED_VALUE"""),"PE0840")</f>
        <v>PE0840</v>
      </c>
      <c r="B841" s="7" t="str">
        <f>IFERROR(__xludf.DUMMYFUNCTION("""COMPUTED_VALUE"""),"S057")</f>
        <v>S057</v>
      </c>
      <c r="C841" s="7" t="str">
        <f>IFERROR(__xludf.DUMMYFUNCTION("""COMPUTED_VALUE"""),"Data Visualization &amp; Charting (D3.js, Recharts, Chart.js)")</f>
        <v>Data Visualization &amp; Charting (D3.js, Recharts, Chart.js)</v>
      </c>
      <c r="D841" s="7" t="str">
        <f>IFERROR(__xludf.DUMMYFUNCTION("""COMPUTED_VALUE"""),"S065")</f>
        <v>S065</v>
      </c>
      <c r="E841" s="7" t="str">
        <f>IFERROR(__xludf.DUMMYFUNCTION("""COMPUTED_VALUE"""),"Design Systems &amp; Component Tokens (Storybook)")</f>
        <v>Design Systems &amp; Component Tokens (Storybook)</v>
      </c>
      <c r="F841" s="7" t="str">
        <f>IFERROR(__xludf.DUMMYFUNCTION("""COMPUTED_VALUE"""),"S057 unlocks S065")</f>
        <v>S057 unlocks S065</v>
      </c>
    </row>
    <row r="842">
      <c r="A842" s="7" t="str">
        <f>IFERROR(__xludf.DUMMYFUNCTION("""COMPUTED_VALUE"""),"PE0841")</f>
        <v>PE0841</v>
      </c>
      <c r="B842" s="7" t="str">
        <f>IFERROR(__xludf.DUMMYFUNCTION("""COMPUTED_VALUE"""),"S059")</f>
        <v>S059</v>
      </c>
      <c r="C842" s="7" t="str">
        <f>IFERROR(__xludf.DUMMYFUNCTION("""COMPUTED_VALUE"""),"Frontend Unit &amp; Component Testing (Jest, Vitest, RTL)")</f>
        <v>Frontend Unit &amp; Component Testing (Jest, Vitest, RTL)</v>
      </c>
      <c r="D842" s="7" t="str">
        <f>IFERROR(__xludf.DUMMYFUNCTION("""COMPUTED_VALUE"""),"S043")</f>
        <v>S043</v>
      </c>
      <c r="E842" s="7" t="str">
        <f>IFERROR(__xludf.DUMMYFUNCTION("""COMPUTED_VALUE"""),"Next.js (SSR, SSG &amp; App Router)")</f>
        <v>Next.js (SSR, SSG &amp; App Router)</v>
      </c>
      <c r="F842" s="7" t="str">
        <f>IFERROR(__xludf.DUMMYFUNCTION("""COMPUTED_VALUE"""),"S059 unlocks S043")</f>
        <v>S059 unlocks S043</v>
      </c>
    </row>
    <row r="843">
      <c r="A843" s="7" t="str">
        <f>IFERROR(__xludf.DUMMYFUNCTION("""COMPUTED_VALUE"""),"PE0842")</f>
        <v>PE0842</v>
      </c>
      <c r="B843" s="7" t="str">
        <f>IFERROR(__xludf.DUMMYFUNCTION("""COMPUTED_VALUE"""),"S059")</f>
        <v>S059</v>
      </c>
      <c r="C843" s="7" t="str">
        <f>IFERROR(__xludf.DUMMYFUNCTION("""COMPUTED_VALUE"""),"Frontend Unit &amp; Component Testing (Jest, Vitest, RTL)")</f>
        <v>Frontend Unit &amp; Component Testing (Jest, Vitest, RTL)</v>
      </c>
      <c r="D843" s="7" t="str">
        <f>IFERROR(__xludf.DUMMYFUNCTION("""COMPUTED_VALUE"""),"S044")</f>
        <v>S044</v>
      </c>
      <c r="E843" s="7" t="str">
        <f>IFERROR(__xludf.DUMMYFUNCTION("""COMPUTED_VALUE"""),"Nuxt.js Framework")</f>
        <v>Nuxt.js Framework</v>
      </c>
      <c r="F843" s="7" t="str">
        <f>IFERROR(__xludf.DUMMYFUNCTION("""COMPUTED_VALUE"""),"S059 unlocks S044")</f>
        <v>S059 unlocks S044</v>
      </c>
    </row>
    <row r="844">
      <c r="A844" s="7" t="str">
        <f>IFERROR(__xludf.DUMMYFUNCTION("""COMPUTED_VALUE"""),"PE0843")</f>
        <v>PE0843</v>
      </c>
      <c r="B844" s="7" t="str">
        <f>IFERROR(__xludf.DUMMYFUNCTION("""COMPUTED_VALUE"""),"S059")</f>
        <v>S059</v>
      </c>
      <c r="C844" s="7" t="str">
        <f>IFERROR(__xludf.DUMMYFUNCTION("""COMPUTED_VALUE"""),"Frontend Unit &amp; Component Testing (Jest, Vitest, RTL)")</f>
        <v>Frontend Unit &amp; Component Testing (Jest, Vitest, RTL)</v>
      </c>
      <c r="D844" s="7" t="str">
        <f>IFERROR(__xludf.DUMMYFUNCTION("""COMPUTED_VALUE"""),"S045")</f>
        <v>S045</v>
      </c>
      <c r="E844" s="7" t="str">
        <f>IFERROR(__xludf.DUMMYFUNCTION("""COMPUTED_VALUE"""),"Frontend State Management (Redux Toolkit, Zustand, MobX)")</f>
        <v>Frontend State Management (Redux Toolkit, Zustand, MobX)</v>
      </c>
      <c r="F844" s="7" t="str">
        <f>IFERROR(__xludf.DUMMYFUNCTION("""COMPUTED_VALUE"""),"S059 unlocks S045")</f>
        <v>S059 unlocks S045</v>
      </c>
    </row>
    <row r="845">
      <c r="A845" s="7" t="str">
        <f>IFERROR(__xludf.DUMMYFUNCTION("""COMPUTED_VALUE"""),"PE0844")</f>
        <v>PE0844</v>
      </c>
      <c r="B845" s="7" t="str">
        <f>IFERROR(__xludf.DUMMYFUNCTION("""COMPUTED_VALUE"""),"S059")</f>
        <v>S059</v>
      </c>
      <c r="C845" s="7" t="str">
        <f>IFERROR(__xludf.DUMMYFUNCTION("""COMPUTED_VALUE"""),"Frontend Unit &amp; Component Testing (Jest, Vitest, RTL)")</f>
        <v>Frontend Unit &amp; Component Testing (Jest, Vitest, RTL)</v>
      </c>
      <c r="D845" s="7" t="str">
        <f>IFERROR(__xludf.DUMMYFUNCTION("""COMPUTED_VALUE"""),"S052")</f>
        <v>S052</v>
      </c>
      <c r="E845" s="7" t="str">
        <f>IFERROR(__xludf.DUMMYFUNCTION("""COMPUTED_VALUE"""),"Web Performance Optimization &amp; Core Web Vitals")</f>
        <v>Web Performance Optimization &amp; Core Web Vitals</v>
      </c>
      <c r="F845" s="7" t="str">
        <f>IFERROR(__xludf.DUMMYFUNCTION("""COMPUTED_VALUE"""),"S059 unlocks S052")</f>
        <v>S059 unlocks S052</v>
      </c>
    </row>
    <row r="846">
      <c r="A846" s="7" t="str">
        <f>IFERROR(__xludf.DUMMYFUNCTION("""COMPUTED_VALUE"""),"PE0845")</f>
        <v>PE0845</v>
      </c>
      <c r="B846" s="7" t="str">
        <f>IFERROR(__xludf.DUMMYFUNCTION("""COMPUTED_VALUE"""),"S059")</f>
        <v>S059</v>
      </c>
      <c r="C846" s="7" t="str">
        <f>IFERROR(__xludf.DUMMYFUNCTION("""COMPUTED_VALUE"""),"Frontend Unit &amp; Component Testing (Jest, Vitest, RTL)")</f>
        <v>Frontend Unit &amp; Component Testing (Jest, Vitest, RTL)</v>
      </c>
      <c r="D846" s="7" t="str">
        <f>IFERROR(__xludf.DUMMYFUNCTION("""COMPUTED_VALUE"""),"S054")</f>
        <v>S054</v>
      </c>
      <c r="E846" s="7" t="str">
        <f>IFERROR(__xludf.DUMMYFUNCTION("""COMPUTED_VALUE"""),"Progressive Web Apps (PWA) &amp; Service Workers")</f>
        <v>Progressive Web Apps (PWA) &amp; Service Workers</v>
      </c>
      <c r="F846" s="7" t="str">
        <f>IFERROR(__xludf.DUMMYFUNCTION("""COMPUTED_VALUE"""),"S059 unlocks S054")</f>
        <v>S059 unlocks S054</v>
      </c>
    </row>
    <row r="847">
      <c r="A847" s="7" t="str">
        <f>IFERROR(__xludf.DUMMYFUNCTION("""COMPUTED_VALUE"""),"PE0846")</f>
        <v>PE0846</v>
      </c>
      <c r="B847" s="7" t="str">
        <f>IFERROR(__xludf.DUMMYFUNCTION("""COMPUTED_VALUE"""),"S059")</f>
        <v>S059</v>
      </c>
      <c r="C847" s="7" t="str">
        <f>IFERROR(__xludf.DUMMYFUNCTION("""COMPUTED_VALUE"""),"Frontend Unit &amp; Component Testing (Jest, Vitest, RTL)")</f>
        <v>Frontend Unit &amp; Component Testing (Jest, Vitest, RTL)</v>
      </c>
      <c r="D847" s="7" t="str">
        <f>IFERROR(__xludf.DUMMYFUNCTION("""COMPUTED_VALUE"""),"S055")</f>
        <v>S055</v>
      </c>
      <c r="E847" s="7" t="str">
        <f>IFERROR(__xludf.DUMMYFUNCTION("""COMPUTED_VALUE"""),"WebAssembly (Wasm)")</f>
        <v>WebAssembly (Wasm)</v>
      </c>
      <c r="F847" s="7" t="str">
        <f>IFERROR(__xludf.DUMMYFUNCTION("""COMPUTED_VALUE"""),"S059 unlocks S055")</f>
        <v>S059 unlocks S055</v>
      </c>
    </row>
    <row r="848">
      <c r="A848" s="7" t="str">
        <f>IFERROR(__xludf.DUMMYFUNCTION("""COMPUTED_VALUE"""),"PE0847")</f>
        <v>PE0847</v>
      </c>
      <c r="B848" s="7" t="str">
        <f>IFERROR(__xludf.DUMMYFUNCTION("""COMPUTED_VALUE"""),"S059")</f>
        <v>S059</v>
      </c>
      <c r="C848" s="7" t="str">
        <f>IFERROR(__xludf.DUMMYFUNCTION("""COMPUTED_VALUE"""),"Frontend Unit &amp; Component Testing (Jest, Vitest, RTL)")</f>
        <v>Frontend Unit &amp; Component Testing (Jest, Vitest, RTL)</v>
      </c>
      <c r="D848" s="7" t="str">
        <f>IFERROR(__xludf.DUMMYFUNCTION("""COMPUTED_VALUE"""),"S056")</f>
        <v>S056</v>
      </c>
      <c r="E848" s="7" t="str">
        <f>IFERROR(__xludf.DUMMYFUNCTION("""COMPUTED_VALUE"""),"Micro-Frontends Architecture")</f>
        <v>Micro-Frontends Architecture</v>
      </c>
      <c r="F848" s="7" t="str">
        <f>IFERROR(__xludf.DUMMYFUNCTION("""COMPUTED_VALUE"""),"S059 unlocks S056")</f>
        <v>S059 unlocks S056</v>
      </c>
    </row>
    <row r="849">
      <c r="A849" s="7" t="str">
        <f>IFERROR(__xludf.DUMMYFUNCTION("""COMPUTED_VALUE"""),"PE0848")</f>
        <v>PE0848</v>
      </c>
      <c r="B849" s="7" t="str">
        <f>IFERROR(__xludf.DUMMYFUNCTION("""COMPUTED_VALUE"""),"S059")</f>
        <v>S059</v>
      </c>
      <c r="C849" s="7" t="str">
        <f>IFERROR(__xludf.DUMMYFUNCTION("""COMPUTED_VALUE"""),"Frontend Unit &amp; Component Testing (Jest, Vitest, RTL)")</f>
        <v>Frontend Unit &amp; Component Testing (Jest, Vitest, RTL)</v>
      </c>
      <c r="D849" s="7" t="str">
        <f>IFERROR(__xludf.DUMMYFUNCTION("""COMPUTED_VALUE"""),"S058")</f>
        <v>S058</v>
      </c>
      <c r="E849" s="7" t="str">
        <f>IFERROR(__xludf.DUMMYFUNCTION("""COMPUTED_VALUE"""),"WebGL &amp; 3D Browser Graphics (Three.js)")</f>
        <v>WebGL &amp; 3D Browser Graphics (Three.js)</v>
      </c>
      <c r="F849" s="7" t="str">
        <f>IFERROR(__xludf.DUMMYFUNCTION("""COMPUTED_VALUE"""),"S059 unlocks S058")</f>
        <v>S059 unlocks S058</v>
      </c>
    </row>
    <row r="850">
      <c r="A850" s="7" t="str">
        <f>IFERROR(__xludf.DUMMYFUNCTION("""COMPUTED_VALUE"""),"PE0849")</f>
        <v>PE0849</v>
      </c>
      <c r="B850" s="7" t="str">
        <f>IFERROR(__xludf.DUMMYFUNCTION("""COMPUTED_VALUE"""),"S059")</f>
        <v>S059</v>
      </c>
      <c r="C850" s="7" t="str">
        <f>IFERROR(__xludf.DUMMYFUNCTION("""COMPUTED_VALUE"""),"Frontend Unit &amp; Component Testing (Jest, Vitest, RTL)")</f>
        <v>Frontend Unit &amp; Component Testing (Jest, Vitest, RTL)</v>
      </c>
      <c r="D850" s="7" t="str">
        <f>IFERROR(__xludf.DUMMYFUNCTION("""COMPUTED_VALUE"""),"S065")</f>
        <v>S065</v>
      </c>
      <c r="E850" s="7" t="str">
        <f>IFERROR(__xludf.DUMMYFUNCTION("""COMPUTED_VALUE"""),"Design Systems &amp; Component Tokens (Storybook)")</f>
        <v>Design Systems &amp; Component Tokens (Storybook)</v>
      </c>
      <c r="F850" s="7" t="str">
        <f>IFERROR(__xludf.DUMMYFUNCTION("""COMPUTED_VALUE"""),"S059 unlocks S065")</f>
        <v>S059 unlocks S065</v>
      </c>
    </row>
    <row r="851">
      <c r="A851" s="7" t="str">
        <f>IFERROR(__xludf.DUMMYFUNCTION("""COMPUTED_VALUE"""),"PE0850")</f>
        <v>PE0850</v>
      </c>
      <c r="B851" s="7" t="str">
        <f>IFERROR(__xludf.DUMMYFUNCTION("""COMPUTED_VALUE"""),"S060")</f>
        <v>S060</v>
      </c>
      <c r="C851" s="7" t="str">
        <f>IFERROR(__xludf.DUMMYFUNCTION("""COMPUTED_VALUE"""),"End-to-End Browser Testing (Cypress, Playwright)")</f>
        <v>End-to-End Browser Testing (Cypress, Playwright)</v>
      </c>
      <c r="D851" s="7" t="str">
        <f>IFERROR(__xludf.DUMMYFUNCTION("""COMPUTED_VALUE"""),"S043")</f>
        <v>S043</v>
      </c>
      <c r="E851" s="7" t="str">
        <f>IFERROR(__xludf.DUMMYFUNCTION("""COMPUTED_VALUE"""),"Next.js (SSR, SSG &amp; App Router)")</f>
        <v>Next.js (SSR, SSG &amp; App Router)</v>
      </c>
      <c r="F851" s="7" t="str">
        <f>IFERROR(__xludf.DUMMYFUNCTION("""COMPUTED_VALUE"""),"S060 unlocks S043")</f>
        <v>S060 unlocks S043</v>
      </c>
    </row>
    <row r="852">
      <c r="A852" s="7" t="str">
        <f>IFERROR(__xludf.DUMMYFUNCTION("""COMPUTED_VALUE"""),"PE0851")</f>
        <v>PE0851</v>
      </c>
      <c r="B852" s="7" t="str">
        <f>IFERROR(__xludf.DUMMYFUNCTION("""COMPUTED_VALUE"""),"S060")</f>
        <v>S060</v>
      </c>
      <c r="C852" s="7" t="str">
        <f>IFERROR(__xludf.DUMMYFUNCTION("""COMPUTED_VALUE"""),"End-to-End Browser Testing (Cypress, Playwright)")</f>
        <v>End-to-End Browser Testing (Cypress, Playwright)</v>
      </c>
      <c r="D852" s="7" t="str">
        <f>IFERROR(__xludf.DUMMYFUNCTION("""COMPUTED_VALUE"""),"S044")</f>
        <v>S044</v>
      </c>
      <c r="E852" s="7" t="str">
        <f>IFERROR(__xludf.DUMMYFUNCTION("""COMPUTED_VALUE"""),"Nuxt.js Framework")</f>
        <v>Nuxt.js Framework</v>
      </c>
      <c r="F852" s="7" t="str">
        <f>IFERROR(__xludf.DUMMYFUNCTION("""COMPUTED_VALUE"""),"S060 unlocks S044")</f>
        <v>S060 unlocks S044</v>
      </c>
    </row>
    <row r="853">
      <c r="A853" s="7" t="str">
        <f>IFERROR(__xludf.DUMMYFUNCTION("""COMPUTED_VALUE"""),"PE0852")</f>
        <v>PE0852</v>
      </c>
      <c r="B853" s="7" t="str">
        <f>IFERROR(__xludf.DUMMYFUNCTION("""COMPUTED_VALUE"""),"S060")</f>
        <v>S060</v>
      </c>
      <c r="C853" s="7" t="str">
        <f>IFERROR(__xludf.DUMMYFUNCTION("""COMPUTED_VALUE"""),"End-to-End Browser Testing (Cypress, Playwright)")</f>
        <v>End-to-End Browser Testing (Cypress, Playwright)</v>
      </c>
      <c r="D853" s="7" t="str">
        <f>IFERROR(__xludf.DUMMYFUNCTION("""COMPUTED_VALUE"""),"S045")</f>
        <v>S045</v>
      </c>
      <c r="E853" s="7" t="str">
        <f>IFERROR(__xludf.DUMMYFUNCTION("""COMPUTED_VALUE"""),"Frontend State Management (Redux Toolkit, Zustand, MobX)")</f>
        <v>Frontend State Management (Redux Toolkit, Zustand, MobX)</v>
      </c>
      <c r="F853" s="7" t="str">
        <f>IFERROR(__xludf.DUMMYFUNCTION("""COMPUTED_VALUE"""),"S060 unlocks S045")</f>
        <v>S060 unlocks S045</v>
      </c>
    </row>
    <row r="854">
      <c r="A854" s="7" t="str">
        <f>IFERROR(__xludf.DUMMYFUNCTION("""COMPUTED_VALUE"""),"PE0853")</f>
        <v>PE0853</v>
      </c>
      <c r="B854" s="7" t="str">
        <f>IFERROR(__xludf.DUMMYFUNCTION("""COMPUTED_VALUE"""),"S060")</f>
        <v>S060</v>
      </c>
      <c r="C854" s="7" t="str">
        <f>IFERROR(__xludf.DUMMYFUNCTION("""COMPUTED_VALUE"""),"End-to-End Browser Testing (Cypress, Playwright)")</f>
        <v>End-to-End Browser Testing (Cypress, Playwright)</v>
      </c>
      <c r="D854" s="7" t="str">
        <f>IFERROR(__xludf.DUMMYFUNCTION("""COMPUTED_VALUE"""),"S052")</f>
        <v>S052</v>
      </c>
      <c r="E854" s="7" t="str">
        <f>IFERROR(__xludf.DUMMYFUNCTION("""COMPUTED_VALUE"""),"Web Performance Optimization &amp; Core Web Vitals")</f>
        <v>Web Performance Optimization &amp; Core Web Vitals</v>
      </c>
      <c r="F854" s="7" t="str">
        <f>IFERROR(__xludf.DUMMYFUNCTION("""COMPUTED_VALUE"""),"S060 unlocks S052")</f>
        <v>S060 unlocks S052</v>
      </c>
    </row>
    <row r="855">
      <c r="A855" s="7" t="str">
        <f>IFERROR(__xludf.DUMMYFUNCTION("""COMPUTED_VALUE"""),"PE0854")</f>
        <v>PE0854</v>
      </c>
      <c r="B855" s="7" t="str">
        <f>IFERROR(__xludf.DUMMYFUNCTION("""COMPUTED_VALUE"""),"S060")</f>
        <v>S060</v>
      </c>
      <c r="C855" s="7" t="str">
        <f>IFERROR(__xludf.DUMMYFUNCTION("""COMPUTED_VALUE"""),"End-to-End Browser Testing (Cypress, Playwright)")</f>
        <v>End-to-End Browser Testing (Cypress, Playwright)</v>
      </c>
      <c r="D855" s="7" t="str">
        <f>IFERROR(__xludf.DUMMYFUNCTION("""COMPUTED_VALUE"""),"S054")</f>
        <v>S054</v>
      </c>
      <c r="E855" s="7" t="str">
        <f>IFERROR(__xludf.DUMMYFUNCTION("""COMPUTED_VALUE"""),"Progressive Web Apps (PWA) &amp; Service Workers")</f>
        <v>Progressive Web Apps (PWA) &amp; Service Workers</v>
      </c>
      <c r="F855" s="7" t="str">
        <f>IFERROR(__xludf.DUMMYFUNCTION("""COMPUTED_VALUE"""),"S060 unlocks S054")</f>
        <v>S060 unlocks S054</v>
      </c>
    </row>
    <row r="856">
      <c r="A856" s="7" t="str">
        <f>IFERROR(__xludf.DUMMYFUNCTION("""COMPUTED_VALUE"""),"PE0855")</f>
        <v>PE0855</v>
      </c>
      <c r="B856" s="7" t="str">
        <f>IFERROR(__xludf.DUMMYFUNCTION("""COMPUTED_VALUE"""),"S060")</f>
        <v>S060</v>
      </c>
      <c r="C856" s="7" t="str">
        <f>IFERROR(__xludf.DUMMYFUNCTION("""COMPUTED_VALUE"""),"End-to-End Browser Testing (Cypress, Playwright)")</f>
        <v>End-to-End Browser Testing (Cypress, Playwright)</v>
      </c>
      <c r="D856" s="7" t="str">
        <f>IFERROR(__xludf.DUMMYFUNCTION("""COMPUTED_VALUE"""),"S055")</f>
        <v>S055</v>
      </c>
      <c r="E856" s="7" t="str">
        <f>IFERROR(__xludf.DUMMYFUNCTION("""COMPUTED_VALUE"""),"WebAssembly (Wasm)")</f>
        <v>WebAssembly (Wasm)</v>
      </c>
      <c r="F856" s="7" t="str">
        <f>IFERROR(__xludf.DUMMYFUNCTION("""COMPUTED_VALUE"""),"S060 unlocks S055")</f>
        <v>S060 unlocks S055</v>
      </c>
    </row>
    <row r="857">
      <c r="A857" s="7" t="str">
        <f>IFERROR(__xludf.DUMMYFUNCTION("""COMPUTED_VALUE"""),"PE0856")</f>
        <v>PE0856</v>
      </c>
      <c r="B857" s="7" t="str">
        <f>IFERROR(__xludf.DUMMYFUNCTION("""COMPUTED_VALUE"""),"S060")</f>
        <v>S060</v>
      </c>
      <c r="C857" s="7" t="str">
        <f>IFERROR(__xludf.DUMMYFUNCTION("""COMPUTED_VALUE"""),"End-to-End Browser Testing (Cypress, Playwright)")</f>
        <v>End-to-End Browser Testing (Cypress, Playwright)</v>
      </c>
      <c r="D857" s="7" t="str">
        <f>IFERROR(__xludf.DUMMYFUNCTION("""COMPUTED_VALUE"""),"S056")</f>
        <v>S056</v>
      </c>
      <c r="E857" s="7" t="str">
        <f>IFERROR(__xludf.DUMMYFUNCTION("""COMPUTED_VALUE"""),"Micro-Frontends Architecture")</f>
        <v>Micro-Frontends Architecture</v>
      </c>
      <c r="F857" s="7" t="str">
        <f>IFERROR(__xludf.DUMMYFUNCTION("""COMPUTED_VALUE"""),"S060 unlocks S056")</f>
        <v>S060 unlocks S056</v>
      </c>
    </row>
    <row r="858">
      <c r="A858" s="7" t="str">
        <f>IFERROR(__xludf.DUMMYFUNCTION("""COMPUTED_VALUE"""),"PE0857")</f>
        <v>PE0857</v>
      </c>
      <c r="B858" s="7" t="str">
        <f>IFERROR(__xludf.DUMMYFUNCTION("""COMPUTED_VALUE"""),"S060")</f>
        <v>S060</v>
      </c>
      <c r="C858" s="7" t="str">
        <f>IFERROR(__xludf.DUMMYFUNCTION("""COMPUTED_VALUE"""),"End-to-End Browser Testing (Cypress, Playwright)")</f>
        <v>End-to-End Browser Testing (Cypress, Playwright)</v>
      </c>
      <c r="D858" s="7" t="str">
        <f>IFERROR(__xludf.DUMMYFUNCTION("""COMPUTED_VALUE"""),"S058")</f>
        <v>S058</v>
      </c>
      <c r="E858" s="7" t="str">
        <f>IFERROR(__xludf.DUMMYFUNCTION("""COMPUTED_VALUE"""),"WebGL &amp; 3D Browser Graphics (Three.js)")</f>
        <v>WebGL &amp; 3D Browser Graphics (Three.js)</v>
      </c>
      <c r="F858" s="7" t="str">
        <f>IFERROR(__xludf.DUMMYFUNCTION("""COMPUTED_VALUE"""),"S060 unlocks S058")</f>
        <v>S060 unlocks S058</v>
      </c>
    </row>
    <row r="859">
      <c r="A859" s="7" t="str">
        <f>IFERROR(__xludf.DUMMYFUNCTION("""COMPUTED_VALUE"""),"PE0858")</f>
        <v>PE0858</v>
      </c>
      <c r="B859" s="7" t="str">
        <f>IFERROR(__xludf.DUMMYFUNCTION("""COMPUTED_VALUE"""),"S060")</f>
        <v>S060</v>
      </c>
      <c r="C859" s="7" t="str">
        <f>IFERROR(__xludf.DUMMYFUNCTION("""COMPUTED_VALUE"""),"End-to-End Browser Testing (Cypress, Playwright)")</f>
        <v>End-to-End Browser Testing (Cypress, Playwright)</v>
      </c>
      <c r="D859" s="7" t="str">
        <f>IFERROR(__xludf.DUMMYFUNCTION("""COMPUTED_VALUE"""),"S065")</f>
        <v>S065</v>
      </c>
      <c r="E859" s="7" t="str">
        <f>IFERROR(__xludf.DUMMYFUNCTION("""COMPUTED_VALUE"""),"Design Systems &amp; Component Tokens (Storybook)")</f>
        <v>Design Systems &amp; Component Tokens (Storybook)</v>
      </c>
      <c r="F859" s="7" t="str">
        <f>IFERROR(__xludf.DUMMYFUNCTION("""COMPUTED_VALUE"""),"S060 unlocks S065")</f>
        <v>S060 unlocks S065</v>
      </c>
    </row>
    <row r="860">
      <c r="A860" s="7" t="str">
        <f>IFERROR(__xludf.DUMMYFUNCTION("""COMPUTED_VALUE"""),"PE0859")</f>
        <v>PE0859</v>
      </c>
      <c r="B860" s="7" t="str">
        <f>IFERROR(__xludf.DUMMYFUNCTION("""COMPUTED_VALUE"""),"S063")</f>
        <v>S063</v>
      </c>
      <c r="C860" s="7" t="str">
        <f>IFERROR(__xludf.DUMMYFUNCTION("""COMPUTED_VALUE"""),"User Research, Personas &amp; Usability Testing")</f>
        <v>User Research, Personas &amp; Usability Testing</v>
      </c>
      <c r="D860" s="7" t="str">
        <f>IFERROR(__xludf.DUMMYFUNCTION("""COMPUTED_VALUE"""),"S043")</f>
        <v>S043</v>
      </c>
      <c r="E860" s="7" t="str">
        <f>IFERROR(__xludf.DUMMYFUNCTION("""COMPUTED_VALUE"""),"Next.js (SSR, SSG &amp; App Router)")</f>
        <v>Next.js (SSR, SSG &amp; App Router)</v>
      </c>
      <c r="F860" s="7" t="str">
        <f>IFERROR(__xludf.DUMMYFUNCTION("""COMPUTED_VALUE"""),"S063 unlocks S043")</f>
        <v>S063 unlocks S043</v>
      </c>
    </row>
    <row r="861">
      <c r="A861" s="7" t="str">
        <f>IFERROR(__xludf.DUMMYFUNCTION("""COMPUTED_VALUE"""),"PE0860")</f>
        <v>PE0860</v>
      </c>
      <c r="B861" s="7" t="str">
        <f>IFERROR(__xludf.DUMMYFUNCTION("""COMPUTED_VALUE"""),"S063")</f>
        <v>S063</v>
      </c>
      <c r="C861" s="7" t="str">
        <f>IFERROR(__xludf.DUMMYFUNCTION("""COMPUTED_VALUE"""),"User Research, Personas &amp; Usability Testing")</f>
        <v>User Research, Personas &amp; Usability Testing</v>
      </c>
      <c r="D861" s="7" t="str">
        <f>IFERROR(__xludf.DUMMYFUNCTION("""COMPUTED_VALUE"""),"S044")</f>
        <v>S044</v>
      </c>
      <c r="E861" s="7" t="str">
        <f>IFERROR(__xludf.DUMMYFUNCTION("""COMPUTED_VALUE"""),"Nuxt.js Framework")</f>
        <v>Nuxt.js Framework</v>
      </c>
      <c r="F861" s="7" t="str">
        <f>IFERROR(__xludf.DUMMYFUNCTION("""COMPUTED_VALUE"""),"S063 unlocks S044")</f>
        <v>S063 unlocks S044</v>
      </c>
    </row>
    <row r="862">
      <c r="A862" s="7" t="str">
        <f>IFERROR(__xludf.DUMMYFUNCTION("""COMPUTED_VALUE"""),"PE0861")</f>
        <v>PE0861</v>
      </c>
      <c r="B862" s="7" t="str">
        <f>IFERROR(__xludf.DUMMYFUNCTION("""COMPUTED_VALUE"""),"S063")</f>
        <v>S063</v>
      </c>
      <c r="C862" s="7" t="str">
        <f>IFERROR(__xludf.DUMMYFUNCTION("""COMPUTED_VALUE"""),"User Research, Personas &amp; Usability Testing")</f>
        <v>User Research, Personas &amp; Usability Testing</v>
      </c>
      <c r="D862" s="7" t="str">
        <f>IFERROR(__xludf.DUMMYFUNCTION("""COMPUTED_VALUE"""),"S045")</f>
        <v>S045</v>
      </c>
      <c r="E862" s="7" t="str">
        <f>IFERROR(__xludf.DUMMYFUNCTION("""COMPUTED_VALUE"""),"Frontend State Management (Redux Toolkit, Zustand, MobX)")</f>
        <v>Frontend State Management (Redux Toolkit, Zustand, MobX)</v>
      </c>
      <c r="F862" s="7" t="str">
        <f>IFERROR(__xludf.DUMMYFUNCTION("""COMPUTED_VALUE"""),"S063 unlocks S045")</f>
        <v>S063 unlocks S045</v>
      </c>
    </row>
    <row r="863">
      <c r="A863" s="7" t="str">
        <f>IFERROR(__xludf.DUMMYFUNCTION("""COMPUTED_VALUE"""),"PE0862")</f>
        <v>PE0862</v>
      </c>
      <c r="B863" s="7" t="str">
        <f>IFERROR(__xludf.DUMMYFUNCTION("""COMPUTED_VALUE"""),"S063")</f>
        <v>S063</v>
      </c>
      <c r="C863" s="7" t="str">
        <f>IFERROR(__xludf.DUMMYFUNCTION("""COMPUTED_VALUE"""),"User Research, Personas &amp; Usability Testing")</f>
        <v>User Research, Personas &amp; Usability Testing</v>
      </c>
      <c r="D863" s="7" t="str">
        <f>IFERROR(__xludf.DUMMYFUNCTION("""COMPUTED_VALUE"""),"S052")</f>
        <v>S052</v>
      </c>
      <c r="E863" s="7" t="str">
        <f>IFERROR(__xludf.DUMMYFUNCTION("""COMPUTED_VALUE"""),"Web Performance Optimization &amp; Core Web Vitals")</f>
        <v>Web Performance Optimization &amp; Core Web Vitals</v>
      </c>
      <c r="F863" s="7" t="str">
        <f>IFERROR(__xludf.DUMMYFUNCTION("""COMPUTED_VALUE"""),"S063 unlocks S052")</f>
        <v>S063 unlocks S052</v>
      </c>
    </row>
    <row r="864">
      <c r="A864" s="7" t="str">
        <f>IFERROR(__xludf.DUMMYFUNCTION("""COMPUTED_VALUE"""),"PE0863")</f>
        <v>PE0863</v>
      </c>
      <c r="B864" s="7" t="str">
        <f>IFERROR(__xludf.DUMMYFUNCTION("""COMPUTED_VALUE"""),"S063")</f>
        <v>S063</v>
      </c>
      <c r="C864" s="7" t="str">
        <f>IFERROR(__xludf.DUMMYFUNCTION("""COMPUTED_VALUE"""),"User Research, Personas &amp; Usability Testing")</f>
        <v>User Research, Personas &amp; Usability Testing</v>
      </c>
      <c r="D864" s="7" t="str">
        <f>IFERROR(__xludf.DUMMYFUNCTION("""COMPUTED_VALUE"""),"S054")</f>
        <v>S054</v>
      </c>
      <c r="E864" s="7" t="str">
        <f>IFERROR(__xludf.DUMMYFUNCTION("""COMPUTED_VALUE"""),"Progressive Web Apps (PWA) &amp; Service Workers")</f>
        <v>Progressive Web Apps (PWA) &amp; Service Workers</v>
      </c>
      <c r="F864" s="7" t="str">
        <f>IFERROR(__xludf.DUMMYFUNCTION("""COMPUTED_VALUE"""),"S063 unlocks S054")</f>
        <v>S063 unlocks S054</v>
      </c>
    </row>
    <row r="865">
      <c r="A865" s="7" t="str">
        <f>IFERROR(__xludf.DUMMYFUNCTION("""COMPUTED_VALUE"""),"PE0864")</f>
        <v>PE0864</v>
      </c>
      <c r="B865" s="7" t="str">
        <f>IFERROR(__xludf.DUMMYFUNCTION("""COMPUTED_VALUE"""),"S063")</f>
        <v>S063</v>
      </c>
      <c r="C865" s="7" t="str">
        <f>IFERROR(__xludf.DUMMYFUNCTION("""COMPUTED_VALUE"""),"User Research, Personas &amp; Usability Testing")</f>
        <v>User Research, Personas &amp; Usability Testing</v>
      </c>
      <c r="D865" s="7" t="str">
        <f>IFERROR(__xludf.DUMMYFUNCTION("""COMPUTED_VALUE"""),"S055")</f>
        <v>S055</v>
      </c>
      <c r="E865" s="7" t="str">
        <f>IFERROR(__xludf.DUMMYFUNCTION("""COMPUTED_VALUE"""),"WebAssembly (Wasm)")</f>
        <v>WebAssembly (Wasm)</v>
      </c>
      <c r="F865" s="7" t="str">
        <f>IFERROR(__xludf.DUMMYFUNCTION("""COMPUTED_VALUE"""),"S063 unlocks S055")</f>
        <v>S063 unlocks S055</v>
      </c>
    </row>
    <row r="866">
      <c r="A866" s="7" t="str">
        <f>IFERROR(__xludf.DUMMYFUNCTION("""COMPUTED_VALUE"""),"PE0865")</f>
        <v>PE0865</v>
      </c>
      <c r="B866" s="7" t="str">
        <f>IFERROR(__xludf.DUMMYFUNCTION("""COMPUTED_VALUE"""),"S063")</f>
        <v>S063</v>
      </c>
      <c r="C866" s="7" t="str">
        <f>IFERROR(__xludf.DUMMYFUNCTION("""COMPUTED_VALUE"""),"User Research, Personas &amp; Usability Testing")</f>
        <v>User Research, Personas &amp; Usability Testing</v>
      </c>
      <c r="D866" s="7" t="str">
        <f>IFERROR(__xludf.DUMMYFUNCTION("""COMPUTED_VALUE"""),"S056")</f>
        <v>S056</v>
      </c>
      <c r="E866" s="7" t="str">
        <f>IFERROR(__xludf.DUMMYFUNCTION("""COMPUTED_VALUE"""),"Micro-Frontends Architecture")</f>
        <v>Micro-Frontends Architecture</v>
      </c>
      <c r="F866" s="7" t="str">
        <f>IFERROR(__xludf.DUMMYFUNCTION("""COMPUTED_VALUE"""),"S063 unlocks S056")</f>
        <v>S063 unlocks S056</v>
      </c>
    </row>
    <row r="867">
      <c r="A867" s="7" t="str">
        <f>IFERROR(__xludf.DUMMYFUNCTION("""COMPUTED_VALUE"""),"PE0866")</f>
        <v>PE0866</v>
      </c>
      <c r="B867" s="7" t="str">
        <f>IFERROR(__xludf.DUMMYFUNCTION("""COMPUTED_VALUE"""),"S063")</f>
        <v>S063</v>
      </c>
      <c r="C867" s="7" t="str">
        <f>IFERROR(__xludf.DUMMYFUNCTION("""COMPUTED_VALUE"""),"User Research, Personas &amp; Usability Testing")</f>
        <v>User Research, Personas &amp; Usability Testing</v>
      </c>
      <c r="D867" s="7" t="str">
        <f>IFERROR(__xludf.DUMMYFUNCTION("""COMPUTED_VALUE"""),"S058")</f>
        <v>S058</v>
      </c>
      <c r="E867" s="7" t="str">
        <f>IFERROR(__xludf.DUMMYFUNCTION("""COMPUTED_VALUE"""),"WebGL &amp; 3D Browser Graphics (Three.js)")</f>
        <v>WebGL &amp; 3D Browser Graphics (Three.js)</v>
      </c>
      <c r="F867" s="7" t="str">
        <f>IFERROR(__xludf.DUMMYFUNCTION("""COMPUTED_VALUE"""),"S063 unlocks S058")</f>
        <v>S063 unlocks S058</v>
      </c>
    </row>
    <row r="868">
      <c r="A868" s="7" t="str">
        <f>IFERROR(__xludf.DUMMYFUNCTION("""COMPUTED_VALUE"""),"PE0867")</f>
        <v>PE0867</v>
      </c>
      <c r="B868" s="7" t="str">
        <f>IFERROR(__xludf.DUMMYFUNCTION("""COMPUTED_VALUE"""),"S063")</f>
        <v>S063</v>
      </c>
      <c r="C868" s="7" t="str">
        <f>IFERROR(__xludf.DUMMYFUNCTION("""COMPUTED_VALUE"""),"User Research, Personas &amp; Usability Testing")</f>
        <v>User Research, Personas &amp; Usability Testing</v>
      </c>
      <c r="D868" s="7" t="str">
        <f>IFERROR(__xludf.DUMMYFUNCTION("""COMPUTED_VALUE"""),"S065")</f>
        <v>S065</v>
      </c>
      <c r="E868" s="7" t="str">
        <f>IFERROR(__xludf.DUMMYFUNCTION("""COMPUTED_VALUE"""),"Design Systems &amp; Component Tokens (Storybook)")</f>
        <v>Design Systems &amp; Component Tokens (Storybook)</v>
      </c>
      <c r="F868" s="7" t="str">
        <f>IFERROR(__xludf.DUMMYFUNCTION("""COMPUTED_VALUE"""),"S063 unlocks S065")</f>
        <v>S063 unlocks S065</v>
      </c>
    </row>
    <row r="869">
      <c r="A869" s="7" t="str">
        <f>IFERROR(__xludf.DUMMYFUNCTION("""COMPUTED_VALUE"""),"PE0868")</f>
        <v>PE0868</v>
      </c>
      <c r="B869" s="7" t="str">
        <f>IFERROR(__xludf.DUMMYFUNCTION("""COMPUTED_VALUE"""),"S064")</f>
        <v>S064</v>
      </c>
      <c r="C869" s="7" t="str">
        <f>IFERROR(__xludf.DUMMYFUNCTION("""COMPUTED_VALUE"""),"Information Architecture &amp; User Flows")</f>
        <v>Information Architecture &amp; User Flows</v>
      </c>
      <c r="D869" s="7" t="str">
        <f>IFERROR(__xludf.DUMMYFUNCTION("""COMPUTED_VALUE"""),"S043")</f>
        <v>S043</v>
      </c>
      <c r="E869" s="7" t="str">
        <f>IFERROR(__xludf.DUMMYFUNCTION("""COMPUTED_VALUE"""),"Next.js (SSR, SSG &amp; App Router)")</f>
        <v>Next.js (SSR, SSG &amp; App Router)</v>
      </c>
      <c r="F869" s="7" t="str">
        <f>IFERROR(__xludf.DUMMYFUNCTION("""COMPUTED_VALUE"""),"S064 unlocks S043")</f>
        <v>S064 unlocks S043</v>
      </c>
    </row>
    <row r="870">
      <c r="A870" s="7" t="str">
        <f>IFERROR(__xludf.DUMMYFUNCTION("""COMPUTED_VALUE"""),"PE0869")</f>
        <v>PE0869</v>
      </c>
      <c r="B870" s="7" t="str">
        <f>IFERROR(__xludf.DUMMYFUNCTION("""COMPUTED_VALUE"""),"S064")</f>
        <v>S064</v>
      </c>
      <c r="C870" s="7" t="str">
        <f>IFERROR(__xludf.DUMMYFUNCTION("""COMPUTED_VALUE"""),"Information Architecture &amp; User Flows")</f>
        <v>Information Architecture &amp; User Flows</v>
      </c>
      <c r="D870" s="7" t="str">
        <f>IFERROR(__xludf.DUMMYFUNCTION("""COMPUTED_VALUE"""),"S044")</f>
        <v>S044</v>
      </c>
      <c r="E870" s="7" t="str">
        <f>IFERROR(__xludf.DUMMYFUNCTION("""COMPUTED_VALUE"""),"Nuxt.js Framework")</f>
        <v>Nuxt.js Framework</v>
      </c>
      <c r="F870" s="7" t="str">
        <f>IFERROR(__xludf.DUMMYFUNCTION("""COMPUTED_VALUE"""),"S064 unlocks S044")</f>
        <v>S064 unlocks S044</v>
      </c>
    </row>
    <row r="871">
      <c r="A871" s="7" t="str">
        <f>IFERROR(__xludf.DUMMYFUNCTION("""COMPUTED_VALUE"""),"PE0870")</f>
        <v>PE0870</v>
      </c>
      <c r="B871" s="7" t="str">
        <f>IFERROR(__xludf.DUMMYFUNCTION("""COMPUTED_VALUE"""),"S064")</f>
        <v>S064</v>
      </c>
      <c r="C871" s="7" t="str">
        <f>IFERROR(__xludf.DUMMYFUNCTION("""COMPUTED_VALUE"""),"Information Architecture &amp; User Flows")</f>
        <v>Information Architecture &amp; User Flows</v>
      </c>
      <c r="D871" s="7" t="str">
        <f>IFERROR(__xludf.DUMMYFUNCTION("""COMPUTED_VALUE"""),"S045")</f>
        <v>S045</v>
      </c>
      <c r="E871" s="7" t="str">
        <f>IFERROR(__xludf.DUMMYFUNCTION("""COMPUTED_VALUE"""),"Frontend State Management (Redux Toolkit, Zustand, MobX)")</f>
        <v>Frontend State Management (Redux Toolkit, Zustand, MobX)</v>
      </c>
      <c r="F871" s="7" t="str">
        <f>IFERROR(__xludf.DUMMYFUNCTION("""COMPUTED_VALUE"""),"S064 unlocks S045")</f>
        <v>S064 unlocks S045</v>
      </c>
    </row>
    <row r="872">
      <c r="A872" s="7" t="str">
        <f>IFERROR(__xludf.DUMMYFUNCTION("""COMPUTED_VALUE"""),"PE0871")</f>
        <v>PE0871</v>
      </c>
      <c r="B872" s="7" t="str">
        <f>IFERROR(__xludf.DUMMYFUNCTION("""COMPUTED_VALUE"""),"S064")</f>
        <v>S064</v>
      </c>
      <c r="C872" s="7" t="str">
        <f>IFERROR(__xludf.DUMMYFUNCTION("""COMPUTED_VALUE"""),"Information Architecture &amp; User Flows")</f>
        <v>Information Architecture &amp; User Flows</v>
      </c>
      <c r="D872" s="7" t="str">
        <f>IFERROR(__xludf.DUMMYFUNCTION("""COMPUTED_VALUE"""),"S052")</f>
        <v>S052</v>
      </c>
      <c r="E872" s="7" t="str">
        <f>IFERROR(__xludf.DUMMYFUNCTION("""COMPUTED_VALUE"""),"Web Performance Optimization &amp; Core Web Vitals")</f>
        <v>Web Performance Optimization &amp; Core Web Vitals</v>
      </c>
      <c r="F872" s="7" t="str">
        <f>IFERROR(__xludf.DUMMYFUNCTION("""COMPUTED_VALUE"""),"S064 unlocks S052")</f>
        <v>S064 unlocks S052</v>
      </c>
    </row>
    <row r="873">
      <c r="A873" s="7" t="str">
        <f>IFERROR(__xludf.DUMMYFUNCTION("""COMPUTED_VALUE"""),"PE0872")</f>
        <v>PE0872</v>
      </c>
      <c r="B873" s="7" t="str">
        <f>IFERROR(__xludf.DUMMYFUNCTION("""COMPUTED_VALUE"""),"S064")</f>
        <v>S064</v>
      </c>
      <c r="C873" s="7" t="str">
        <f>IFERROR(__xludf.DUMMYFUNCTION("""COMPUTED_VALUE"""),"Information Architecture &amp; User Flows")</f>
        <v>Information Architecture &amp; User Flows</v>
      </c>
      <c r="D873" s="7" t="str">
        <f>IFERROR(__xludf.DUMMYFUNCTION("""COMPUTED_VALUE"""),"S054")</f>
        <v>S054</v>
      </c>
      <c r="E873" s="7" t="str">
        <f>IFERROR(__xludf.DUMMYFUNCTION("""COMPUTED_VALUE"""),"Progressive Web Apps (PWA) &amp; Service Workers")</f>
        <v>Progressive Web Apps (PWA) &amp; Service Workers</v>
      </c>
      <c r="F873" s="7" t="str">
        <f>IFERROR(__xludf.DUMMYFUNCTION("""COMPUTED_VALUE"""),"S064 unlocks S054")</f>
        <v>S064 unlocks S054</v>
      </c>
    </row>
    <row r="874">
      <c r="A874" s="7" t="str">
        <f>IFERROR(__xludf.DUMMYFUNCTION("""COMPUTED_VALUE"""),"PE0873")</f>
        <v>PE0873</v>
      </c>
      <c r="B874" s="7" t="str">
        <f>IFERROR(__xludf.DUMMYFUNCTION("""COMPUTED_VALUE"""),"S064")</f>
        <v>S064</v>
      </c>
      <c r="C874" s="7" t="str">
        <f>IFERROR(__xludf.DUMMYFUNCTION("""COMPUTED_VALUE"""),"Information Architecture &amp; User Flows")</f>
        <v>Information Architecture &amp; User Flows</v>
      </c>
      <c r="D874" s="7" t="str">
        <f>IFERROR(__xludf.DUMMYFUNCTION("""COMPUTED_VALUE"""),"S055")</f>
        <v>S055</v>
      </c>
      <c r="E874" s="7" t="str">
        <f>IFERROR(__xludf.DUMMYFUNCTION("""COMPUTED_VALUE"""),"WebAssembly (Wasm)")</f>
        <v>WebAssembly (Wasm)</v>
      </c>
      <c r="F874" s="7" t="str">
        <f>IFERROR(__xludf.DUMMYFUNCTION("""COMPUTED_VALUE"""),"S064 unlocks S055")</f>
        <v>S064 unlocks S055</v>
      </c>
    </row>
    <row r="875">
      <c r="A875" s="7" t="str">
        <f>IFERROR(__xludf.DUMMYFUNCTION("""COMPUTED_VALUE"""),"PE0874")</f>
        <v>PE0874</v>
      </c>
      <c r="B875" s="7" t="str">
        <f>IFERROR(__xludf.DUMMYFUNCTION("""COMPUTED_VALUE"""),"S064")</f>
        <v>S064</v>
      </c>
      <c r="C875" s="7" t="str">
        <f>IFERROR(__xludf.DUMMYFUNCTION("""COMPUTED_VALUE"""),"Information Architecture &amp; User Flows")</f>
        <v>Information Architecture &amp; User Flows</v>
      </c>
      <c r="D875" s="7" t="str">
        <f>IFERROR(__xludf.DUMMYFUNCTION("""COMPUTED_VALUE"""),"S056")</f>
        <v>S056</v>
      </c>
      <c r="E875" s="7" t="str">
        <f>IFERROR(__xludf.DUMMYFUNCTION("""COMPUTED_VALUE"""),"Micro-Frontends Architecture")</f>
        <v>Micro-Frontends Architecture</v>
      </c>
      <c r="F875" s="7" t="str">
        <f>IFERROR(__xludf.DUMMYFUNCTION("""COMPUTED_VALUE"""),"S064 unlocks S056")</f>
        <v>S064 unlocks S056</v>
      </c>
    </row>
    <row r="876">
      <c r="A876" s="7" t="str">
        <f>IFERROR(__xludf.DUMMYFUNCTION("""COMPUTED_VALUE"""),"PE0875")</f>
        <v>PE0875</v>
      </c>
      <c r="B876" s="7" t="str">
        <f>IFERROR(__xludf.DUMMYFUNCTION("""COMPUTED_VALUE"""),"S064")</f>
        <v>S064</v>
      </c>
      <c r="C876" s="7" t="str">
        <f>IFERROR(__xludf.DUMMYFUNCTION("""COMPUTED_VALUE"""),"Information Architecture &amp; User Flows")</f>
        <v>Information Architecture &amp; User Flows</v>
      </c>
      <c r="D876" s="7" t="str">
        <f>IFERROR(__xludf.DUMMYFUNCTION("""COMPUTED_VALUE"""),"S058")</f>
        <v>S058</v>
      </c>
      <c r="E876" s="7" t="str">
        <f>IFERROR(__xludf.DUMMYFUNCTION("""COMPUTED_VALUE"""),"WebGL &amp; 3D Browser Graphics (Three.js)")</f>
        <v>WebGL &amp; 3D Browser Graphics (Three.js)</v>
      </c>
      <c r="F876" s="7" t="str">
        <f>IFERROR(__xludf.DUMMYFUNCTION("""COMPUTED_VALUE"""),"S064 unlocks S058")</f>
        <v>S064 unlocks S058</v>
      </c>
    </row>
    <row r="877">
      <c r="A877" s="7" t="str">
        <f>IFERROR(__xludf.DUMMYFUNCTION("""COMPUTED_VALUE"""),"PE0876")</f>
        <v>PE0876</v>
      </c>
      <c r="B877" s="7" t="str">
        <f>IFERROR(__xludf.DUMMYFUNCTION("""COMPUTED_VALUE"""),"S064")</f>
        <v>S064</v>
      </c>
      <c r="C877" s="7" t="str">
        <f>IFERROR(__xludf.DUMMYFUNCTION("""COMPUTED_VALUE"""),"Information Architecture &amp; User Flows")</f>
        <v>Information Architecture &amp; User Flows</v>
      </c>
      <c r="D877" s="7" t="str">
        <f>IFERROR(__xludf.DUMMYFUNCTION("""COMPUTED_VALUE"""),"S065")</f>
        <v>S065</v>
      </c>
      <c r="E877" s="7" t="str">
        <f>IFERROR(__xludf.DUMMYFUNCTION("""COMPUTED_VALUE"""),"Design Systems &amp; Component Tokens (Storybook)")</f>
        <v>Design Systems &amp; Component Tokens (Storybook)</v>
      </c>
      <c r="F877" s="7" t="str">
        <f>IFERROR(__xludf.DUMMYFUNCTION("""COMPUTED_VALUE"""),"S064 unlocks S065")</f>
        <v>S064 unlocks S065</v>
      </c>
    </row>
    <row r="878">
      <c r="A878" s="7" t="str">
        <f>IFERROR(__xludf.DUMMYFUNCTION("""COMPUTED_VALUE"""),"PE0877")</f>
        <v>PE0877</v>
      </c>
      <c r="B878" s="7" t="str">
        <f>IFERROR(__xludf.DUMMYFUNCTION("""COMPUTED_VALUE"""),"S069")</f>
        <v>S069</v>
      </c>
      <c r="C878" s="7" t="str">
        <f>IFERROR(__xludf.DUMMYFUNCTION("""COMPUTED_VALUE"""),"Django Full-Stack Framework")</f>
        <v>Django Full-Stack Framework</v>
      </c>
      <c r="D878" s="7" t="str">
        <f>IFERROR(__xludf.DUMMYFUNCTION("""COMPUTED_VALUE"""),"S067")</f>
        <v>S067</v>
      </c>
      <c r="E878" s="7" t="str">
        <f>IFERROR(__xludf.DUMMYFUNCTION("""COMPUTED_VALUE"""),"Spring Framework &amp; Spring Boot")</f>
        <v>Spring Framework &amp; Spring Boot</v>
      </c>
      <c r="F878" s="7" t="str">
        <f>IFERROR(__xludf.DUMMYFUNCTION("""COMPUTED_VALUE"""),"S069 unlocks S067")</f>
        <v>S069 unlocks S067</v>
      </c>
    </row>
    <row r="879">
      <c r="A879" s="7" t="str">
        <f>IFERROR(__xludf.DUMMYFUNCTION("""COMPUTED_VALUE"""),"PE0878")</f>
        <v>PE0878</v>
      </c>
      <c r="B879" s="7" t="str">
        <f>IFERROR(__xludf.DUMMYFUNCTION("""COMPUTED_VALUE"""),"S069")</f>
        <v>S069</v>
      </c>
      <c r="C879" s="7" t="str">
        <f>IFERROR(__xludf.DUMMYFUNCTION("""COMPUTED_VALUE"""),"Django Full-Stack Framework")</f>
        <v>Django Full-Stack Framework</v>
      </c>
      <c r="D879" s="7" t="str">
        <f>IFERROR(__xludf.DUMMYFUNCTION("""COMPUTED_VALUE"""),"S074")</f>
        <v>S074</v>
      </c>
      <c r="E879" s="7" t="str">
        <f>IFERROR(__xludf.DUMMYFUNCTION("""COMPUTED_VALUE"""),"NestJS Enterprise Node Framework")</f>
        <v>NestJS Enterprise Node Framework</v>
      </c>
      <c r="F879" s="7" t="str">
        <f>IFERROR(__xludf.DUMMYFUNCTION("""COMPUTED_VALUE"""),"S069 unlocks S074")</f>
        <v>S069 unlocks S074</v>
      </c>
    </row>
    <row r="880">
      <c r="A880" s="7" t="str">
        <f>IFERROR(__xludf.DUMMYFUNCTION("""COMPUTED_VALUE"""),"PE0879")</f>
        <v>PE0879</v>
      </c>
      <c r="B880" s="7" t="str">
        <f>IFERROR(__xludf.DUMMYFUNCTION("""COMPUTED_VALUE"""),"S069")</f>
        <v>S069</v>
      </c>
      <c r="C880" s="7" t="str">
        <f>IFERROR(__xludf.DUMMYFUNCTION("""COMPUTED_VALUE"""),"Django Full-Stack Framework")</f>
        <v>Django Full-Stack Framework</v>
      </c>
      <c r="D880" s="7" t="str">
        <f>IFERROR(__xludf.DUMMYFUNCTION("""COMPUTED_VALUE"""),"S076")</f>
        <v>S076</v>
      </c>
      <c r="E880" s="7" t="str">
        <f>IFERROR(__xludf.DUMMYFUNCTION("""COMPUTED_VALUE"""),"ASP.NET Core Web APIs")</f>
        <v>ASP.NET Core Web APIs</v>
      </c>
      <c r="F880" s="7" t="str">
        <f>IFERROR(__xludf.DUMMYFUNCTION("""COMPUTED_VALUE"""),"S069 unlocks S076")</f>
        <v>S069 unlocks S076</v>
      </c>
    </row>
    <row r="881">
      <c r="A881" s="7" t="str">
        <f>IFERROR(__xludf.DUMMYFUNCTION("""COMPUTED_VALUE"""),"PE0880")</f>
        <v>PE0880</v>
      </c>
      <c r="B881" s="7" t="str">
        <f>IFERROR(__xludf.DUMMYFUNCTION("""COMPUTED_VALUE"""),"S069")</f>
        <v>S069</v>
      </c>
      <c r="C881" s="7" t="str">
        <f>IFERROR(__xludf.DUMMYFUNCTION("""COMPUTED_VALUE"""),"Django Full-Stack Framework")</f>
        <v>Django Full-Stack Framework</v>
      </c>
      <c r="D881" s="7" t="str">
        <f>IFERROR(__xludf.DUMMYFUNCTION("""COMPUTED_VALUE"""),"S078")</f>
        <v>S078</v>
      </c>
      <c r="E881" s="7" t="str">
        <f>IFERROR(__xludf.DUMMYFUNCTION("""COMPUTED_VALUE"""),"Rust Systems &amp; Web Programming")</f>
        <v>Rust Systems &amp; Web Programming</v>
      </c>
      <c r="F881" s="7" t="str">
        <f>IFERROR(__xludf.DUMMYFUNCTION("""COMPUTED_VALUE"""),"S069 unlocks S078")</f>
        <v>S069 unlocks S078</v>
      </c>
    </row>
    <row r="882">
      <c r="A882" s="7" t="str">
        <f>IFERROR(__xludf.DUMMYFUNCTION("""COMPUTED_VALUE"""),"PE0881")</f>
        <v>PE0881</v>
      </c>
      <c r="B882" s="7" t="str">
        <f>IFERROR(__xludf.DUMMYFUNCTION("""COMPUTED_VALUE"""),"S069")</f>
        <v>S069</v>
      </c>
      <c r="C882" s="7" t="str">
        <f>IFERROR(__xludf.DUMMYFUNCTION("""COMPUTED_VALUE"""),"Django Full-Stack Framework")</f>
        <v>Django Full-Stack Framework</v>
      </c>
      <c r="D882" s="7" t="str">
        <f>IFERROR(__xludf.DUMMYFUNCTION("""COMPUTED_VALUE"""),"S084")</f>
        <v>S084</v>
      </c>
      <c r="E882" s="7" t="str">
        <f>IFERROR(__xludf.DUMMYFUNCTION("""COMPUTED_VALUE"""),"Scala &amp; Functional JVM Programming")</f>
        <v>Scala &amp; Functional JVM Programming</v>
      </c>
      <c r="F882" s="7" t="str">
        <f>IFERROR(__xludf.DUMMYFUNCTION("""COMPUTED_VALUE"""),"S069 unlocks S084")</f>
        <v>S069 unlocks S084</v>
      </c>
    </row>
    <row r="883">
      <c r="A883" s="7" t="str">
        <f>IFERROR(__xludf.DUMMYFUNCTION("""COMPUTED_VALUE"""),"PE0882")</f>
        <v>PE0882</v>
      </c>
      <c r="B883" s="7" t="str">
        <f>IFERROR(__xludf.DUMMYFUNCTION("""COMPUTED_VALUE"""),"S069")</f>
        <v>S069</v>
      </c>
      <c r="C883" s="7" t="str">
        <f>IFERROR(__xludf.DUMMYFUNCTION("""COMPUTED_VALUE"""),"Django Full-Stack Framework")</f>
        <v>Django Full-Stack Framework</v>
      </c>
      <c r="D883" s="7" t="str">
        <f>IFERROR(__xludf.DUMMYFUNCTION("""COMPUTED_VALUE"""),"S085")</f>
        <v>S085</v>
      </c>
      <c r="E883" s="7" t="str">
        <f>IFERROR(__xludf.DUMMYFUNCTION("""COMPUTED_VALUE"""),"Elixir &amp; Phoenix Framework")</f>
        <v>Elixir &amp; Phoenix Framework</v>
      </c>
      <c r="F883" s="7" t="str">
        <f>IFERROR(__xludf.DUMMYFUNCTION("""COMPUTED_VALUE"""),"S069 unlocks S085")</f>
        <v>S069 unlocks S085</v>
      </c>
    </row>
    <row r="884">
      <c r="A884" s="7" t="str">
        <f>IFERROR(__xludf.DUMMYFUNCTION("""COMPUTED_VALUE"""),"PE0883")</f>
        <v>PE0883</v>
      </c>
      <c r="B884" s="7" t="str">
        <f>IFERROR(__xludf.DUMMYFUNCTION("""COMPUTED_VALUE"""),"S070")</f>
        <v>S070</v>
      </c>
      <c r="C884" s="7" t="str">
        <f>IFERROR(__xludf.DUMMYFUNCTION("""COMPUTED_VALUE"""),"FastAPI High-Performance APIs")</f>
        <v>FastAPI High-Performance APIs</v>
      </c>
      <c r="D884" s="7" t="str">
        <f>IFERROR(__xludf.DUMMYFUNCTION("""COMPUTED_VALUE"""),"S067")</f>
        <v>S067</v>
      </c>
      <c r="E884" s="7" t="str">
        <f>IFERROR(__xludf.DUMMYFUNCTION("""COMPUTED_VALUE"""),"Spring Framework &amp; Spring Boot")</f>
        <v>Spring Framework &amp; Spring Boot</v>
      </c>
      <c r="F884" s="7" t="str">
        <f>IFERROR(__xludf.DUMMYFUNCTION("""COMPUTED_VALUE"""),"S070 unlocks S067")</f>
        <v>S070 unlocks S067</v>
      </c>
    </row>
    <row r="885">
      <c r="A885" s="7" t="str">
        <f>IFERROR(__xludf.DUMMYFUNCTION("""COMPUTED_VALUE"""),"PE0884")</f>
        <v>PE0884</v>
      </c>
      <c r="B885" s="7" t="str">
        <f>IFERROR(__xludf.DUMMYFUNCTION("""COMPUTED_VALUE"""),"S070")</f>
        <v>S070</v>
      </c>
      <c r="C885" s="7" t="str">
        <f>IFERROR(__xludf.DUMMYFUNCTION("""COMPUTED_VALUE"""),"FastAPI High-Performance APIs")</f>
        <v>FastAPI High-Performance APIs</v>
      </c>
      <c r="D885" s="7" t="str">
        <f>IFERROR(__xludf.DUMMYFUNCTION("""COMPUTED_VALUE"""),"S074")</f>
        <v>S074</v>
      </c>
      <c r="E885" s="7" t="str">
        <f>IFERROR(__xludf.DUMMYFUNCTION("""COMPUTED_VALUE"""),"NestJS Enterprise Node Framework")</f>
        <v>NestJS Enterprise Node Framework</v>
      </c>
      <c r="F885" s="7" t="str">
        <f>IFERROR(__xludf.DUMMYFUNCTION("""COMPUTED_VALUE"""),"S070 unlocks S074")</f>
        <v>S070 unlocks S074</v>
      </c>
    </row>
    <row r="886">
      <c r="A886" s="7" t="str">
        <f>IFERROR(__xludf.DUMMYFUNCTION("""COMPUTED_VALUE"""),"PE0885")</f>
        <v>PE0885</v>
      </c>
      <c r="B886" s="7" t="str">
        <f>IFERROR(__xludf.DUMMYFUNCTION("""COMPUTED_VALUE"""),"S070")</f>
        <v>S070</v>
      </c>
      <c r="C886" s="7" t="str">
        <f>IFERROR(__xludf.DUMMYFUNCTION("""COMPUTED_VALUE"""),"FastAPI High-Performance APIs")</f>
        <v>FastAPI High-Performance APIs</v>
      </c>
      <c r="D886" s="7" t="str">
        <f>IFERROR(__xludf.DUMMYFUNCTION("""COMPUTED_VALUE"""),"S076")</f>
        <v>S076</v>
      </c>
      <c r="E886" s="7" t="str">
        <f>IFERROR(__xludf.DUMMYFUNCTION("""COMPUTED_VALUE"""),"ASP.NET Core Web APIs")</f>
        <v>ASP.NET Core Web APIs</v>
      </c>
      <c r="F886" s="7" t="str">
        <f>IFERROR(__xludf.DUMMYFUNCTION("""COMPUTED_VALUE"""),"S070 unlocks S076")</f>
        <v>S070 unlocks S076</v>
      </c>
    </row>
    <row r="887">
      <c r="A887" s="7" t="str">
        <f>IFERROR(__xludf.DUMMYFUNCTION("""COMPUTED_VALUE"""),"PE0886")</f>
        <v>PE0886</v>
      </c>
      <c r="B887" s="7" t="str">
        <f>IFERROR(__xludf.DUMMYFUNCTION("""COMPUTED_VALUE"""),"S070")</f>
        <v>S070</v>
      </c>
      <c r="C887" s="7" t="str">
        <f>IFERROR(__xludf.DUMMYFUNCTION("""COMPUTED_VALUE"""),"FastAPI High-Performance APIs")</f>
        <v>FastAPI High-Performance APIs</v>
      </c>
      <c r="D887" s="7" t="str">
        <f>IFERROR(__xludf.DUMMYFUNCTION("""COMPUTED_VALUE"""),"S078")</f>
        <v>S078</v>
      </c>
      <c r="E887" s="7" t="str">
        <f>IFERROR(__xludf.DUMMYFUNCTION("""COMPUTED_VALUE"""),"Rust Systems &amp; Web Programming")</f>
        <v>Rust Systems &amp; Web Programming</v>
      </c>
      <c r="F887" s="7" t="str">
        <f>IFERROR(__xludf.DUMMYFUNCTION("""COMPUTED_VALUE"""),"S070 unlocks S078")</f>
        <v>S070 unlocks S078</v>
      </c>
    </row>
    <row r="888">
      <c r="A888" s="7" t="str">
        <f>IFERROR(__xludf.DUMMYFUNCTION("""COMPUTED_VALUE"""),"PE0887")</f>
        <v>PE0887</v>
      </c>
      <c r="B888" s="7" t="str">
        <f>IFERROR(__xludf.DUMMYFUNCTION("""COMPUTED_VALUE"""),"S070")</f>
        <v>S070</v>
      </c>
      <c r="C888" s="7" t="str">
        <f>IFERROR(__xludf.DUMMYFUNCTION("""COMPUTED_VALUE"""),"FastAPI High-Performance APIs")</f>
        <v>FastAPI High-Performance APIs</v>
      </c>
      <c r="D888" s="7" t="str">
        <f>IFERROR(__xludf.DUMMYFUNCTION("""COMPUTED_VALUE"""),"S084")</f>
        <v>S084</v>
      </c>
      <c r="E888" s="7" t="str">
        <f>IFERROR(__xludf.DUMMYFUNCTION("""COMPUTED_VALUE"""),"Scala &amp; Functional JVM Programming")</f>
        <v>Scala &amp; Functional JVM Programming</v>
      </c>
      <c r="F888" s="7" t="str">
        <f>IFERROR(__xludf.DUMMYFUNCTION("""COMPUTED_VALUE"""),"S070 unlocks S084")</f>
        <v>S070 unlocks S084</v>
      </c>
    </row>
    <row r="889">
      <c r="A889" s="7" t="str">
        <f>IFERROR(__xludf.DUMMYFUNCTION("""COMPUTED_VALUE"""),"PE0888")</f>
        <v>PE0888</v>
      </c>
      <c r="B889" s="7" t="str">
        <f>IFERROR(__xludf.DUMMYFUNCTION("""COMPUTED_VALUE"""),"S070")</f>
        <v>S070</v>
      </c>
      <c r="C889" s="7" t="str">
        <f>IFERROR(__xludf.DUMMYFUNCTION("""COMPUTED_VALUE"""),"FastAPI High-Performance APIs")</f>
        <v>FastAPI High-Performance APIs</v>
      </c>
      <c r="D889" s="7" t="str">
        <f>IFERROR(__xludf.DUMMYFUNCTION("""COMPUTED_VALUE"""),"S085")</f>
        <v>S085</v>
      </c>
      <c r="E889" s="7" t="str">
        <f>IFERROR(__xludf.DUMMYFUNCTION("""COMPUTED_VALUE"""),"Elixir &amp; Phoenix Framework")</f>
        <v>Elixir &amp; Phoenix Framework</v>
      </c>
      <c r="F889" s="7" t="str">
        <f>IFERROR(__xludf.DUMMYFUNCTION("""COMPUTED_VALUE"""),"S070 unlocks S085")</f>
        <v>S070 unlocks S085</v>
      </c>
    </row>
    <row r="890">
      <c r="A890" s="7" t="str">
        <f>IFERROR(__xludf.DUMMYFUNCTION("""COMPUTED_VALUE"""),"PE0889")</f>
        <v>PE0889</v>
      </c>
      <c r="B890" s="7" t="str">
        <f>IFERROR(__xludf.DUMMYFUNCTION("""COMPUTED_VALUE"""),"S071")</f>
        <v>S071</v>
      </c>
      <c r="C890" s="7" t="str">
        <f>IFERROR(__xludf.DUMMYFUNCTION("""COMPUTED_VALUE"""),"Flask Microframework")</f>
        <v>Flask Microframework</v>
      </c>
      <c r="D890" s="7" t="str">
        <f>IFERROR(__xludf.DUMMYFUNCTION("""COMPUTED_VALUE"""),"S067")</f>
        <v>S067</v>
      </c>
      <c r="E890" s="7" t="str">
        <f>IFERROR(__xludf.DUMMYFUNCTION("""COMPUTED_VALUE"""),"Spring Framework &amp; Spring Boot")</f>
        <v>Spring Framework &amp; Spring Boot</v>
      </c>
      <c r="F890" s="7" t="str">
        <f>IFERROR(__xludf.DUMMYFUNCTION("""COMPUTED_VALUE"""),"S071 unlocks S067")</f>
        <v>S071 unlocks S067</v>
      </c>
    </row>
    <row r="891">
      <c r="A891" s="7" t="str">
        <f>IFERROR(__xludf.DUMMYFUNCTION("""COMPUTED_VALUE"""),"PE0890")</f>
        <v>PE0890</v>
      </c>
      <c r="B891" s="7" t="str">
        <f>IFERROR(__xludf.DUMMYFUNCTION("""COMPUTED_VALUE"""),"S071")</f>
        <v>S071</v>
      </c>
      <c r="C891" s="7" t="str">
        <f>IFERROR(__xludf.DUMMYFUNCTION("""COMPUTED_VALUE"""),"Flask Microframework")</f>
        <v>Flask Microframework</v>
      </c>
      <c r="D891" s="7" t="str">
        <f>IFERROR(__xludf.DUMMYFUNCTION("""COMPUTED_VALUE"""),"S074")</f>
        <v>S074</v>
      </c>
      <c r="E891" s="7" t="str">
        <f>IFERROR(__xludf.DUMMYFUNCTION("""COMPUTED_VALUE"""),"NestJS Enterprise Node Framework")</f>
        <v>NestJS Enterprise Node Framework</v>
      </c>
      <c r="F891" s="7" t="str">
        <f>IFERROR(__xludf.DUMMYFUNCTION("""COMPUTED_VALUE"""),"S071 unlocks S074")</f>
        <v>S071 unlocks S074</v>
      </c>
    </row>
    <row r="892">
      <c r="A892" s="7" t="str">
        <f>IFERROR(__xludf.DUMMYFUNCTION("""COMPUTED_VALUE"""),"PE0891")</f>
        <v>PE0891</v>
      </c>
      <c r="B892" s="7" t="str">
        <f>IFERROR(__xludf.DUMMYFUNCTION("""COMPUTED_VALUE"""),"S071")</f>
        <v>S071</v>
      </c>
      <c r="C892" s="7" t="str">
        <f>IFERROR(__xludf.DUMMYFUNCTION("""COMPUTED_VALUE"""),"Flask Microframework")</f>
        <v>Flask Microframework</v>
      </c>
      <c r="D892" s="7" t="str">
        <f>IFERROR(__xludf.DUMMYFUNCTION("""COMPUTED_VALUE"""),"S076")</f>
        <v>S076</v>
      </c>
      <c r="E892" s="7" t="str">
        <f>IFERROR(__xludf.DUMMYFUNCTION("""COMPUTED_VALUE"""),"ASP.NET Core Web APIs")</f>
        <v>ASP.NET Core Web APIs</v>
      </c>
      <c r="F892" s="7" t="str">
        <f>IFERROR(__xludf.DUMMYFUNCTION("""COMPUTED_VALUE"""),"S071 unlocks S076")</f>
        <v>S071 unlocks S076</v>
      </c>
    </row>
    <row r="893">
      <c r="A893" s="7" t="str">
        <f>IFERROR(__xludf.DUMMYFUNCTION("""COMPUTED_VALUE"""),"PE0892")</f>
        <v>PE0892</v>
      </c>
      <c r="B893" s="7" t="str">
        <f>IFERROR(__xludf.DUMMYFUNCTION("""COMPUTED_VALUE"""),"S071")</f>
        <v>S071</v>
      </c>
      <c r="C893" s="7" t="str">
        <f>IFERROR(__xludf.DUMMYFUNCTION("""COMPUTED_VALUE"""),"Flask Microframework")</f>
        <v>Flask Microframework</v>
      </c>
      <c r="D893" s="7" t="str">
        <f>IFERROR(__xludf.DUMMYFUNCTION("""COMPUTED_VALUE"""),"S078")</f>
        <v>S078</v>
      </c>
      <c r="E893" s="7" t="str">
        <f>IFERROR(__xludf.DUMMYFUNCTION("""COMPUTED_VALUE"""),"Rust Systems &amp; Web Programming")</f>
        <v>Rust Systems &amp; Web Programming</v>
      </c>
      <c r="F893" s="7" t="str">
        <f>IFERROR(__xludf.DUMMYFUNCTION("""COMPUTED_VALUE"""),"S071 unlocks S078")</f>
        <v>S071 unlocks S078</v>
      </c>
    </row>
    <row r="894">
      <c r="A894" s="7" t="str">
        <f>IFERROR(__xludf.DUMMYFUNCTION("""COMPUTED_VALUE"""),"PE0893")</f>
        <v>PE0893</v>
      </c>
      <c r="B894" s="7" t="str">
        <f>IFERROR(__xludf.DUMMYFUNCTION("""COMPUTED_VALUE"""),"S071")</f>
        <v>S071</v>
      </c>
      <c r="C894" s="7" t="str">
        <f>IFERROR(__xludf.DUMMYFUNCTION("""COMPUTED_VALUE"""),"Flask Microframework")</f>
        <v>Flask Microframework</v>
      </c>
      <c r="D894" s="7" t="str">
        <f>IFERROR(__xludf.DUMMYFUNCTION("""COMPUTED_VALUE"""),"S084")</f>
        <v>S084</v>
      </c>
      <c r="E894" s="7" t="str">
        <f>IFERROR(__xludf.DUMMYFUNCTION("""COMPUTED_VALUE"""),"Scala &amp; Functional JVM Programming")</f>
        <v>Scala &amp; Functional JVM Programming</v>
      </c>
      <c r="F894" s="7" t="str">
        <f>IFERROR(__xludf.DUMMYFUNCTION("""COMPUTED_VALUE"""),"S071 unlocks S084")</f>
        <v>S071 unlocks S084</v>
      </c>
    </row>
    <row r="895">
      <c r="A895" s="7" t="str">
        <f>IFERROR(__xludf.DUMMYFUNCTION("""COMPUTED_VALUE"""),"PE0894")</f>
        <v>PE0894</v>
      </c>
      <c r="B895" s="7" t="str">
        <f>IFERROR(__xludf.DUMMYFUNCTION("""COMPUTED_VALUE"""),"S071")</f>
        <v>S071</v>
      </c>
      <c r="C895" s="7" t="str">
        <f>IFERROR(__xludf.DUMMYFUNCTION("""COMPUTED_VALUE"""),"Flask Microframework")</f>
        <v>Flask Microframework</v>
      </c>
      <c r="D895" s="7" t="str">
        <f>IFERROR(__xludf.DUMMYFUNCTION("""COMPUTED_VALUE"""),"S085")</f>
        <v>S085</v>
      </c>
      <c r="E895" s="7" t="str">
        <f>IFERROR(__xludf.DUMMYFUNCTION("""COMPUTED_VALUE"""),"Elixir &amp; Phoenix Framework")</f>
        <v>Elixir &amp; Phoenix Framework</v>
      </c>
      <c r="F895" s="7" t="str">
        <f>IFERROR(__xludf.DUMMYFUNCTION("""COMPUTED_VALUE"""),"S071 unlocks S085")</f>
        <v>S071 unlocks S085</v>
      </c>
    </row>
    <row r="896">
      <c r="A896" s="7" t="str">
        <f>IFERROR(__xludf.DUMMYFUNCTION("""COMPUTED_VALUE"""),"PE0895")</f>
        <v>PE0895</v>
      </c>
      <c r="B896" s="7" t="str">
        <f>IFERROR(__xludf.DUMMYFUNCTION("""COMPUTED_VALUE"""),"S072")</f>
        <v>S072</v>
      </c>
      <c r="C896" s="7" t="str">
        <f>IFERROR(__xludf.DUMMYFUNCTION("""COMPUTED_VALUE"""),"Node.js Runtime &amp; Event Loop")</f>
        <v>Node.js Runtime &amp; Event Loop</v>
      </c>
      <c r="D896" s="7" t="str">
        <f>IFERROR(__xludf.DUMMYFUNCTION("""COMPUTED_VALUE"""),"S067")</f>
        <v>S067</v>
      </c>
      <c r="E896" s="7" t="str">
        <f>IFERROR(__xludf.DUMMYFUNCTION("""COMPUTED_VALUE"""),"Spring Framework &amp; Spring Boot")</f>
        <v>Spring Framework &amp; Spring Boot</v>
      </c>
      <c r="F896" s="7" t="str">
        <f>IFERROR(__xludf.DUMMYFUNCTION("""COMPUTED_VALUE"""),"S072 unlocks S067")</f>
        <v>S072 unlocks S067</v>
      </c>
    </row>
    <row r="897">
      <c r="A897" s="7" t="str">
        <f>IFERROR(__xludf.DUMMYFUNCTION("""COMPUTED_VALUE"""),"PE0896")</f>
        <v>PE0896</v>
      </c>
      <c r="B897" s="7" t="str">
        <f>IFERROR(__xludf.DUMMYFUNCTION("""COMPUTED_VALUE"""),"S072")</f>
        <v>S072</v>
      </c>
      <c r="C897" s="7" t="str">
        <f>IFERROR(__xludf.DUMMYFUNCTION("""COMPUTED_VALUE"""),"Node.js Runtime &amp; Event Loop")</f>
        <v>Node.js Runtime &amp; Event Loop</v>
      </c>
      <c r="D897" s="7" t="str">
        <f>IFERROR(__xludf.DUMMYFUNCTION("""COMPUTED_VALUE"""),"S074")</f>
        <v>S074</v>
      </c>
      <c r="E897" s="7" t="str">
        <f>IFERROR(__xludf.DUMMYFUNCTION("""COMPUTED_VALUE"""),"NestJS Enterprise Node Framework")</f>
        <v>NestJS Enterprise Node Framework</v>
      </c>
      <c r="F897" s="7" t="str">
        <f>IFERROR(__xludf.DUMMYFUNCTION("""COMPUTED_VALUE"""),"S072 unlocks S074")</f>
        <v>S072 unlocks S074</v>
      </c>
    </row>
    <row r="898">
      <c r="A898" s="7" t="str">
        <f>IFERROR(__xludf.DUMMYFUNCTION("""COMPUTED_VALUE"""),"PE0897")</f>
        <v>PE0897</v>
      </c>
      <c r="B898" s="7" t="str">
        <f>IFERROR(__xludf.DUMMYFUNCTION("""COMPUTED_VALUE"""),"S072")</f>
        <v>S072</v>
      </c>
      <c r="C898" s="7" t="str">
        <f>IFERROR(__xludf.DUMMYFUNCTION("""COMPUTED_VALUE"""),"Node.js Runtime &amp; Event Loop")</f>
        <v>Node.js Runtime &amp; Event Loop</v>
      </c>
      <c r="D898" s="7" t="str">
        <f>IFERROR(__xludf.DUMMYFUNCTION("""COMPUTED_VALUE"""),"S076")</f>
        <v>S076</v>
      </c>
      <c r="E898" s="7" t="str">
        <f>IFERROR(__xludf.DUMMYFUNCTION("""COMPUTED_VALUE"""),"ASP.NET Core Web APIs")</f>
        <v>ASP.NET Core Web APIs</v>
      </c>
      <c r="F898" s="7" t="str">
        <f>IFERROR(__xludf.DUMMYFUNCTION("""COMPUTED_VALUE"""),"S072 unlocks S076")</f>
        <v>S072 unlocks S076</v>
      </c>
    </row>
    <row r="899">
      <c r="A899" s="7" t="str">
        <f>IFERROR(__xludf.DUMMYFUNCTION("""COMPUTED_VALUE"""),"PE0898")</f>
        <v>PE0898</v>
      </c>
      <c r="B899" s="7" t="str">
        <f>IFERROR(__xludf.DUMMYFUNCTION("""COMPUTED_VALUE"""),"S072")</f>
        <v>S072</v>
      </c>
      <c r="C899" s="7" t="str">
        <f>IFERROR(__xludf.DUMMYFUNCTION("""COMPUTED_VALUE"""),"Node.js Runtime &amp; Event Loop")</f>
        <v>Node.js Runtime &amp; Event Loop</v>
      </c>
      <c r="D899" s="7" t="str">
        <f>IFERROR(__xludf.DUMMYFUNCTION("""COMPUTED_VALUE"""),"S078")</f>
        <v>S078</v>
      </c>
      <c r="E899" s="7" t="str">
        <f>IFERROR(__xludf.DUMMYFUNCTION("""COMPUTED_VALUE"""),"Rust Systems &amp; Web Programming")</f>
        <v>Rust Systems &amp; Web Programming</v>
      </c>
      <c r="F899" s="7" t="str">
        <f>IFERROR(__xludf.DUMMYFUNCTION("""COMPUTED_VALUE"""),"S072 unlocks S078")</f>
        <v>S072 unlocks S078</v>
      </c>
    </row>
    <row r="900">
      <c r="A900" s="7" t="str">
        <f>IFERROR(__xludf.DUMMYFUNCTION("""COMPUTED_VALUE"""),"PE0899")</f>
        <v>PE0899</v>
      </c>
      <c r="B900" s="7" t="str">
        <f>IFERROR(__xludf.DUMMYFUNCTION("""COMPUTED_VALUE"""),"S072")</f>
        <v>S072</v>
      </c>
      <c r="C900" s="7" t="str">
        <f>IFERROR(__xludf.DUMMYFUNCTION("""COMPUTED_VALUE"""),"Node.js Runtime &amp; Event Loop")</f>
        <v>Node.js Runtime &amp; Event Loop</v>
      </c>
      <c r="D900" s="7" t="str">
        <f>IFERROR(__xludf.DUMMYFUNCTION("""COMPUTED_VALUE"""),"S084")</f>
        <v>S084</v>
      </c>
      <c r="E900" s="7" t="str">
        <f>IFERROR(__xludf.DUMMYFUNCTION("""COMPUTED_VALUE"""),"Scala &amp; Functional JVM Programming")</f>
        <v>Scala &amp; Functional JVM Programming</v>
      </c>
      <c r="F900" s="7" t="str">
        <f>IFERROR(__xludf.DUMMYFUNCTION("""COMPUTED_VALUE"""),"S072 unlocks S084")</f>
        <v>S072 unlocks S084</v>
      </c>
    </row>
    <row r="901">
      <c r="A901" s="7" t="str">
        <f>IFERROR(__xludf.DUMMYFUNCTION("""COMPUTED_VALUE"""),"PE0900")</f>
        <v>PE0900</v>
      </c>
      <c r="B901" s="7" t="str">
        <f>IFERROR(__xludf.DUMMYFUNCTION("""COMPUTED_VALUE"""),"S072")</f>
        <v>S072</v>
      </c>
      <c r="C901" s="7" t="str">
        <f>IFERROR(__xludf.DUMMYFUNCTION("""COMPUTED_VALUE"""),"Node.js Runtime &amp; Event Loop")</f>
        <v>Node.js Runtime &amp; Event Loop</v>
      </c>
      <c r="D901" s="7" t="str">
        <f>IFERROR(__xludf.DUMMYFUNCTION("""COMPUTED_VALUE"""),"S085")</f>
        <v>S085</v>
      </c>
      <c r="E901" s="7" t="str">
        <f>IFERROR(__xludf.DUMMYFUNCTION("""COMPUTED_VALUE"""),"Elixir &amp; Phoenix Framework")</f>
        <v>Elixir &amp; Phoenix Framework</v>
      </c>
      <c r="F901" s="7" t="str">
        <f>IFERROR(__xludf.DUMMYFUNCTION("""COMPUTED_VALUE"""),"S072 unlocks S085")</f>
        <v>S072 unlocks S085</v>
      </c>
    </row>
    <row r="902">
      <c r="A902" s="7" t="str">
        <f>IFERROR(__xludf.DUMMYFUNCTION("""COMPUTED_VALUE"""),"PE0901")</f>
        <v>PE0901</v>
      </c>
      <c r="B902" s="7" t="str">
        <f>IFERROR(__xludf.DUMMYFUNCTION("""COMPUTED_VALUE"""),"S073")</f>
        <v>S073</v>
      </c>
      <c r="C902" s="7" t="str">
        <f>IFERROR(__xludf.DUMMYFUNCTION("""COMPUTED_VALUE"""),"Express.js Web Framework")</f>
        <v>Express.js Web Framework</v>
      </c>
      <c r="D902" s="7" t="str">
        <f>IFERROR(__xludf.DUMMYFUNCTION("""COMPUTED_VALUE"""),"S067")</f>
        <v>S067</v>
      </c>
      <c r="E902" s="7" t="str">
        <f>IFERROR(__xludf.DUMMYFUNCTION("""COMPUTED_VALUE"""),"Spring Framework &amp; Spring Boot")</f>
        <v>Spring Framework &amp; Spring Boot</v>
      </c>
      <c r="F902" s="7" t="str">
        <f>IFERROR(__xludf.DUMMYFUNCTION("""COMPUTED_VALUE"""),"S073 unlocks S067")</f>
        <v>S073 unlocks S067</v>
      </c>
    </row>
    <row r="903">
      <c r="A903" s="7" t="str">
        <f>IFERROR(__xludf.DUMMYFUNCTION("""COMPUTED_VALUE"""),"PE0902")</f>
        <v>PE0902</v>
      </c>
      <c r="B903" s="7" t="str">
        <f>IFERROR(__xludf.DUMMYFUNCTION("""COMPUTED_VALUE"""),"S073")</f>
        <v>S073</v>
      </c>
      <c r="C903" s="7" t="str">
        <f>IFERROR(__xludf.DUMMYFUNCTION("""COMPUTED_VALUE"""),"Express.js Web Framework")</f>
        <v>Express.js Web Framework</v>
      </c>
      <c r="D903" s="7" t="str">
        <f>IFERROR(__xludf.DUMMYFUNCTION("""COMPUTED_VALUE"""),"S074")</f>
        <v>S074</v>
      </c>
      <c r="E903" s="7" t="str">
        <f>IFERROR(__xludf.DUMMYFUNCTION("""COMPUTED_VALUE"""),"NestJS Enterprise Node Framework")</f>
        <v>NestJS Enterprise Node Framework</v>
      </c>
      <c r="F903" s="7" t="str">
        <f>IFERROR(__xludf.DUMMYFUNCTION("""COMPUTED_VALUE"""),"S073 unlocks S074")</f>
        <v>S073 unlocks S074</v>
      </c>
    </row>
    <row r="904">
      <c r="A904" s="7" t="str">
        <f>IFERROR(__xludf.DUMMYFUNCTION("""COMPUTED_VALUE"""),"PE0903")</f>
        <v>PE0903</v>
      </c>
      <c r="B904" s="7" t="str">
        <f>IFERROR(__xludf.DUMMYFUNCTION("""COMPUTED_VALUE"""),"S073")</f>
        <v>S073</v>
      </c>
      <c r="C904" s="7" t="str">
        <f>IFERROR(__xludf.DUMMYFUNCTION("""COMPUTED_VALUE"""),"Express.js Web Framework")</f>
        <v>Express.js Web Framework</v>
      </c>
      <c r="D904" s="7" t="str">
        <f>IFERROR(__xludf.DUMMYFUNCTION("""COMPUTED_VALUE"""),"S076")</f>
        <v>S076</v>
      </c>
      <c r="E904" s="7" t="str">
        <f>IFERROR(__xludf.DUMMYFUNCTION("""COMPUTED_VALUE"""),"ASP.NET Core Web APIs")</f>
        <v>ASP.NET Core Web APIs</v>
      </c>
      <c r="F904" s="7" t="str">
        <f>IFERROR(__xludf.DUMMYFUNCTION("""COMPUTED_VALUE"""),"S073 unlocks S076")</f>
        <v>S073 unlocks S076</v>
      </c>
    </row>
    <row r="905">
      <c r="A905" s="7" t="str">
        <f>IFERROR(__xludf.DUMMYFUNCTION("""COMPUTED_VALUE"""),"PE0904")</f>
        <v>PE0904</v>
      </c>
      <c r="B905" s="7" t="str">
        <f>IFERROR(__xludf.DUMMYFUNCTION("""COMPUTED_VALUE"""),"S073")</f>
        <v>S073</v>
      </c>
      <c r="C905" s="7" t="str">
        <f>IFERROR(__xludf.DUMMYFUNCTION("""COMPUTED_VALUE"""),"Express.js Web Framework")</f>
        <v>Express.js Web Framework</v>
      </c>
      <c r="D905" s="7" t="str">
        <f>IFERROR(__xludf.DUMMYFUNCTION("""COMPUTED_VALUE"""),"S078")</f>
        <v>S078</v>
      </c>
      <c r="E905" s="7" t="str">
        <f>IFERROR(__xludf.DUMMYFUNCTION("""COMPUTED_VALUE"""),"Rust Systems &amp; Web Programming")</f>
        <v>Rust Systems &amp; Web Programming</v>
      </c>
      <c r="F905" s="7" t="str">
        <f>IFERROR(__xludf.DUMMYFUNCTION("""COMPUTED_VALUE"""),"S073 unlocks S078")</f>
        <v>S073 unlocks S078</v>
      </c>
    </row>
    <row r="906">
      <c r="A906" s="7" t="str">
        <f>IFERROR(__xludf.DUMMYFUNCTION("""COMPUTED_VALUE"""),"PE0905")</f>
        <v>PE0905</v>
      </c>
      <c r="B906" s="7" t="str">
        <f>IFERROR(__xludf.DUMMYFUNCTION("""COMPUTED_VALUE"""),"S073")</f>
        <v>S073</v>
      </c>
      <c r="C906" s="7" t="str">
        <f>IFERROR(__xludf.DUMMYFUNCTION("""COMPUTED_VALUE"""),"Express.js Web Framework")</f>
        <v>Express.js Web Framework</v>
      </c>
      <c r="D906" s="7" t="str">
        <f>IFERROR(__xludf.DUMMYFUNCTION("""COMPUTED_VALUE"""),"S084")</f>
        <v>S084</v>
      </c>
      <c r="E906" s="7" t="str">
        <f>IFERROR(__xludf.DUMMYFUNCTION("""COMPUTED_VALUE"""),"Scala &amp; Functional JVM Programming")</f>
        <v>Scala &amp; Functional JVM Programming</v>
      </c>
      <c r="F906" s="7" t="str">
        <f>IFERROR(__xludf.DUMMYFUNCTION("""COMPUTED_VALUE"""),"S073 unlocks S084")</f>
        <v>S073 unlocks S084</v>
      </c>
    </row>
    <row r="907">
      <c r="A907" s="7" t="str">
        <f>IFERROR(__xludf.DUMMYFUNCTION("""COMPUTED_VALUE"""),"PE0906")</f>
        <v>PE0906</v>
      </c>
      <c r="B907" s="7" t="str">
        <f>IFERROR(__xludf.DUMMYFUNCTION("""COMPUTED_VALUE"""),"S073")</f>
        <v>S073</v>
      </c>
      <c r="C907" s="7" t="str">
        <f>IFERROR(__xludf.DUMMYFUNCTION("""COMPUTED_VALUE"""),"Express.js Web Framework")</f>
        <v>Express.js Web Framework</v>
      </c>
      <c r="D907" s="7" t="str">
        <f>IFERROR(__xludf.DUMMYFUNCTION("""COMPUTED_VALUE"""),"S085")</f>
        <v>S085</v>
      </c>
      <c r="E907" s="7" t="str">
        <f>IFERROR(__xludf.DUMMYFUNCTION("""COMPUTED_VALUE"""),"Elixir &amp; Phoenix Framework")</f>
        <v>Elixir &amp; Phoenix Framework</v>
      </c>
      <c r="F907" s="7" t="str">
        <f>IFERROR(__xludf.DUMMYFUNCTION("""COMPUTED_VALUE"""),"S073 unlocks S085")</f>
        <v>S073 unlocks S085</v>
      </c>
    </row>
    <row r="908">
      <c r="A908" s="7" t="str">
        <f>IFERROR(__xludf.DUMMYFUNCTION("""COMPUTED_VALUE"""),"PE0907")</f>
        <v>PE0907</v>
      </c>
      <c r="B908" s="7" t="str">
        <f>IFERROR(__xludf.DUMMYFUNCTION("""COMPUTED_VALUE"""),"S077")</f>
        <v>S077</v>
      </c>
      <c r="C908" s="7" t="str">
        <f>IFERROR(__xludf.DUMMYFUNCTION("""COMPUTED_VALUE"""),"Go (Golang) Programming")</f>
        <v>Go (Golang) Programming</v>
      </c>
      <c r="D908" s="7" t="str">
        <f>IFERROR(__xludf.DUMMYFUNCTION("""COMPUTED_VALUE"""),"S067")</f>
        <v>S067</v>
      </c>
      <c r="E908" s="7" t="str">
        <f>IFERROR(__xludf.DUMMYFUNCTION("""COMPUTED_VALUE"""),"Spring Framework &amp; Spring Boot")</f>
        <v>Spring Framework &amp; Spring Boot</v>
      </c>
      <c r="F908" s="7" t="str">
        <f>IFERROR(__xludf.DUMMYFUNCTION("""COMPUTED_VALUE"""),"S077 unlocks S067")</f>
        <v>S077 unlocks S067</v>
      </c>
    </row>
    <row r="909">
      <c r="A909" s="7" t="str">
        <f>IFERROR(__xludf.DUMMYFUNCTION("""COMPUTED_VALUE"""),"PE0908")</f>
        <v>PE0908</v>
      </c>
      <c r="B909" s="7" t="str">
        <f>IFERROR(__xludf.DUMMYFUNCTION("""COMPUTED_VALUE"""),"S077")</f>
        <v>S077</v>
      </c>
      <c r="C909" s="7" t="str">
        <f>IFERROR(__xludf.DUMMYFUNCTION("""COMPUTED_VALUE"""),"Go (Golang) Programming")</f>
        <v>Go (Golang) Programming</v>
      </c>
      <c r="D909" s="7" t="str">
        <f>IFERROR(__xludf.DUMMYFUNCTION("""COMPUTED_VALUE"""),"S074")</f>
        <v>S074</v>
      </c>
      <c r="E909" s="7" t="str">
        <f>IFERROR(__xludf.DUMMYFUNCTION("""COMPUTED_VALUE"""),"NestJS Enterprise Node Framework")</f>
        <v>NestJS Enterprise Node Framework</v>
      </c>
      <c r="F909" s="7" t="str">
        <f>IFERROR(__xludf.DUMMYFUNCTION("""COMPUTED_VALUE"""),"S077 unlocks S074")</f>
        <v>S077 unlocks S074</v>
      </c>
    </row>
    <row r="910">
      <c r="A910" s="7" t="str">
        <f>IFERROR(__xludf.DUMMYFUNCTION("""COMPUTED_VALUE"""),"PE0909")</f>
        <v>PE0909</v>
      </c>
      <c r="B910" s="7" t="str">
        <f>IFERROR(__xludf.DUMMYFUNCTION("""COMPUTED_VALUE"""),"S077")</f>
        <v>S077</v>
      </c>
      <c r="C910" s="7" t="str">
        <f>IFERROR(__xludf.DUMMYFUNCTION("""COMPUTED_VALUE"""),"Go (Golang) Programming")</f>
        <v>Go (Golang) Programming</v>
      </c>
      <c r="D910" s="7" t="str">
        <f>IFERROR(__xludf.DUMMYFUNCTION("""COMPUTED_VALUE"""),"S076")</f>
        <v>S076</v>
      </c>
      <c r="E910" s="7" t="str">
        <f>IFERROR(__xludf.DUMMYFUNCTION("""COMPUTED_VALUE"""),"ASP.NET Core Web APIs")</f>
        <v>ASP.NET Core Web APIs</v>
      </c>
      <c r="F910" s="7" t="str">
        <f>IFERROR(__xludf.DUMMYFUNCTION("""COMPUTED_VALUE"""),"S077 unlocks S076")</f>
        <v>S077 unlocks S076</v>
      </c>
    </row>
    <row r="911">
      <c r="A911" s="7" t="str">
        <f>IFERROR(__xludf.DUMMYFUNCTION("""COMPUTED_VALUE"""),"PE0910")</f>
        <v>PE0910</v>
      </c>
      <c r="B911" s="7" t="str">
        <f>IFERROR(__xludf.DUMMYFUNCTION("""COMPUTED_VALUE"""),"S077")</f>
        <v>S077</v>
      </c>
      <c r="C911" s="7" t="str">
        <f>IFERROR(__xludf.DUMMYFUNCTION("""COMPUTED_VALUE"""),"Go (Golang) Programming")</f>
        <v>Go (Golang) Programming</v>
      </c>
      <c r="D911" s="7" t="str">
        <f>IFERROR(__xludf.DUMMYFUNCTION("""COMPUTED_VALUE"""),"S078")</f>
        <v>S078</v>
      </c>
      <c r="E911" s="7" t="str">
        <f>IFERROR(__xludf.DUMMYFUNCTION("""COMPUTED_VALUE"""),"Rust Systems &amp; Web Programming")</f>
        <v>Rust Systems &amp; Web Programming</v>
      </c>
      <c r="F911" s="7" t="str">
        <f>IFERROR(__xludf.DUMMYFUNCTION("""COMPUTED_VALUE"""),"S077 unlocks S078")</f>
        <v>S077 unlocks S078</v>
      </c>
    </row>
    <row r="912">
      <c r="A912" s="7" t="str">
        <f>IFERROR(__xludf.DUMMYFUNCTION("""COMPUTED_VALUE"""),"PE0911")</f>
        <v>PE0911</v>
      </c>
      <c r="B912" s="7" t="str">
        <f>IFERROR(__xludf.DUMMYFUNCTION("""COMPUTED_VALUE"""),"S077")</f>
        <v>S077</v>
      </c>
      <c r="C912" s="7" t="str">
        <f>IFERROR(__xludf.DUMMYFUNCTION("""COMPUTED_VALUE"""),"Go (Golang) Programming")</f>
        <v>Go (Golang) Programming</v>
      </c>
      <c r="D912" s="7" t="str">
        <f>IFERROR(__xludf.DUMMYFUNCTION("""COMPUTED_VALUE"""),"S084")</f>
        <v>S084</v>
      </c>
      <c r="E912" s="7" t="str">
        <f>IFERROR(__xludf.DUMMYFUNCTION("""COMPUTED_VALUE"""),"Scala &amp; Functional JVM Programming")</f>
        <v>Scala &amp; Functional JVM Programming</v>
      </c>
      <c r="F912" s="7" t="str">
        <f>IFERROR(__xludf.DUMMYFUNCTION("""COMPUTED_VALUE"""),"S077 unlocks S084")</f>
        <v>S077 unlocks S084</v>
      </c>
    </row>
    <row r="913">
      <c r="A913" s="7" t="str">
        <f>IFERROR(__xludf.DUMMYFUNCTION("""COMPUTED_VALUE"""),"PE0912")</f>
        <v>PE0912</v>
      </c>
      <c r="B913" s="7" t="str">
        <f>IFERROR(__xludf.DUMMYFUNCTION("""COMPUTED_VALUE"""),"S077")</f>
        <v>S077</v>
      </c>
      <c r="C913" s="7" t="str">
        <f>IFERROR(__xludf.DUMMYFUNCTION("""COMPUTED_VALUE"""),"Go (Golang) Programming")</f>
        <v>Go (Golang) Programming</v>
      </c>
      <c r="D913" s="7" t="str">
        <f>IFERROR(__xludf.DUMMYFUNCTION("""COMPUTED_VALUE"""),"S085")</f>
        <v>S085</v>
      </c>
      <c r="E913" s="7" t="str">
        <f>IFERROR(__xludf.DUMMYFUNCTION("""COMPUTED_VALUE"""),"Elixir &amp; Phoenix Framework")</f>
        <v>Elixir &amp; Phoenix Framework</v>
      </c>
      <c r="F913" s="7" t="str">
        <f>IFERROR(__xludf.DUMMYFUNCTION("""COMPUTED_VALUE"""),"S077 unlocks S085")</f>
        <v>S077 unlocks S085</v>
      </c>
    </row>
    <row r="914">
      <c r="A914" s="7" t="str">
        <f>IFERROR(__xludf.DUMMYFUNCTION("""COMPUTED_VALUE"""),"PE0913")</f>
        <v>PE0913</v>
      </c>
      <c r="B914" s="7" t="str">
        <f>IFERROR(__xludf.DUMMYFUNCTION("""COMPUTED_VALUE"""),"S080")</f>
        <v>S080</v>
      </c>
      <c r="C914" s="7" t="str">
        <f>IFERROR(__xludf.DUMMYFUNCTION("""COMPUTED_VALUE"""),"Laravel PHP Framework")</f>
        <v>Laravel PHP Framework</v>
      </c>
      <c r="D914" s="7" t="str">
        <f>IFERROR(__xludf.DUMMYFUNCTION("""COMPUTED_VALUE"""),"S067")</f>
        <v>S067</v>
      </c>
      <c r="E914" s="7" t="str">
        <f>IFERROR(__xludf.DUMMYFUNCTION("""COMPUTED_VALUE"""),"Spring Framework &amp; Spring Boot")</f>
        <v>Spring Framework &amp; Spring Boot</v>
      </c>
      <c r="F914" s="7" t="str">
        <f>IFERROR(__xludf.DUMMYFUNCTION("""COMPUTED_VALUE"""),"S080 unlocks S067")</f>
        <v>S080 unlocks S067</v>
      </c>
    </row>
    <row r="915">
      <c r="A915" s="7" t="str">
        <f>IFERROR(__xludf.DUMMYFUNCTION("""COMPUTED_VALUE"""),"PE0914")</f>
        <v>PE0914</v>
      </c>
      <c r="B915" s="7" t="str">
        <f>IFERROR(__xludf.DUMMYFUNCTION("""COMPUTED_VALUE"""),"S080")</f>
        <v>S080</v>
      </c>
      <c r="C915" s="7" t="str">
        <f>IFERROR(__xludf.DUMMYFUNCTION("""COMPUTED_VALUE"""),"Laravel PHP Framework")</f>
        <v>Laravel PHP Framework</v>
      </c>
      <c r="D915" s="7" t="str">
        <f>IFERROR(__xludf.DUMMYFUNCTION("""COMPUTED_VALUE"""),"S074")</f>
        <v>S074</v>
      </c>
      <c r="E915" s="7" t="str">
        <f>IFERROR(__xludf.DUMMYFUNCTION("""COMPUTED_VALUE"""),"NestJS Enterprise Node Framework")</f>
        <v>NestJS Enterprise Node Framework</v>
      </c>
      <c r="F915" s="7" t="str">
        <f>IFERROR(__xludf.DUMMYFUNCTION("""COMPUTED_VALUE"""),"S080 unlocks S074")</f>
        <v>S080 unlocks S074</v>
      </c>
    </row>
    <row r="916">
      <c r="A916" s="7" t="str">
        <f>IFERROR(__xludf.DUMMYFUNCTION("""COMPUTED_VALUE"""),"PE0915")</f>
        <v>PE0915</v>
      </c>
      <c r="B916" s="7" t="str">
        <f>IFERROR(__xludf.DUMMYFUNCTION("""COMPUTED_VALUE"""),"S080")</f>
        <v>S080</v>
      </c>
      <c r="C916" s="7" t="str">
        <f>IFERROR(__xludf.DUMMYFUNCTION("""COMPUTED_VALUE"""),"Laravel PHP Framework")</f>
        <v>Laravel PHP Framework</v>
      </c>
      <c r="D916" s="7" t="str">
        <f>IFERROR(__xludf.DUMMYFUNCTION("""COMPUTED_VALUE"""),"S076")</f>
        <v>S076</v>
      </c>
      <c r="E916" s="7" t="str">
        <f>IFERROR(__xludf.DUMMYFUNCTION("""COMPUTED_VALUE"""),"ASP.NET Core Web APIs")</f>
        <v>ASP.NET Core Web APIs</v>
      </c>
      <c r="F916" s="7" t="str">
        <f>IFERROR(__xludf.DUMMYFUNCTION("""COMPUTED_VALUE"""),"S080 unlocks S076")</f>
        <v>S080 unlocks S076</v>
      </c>
    </row>
    <row r="917">
      <c r="A917" s="7" t="str">
        <f>IFERROR(__xludf.DUMMYFUNCTION("""COMPUTED_VALUE"""),"PE0916")</f>
        <v>PE0916</v>
      </c>
      <c r="B917" s="7" t="str">
        <f>IFERROR(__xludf.DUMMYFUNCTION("""COMPUTED_VALUE"""),"S080")</f>
        <v>S080</v>
      </c>
      <c r="C917" s="7" t="str">
        <f>IFERROR(__xludf.DUMMYFUNCTION("""COMPUTED_VALUE"""),"Laravel PHP Framework")</f>
        <v>Laravel PHP Framework</v>
      </c>
      <c r="D917" s="7" t="str">
        <f>IFERROR(__xludf.DUMMYFUNCTION("""COMPUTED_VALUE"""),"S078")</f>
        <v>S078</v>
      </c>
      <c r="E917" s="7" t="str">
        <f>IFERROR(__xludf.DUMMYFUNCTION("""COMPUTED_VALUE"""),"Rust Systems &amp; Web Programming")</f>
        <v>Rust Systems &amp; Web Programming</v>
      </c>
      <c r="F917" s="7" t="str">
        <f>IFERROR(__xludf.DUMMYFUNCTION("""COMPUTED_VALUE"""),"S080 unlocks S078")</f>
        <v>S080 unlocks S078</v>
      </c>
    </row>
    <row r="918">
      <c r="A918" s="7" t="str">
        <f>IFERROR(__xludf.DUMMYFUNCTION("""COMPUTED_VALUE"""),"PE0917")</f>
        <v>PE0917</v>
      </c>
      <c r="B918" s="7" t="str">
        <f>IFERROR(__xludf.DUMMYFUNCTION("""COMPUTED_VALUE"""),"S080")</f>
        <v>S080</v>
      </c>
      <c r="C918" s="7" t="str">
        <f>IFERROR(__xludf.DUMMYFUNCTION("""COMPUTED_VALUE"""),"Laravel PHP Framework")</f>
        <v>Laravel PHP Framework</v>
      </c>
      <c r="D918" s="7" t="str">
        <f>IFERROR(__xludf.DUMMYFUNCTION("""COMPUTED_VALUE"""),"S084")</f>
        <v>S084</v>
      </c>
      <c r="E918" s="7" t="str">
        <f>IFERROR(__xludf.DUMMYFUNCTION("""COMPUTED_VALUE"""),"Scala &amp; Functional JVM Programming")</f>
        <v>Scala &amp; Functional JVM Programming</v>
      </c>
      <c r="F918" s="7" t="str">
        <f>IFERROR(__xludf.DUMMYFUNCTION("""COMPUTED_VALUE"""),"S080 unlocks S084")</f>
        <v>S080 unlocks S084</v>
      </c>
    </row>
    <row r="919">
      <c r="A919" s="7" t="str">
        <f>IFERROR(__xludf.DUMMYFUNCTION("""COMPUTED_VALUE"""),"PE0918")</f>
        <v>PE0918</v>
      </c>
      <c r="B919" s="7" t="str">
        <f>IFERROR(__xludf.DUMMYFUNCTION("""COMPUTED_VALUE"""),"S080")</f>
        <v>S080</v>
      </c>
      <c r="C919" s="7" t="str">
        <f>IFERROR(__xludf.DUMMYFUNCTION("""COMPUTED_VALUE"""),"Laravel PHP Framework")</f>
        <v>Laravel PHP Framework</v>
      </c>
      <c r="D919" s="7" t="str">
        <f>IFERROR(__xludf.DUMMYFUNCTION("""COMPUTED_VALUE"""),"S085")</f>
        <v>S085</v>
      </c>
      <c r="E919" s="7" t="str">
        <f>IFERROR(__xludf.DUMMYFUNCTION("""COMPUTED_VALUE"""),"Elixir &amp; Phoenix Framework")</f>
        <v>Elixir &amp; Phoenix Framework</v>
      </c>
      <c r="F919" s="7" t="str">
        <f>IFERROR(__xludf.DUMMYFUNCTION("""COMPUTED_VALUE"""),"S080 unlocks S085")</f>
        <v>S080 unlocks S085</v>
      </c>
    </row>
    <row r="920">
      <c r="A920" s="7" t="str">
        <f>IFERROR(__xludf.DUMMYFUNCTION("""COMPUTED_VALUE"""),"PE0919")</f>
        <v>PE0919</v>
      </c>
      <c r="B920" s="7" t="str">
        <f>IFERROR(__xludf.DUMMYFUNCTION("""COMPUTED_VALUE"""),"S081")</f>
        <v>S081</v>
      </c>
      <c r="C920" s="7" t="str">
        <f>IFERROR(__xludf.DUMMYFUNCTION("""COMPUTED_VALUE"""),"Ruby &amp; Ruby on Rails")</f>
        <v>Ruby &amp; Ruby on Rails</v>
      </c>
      <c r="D920" s="7" t="str">
        <f>IFERROR(__xludf.DUMMYFUNCTION("""COMPUTED_VALUE"""),"S067")</f>
        <v>S067</v>
      </c>
      <c r="E920" s="7" t="str">
        <f>IFERROR(__xludf.DUMMYFUNCTION("""COMPUTED_VALUE"""),"Spring Framework &amp; Spring Boot")</f>
        <v>Spring Framework &amp; Spring Boot</v>
      </c>
      <c r="F920" s="7" t="str">
        <f>IFERROR(__xludf.DUMMYFUNCTION("""COMPUTED_VALUE"""),"S081 unlocks S067")</f>
        <v>S081 unlocks S067</v>
      </c>
    </row>
    <row r="921">
      <c r="A921" s="7" t="str">
        <f>IFERROR(__xludf.DUMMYFUNCTION("""COMPUTED_VALUE"""),"PE0920")</f>
        <v>PE0920</v>
      </c>
      <c r="B921" s="7" t="str">
        <f>IFERROR(__xludf.DUMMYFUNCTION("""COMPUTED_VALUE"""),"S081")</f>
        <v>S081</v>
      </c>
      <c r="C921" s="7" t="str">
        <f>IFERROR(__xludf.DUMMYFUNCTION("""COMPUTED_VALUE"""),"Ruby &amp; Ruby on Rails")</f>
        <v>Ruby &amp; Ruby on Rails</v>
      </c>
      <c r="D921" s="7" t="str">
        <f>IFERROR(__xludf.DUMMYFUNCTION("""COMPUTED_VALUE"""),"S074")</f>
        <v>S074</v>
      </c>
      <c r="E921" s="7" t="str">
        <f>IFERROR(__xludf.DUMMYFUNCTION("""COMPUTED_VALUE"""),"NestJS Enterprise Node Framework")</f>
        <v>NestJS Enterprise Node Framework</v>
      </c>
      <c r="F921" s="7" t="str">
        <f>IFERROR(__xludf.DUMMYFUNCTION("""COMPUTED_VALUE"""),"S081 unlocks S074")</f>
        <v>S081 unlocks S074</v>
      </c>
    </row>
    <row r="922">
      <c r="A922" s="7" t="str">
        <f>IFERROR(__xludf.DUMMYFUNCTION("""COMPUTED_VALUE"""),"PE0921")</f>
        <v>PE0921</v>
      </c>
      <c r="B922" s="7" t="str">
        <f>IFERROR(__xludf.DUMMYFUNCTION("""COMPUTED_VALUE"""),"S081")</f>
        <v>S081</v>
      </c>
      <c r="C922" s="7" t="str">
        <f>IFERROR(__xludf.DUMMYFUNCTION("""COMPUTED_VALUE"""),"Ruby &amp; Ruby on Rails")</f>
        <v>Ruby &amp; Ruby on Rails</v>
      </c>
      <c r="D922" s="7" t="str">
        <f>IFERROR(__xludf.DUMMYFUNCTION("""COMPUTED_VALUE"""),"S076")</f>
        <v>S076</v>
      </c>
      <c r="E922" s="7" t="str">
        <f>IFERROR(__xludf.DUMMYFUNCTION("""COMPUTED_VALUE"""),"ASP.NET Core Web APIs")</f>
        <v>ASP.NET Core Web APIs</v>
      </c>
      <c r="F922" s="7" t="str">
        <f>IFERROR(__xludf.DUMMYFUNCTION("""COMPUTED_VALUE"""),"S081 unlocks S076")</f>
        <v>S081 unlocks S076</v>
      </c>
    </row>
    <row r="923">
      <c r="A923" s="7" t="str">
        <f>IFERROR(__xludf.DUMMYFUNCTION("""COMPUTED_VALUE"""),"PE0922")</f>
        <v>PE0922</v>
      </c>
      <c r="B923" s="7" t="str">
        <f>IFERROR(__xludf.DUMMYFUNCTION("""COMPUTED_VALUE"""),"S081")</f>
        <v>S081</v>
      </c>
      <c r="C923" s="7" t="str">
        <f>IFERROR(__xludf.DUMMYFUNCTION("""COMPUTED_VALUE"""),"Ruby &amp; Ruby on Rails")</f>
        <v>Ruby &amp; Ruby on Rails</v>
      </c>
      <c r="D923" s="7" t="str">
        <f>IFERROR(__xludf.DUMMYFUNCTION("""COMPUTED_VALUE"""),"S078")</f>
        <v>S078</v>
      </c>
      <c r="E923" s="7" t="str">
        <f>IFERROR(__xludf.DUMMYFUNCTION("""COMPUTED_VALUE"""),"Rust Systems &amp; Web Programming")</f>
        <v>Rust Systems &amp; Web Programming</v>
      </c>
      <c r="F923" s="7" t="str">
        <f>IFERROR(__xludf.DUMMYFUNCTION("""COMPUTED_VALUE"""),"S081 unlocks S078")</f>
        <v>S081 unlocks S078</v>
      </c>
    </row>
    <row r="924">
      <c r="A924" s="7" t="str">
        <f>IFERROR(__xludf.DUMMYFUNCTION("""COMPUTED_VALUE"""),"PE0923")</f>
        <v>PE0923</v>
      </c>
      <c r="B924" s="7" t="str">
        <f>IFERROR(__xludf.DUMMYFUNCTION("""COMPUTED_VALUE"""),"S081")</f>
        <v>S081</v>
      </c>
      <c r="C924" s="7" t="str">
        <f>IFERROR(__xludf.DUMMYFUNCTION("""COMPUTED_VALUE"""),"Ruby &amp; Ruby on Rails")</f>
        <v>Ruby &amp; Ruby on Rails</v>
      </c>
      <c r="D924" s="7" t="str">
        <f>IFERROR(__xludf.DUMMYFUNCTION("""COMPUTED_VALUE"""),"S084")</f>
        <v>S084</v>
      </c>
      <c r="E924" s="7" t="str">
        <f>IFERROR(__xludf.DUMMYFUNCTION("""COMPUTED_VALUE"""),"Scala &amp; Functional JVM Programming")</f>
        <v>Scala &amp; Functional JVM Programming</v>
      </c>
      <c r="F924" s="7" t="str">
        <f>IFERROR(__xludf.DUMMYFUNCTION("""COMPUTED_VALUE"""),"S081 unlocks S084")</f>
        <v>S081 unlocks S084</v>
      </c>
    </row>
    <row r="925">
      <c r="A925" s="7" t="str">
        <f>IFERROR(__xludf.DUMMYFUNCTION("""COMPUTED_VALUE"""),"PE0924")</f>
        <v>PE0924</v>
      </c>
      <c r="B925" s="7" t="str">
        <f>IFERROR(__xludf.DUMMYFUNCTION("""COMPUTED_VALUE"""),"S081")</f>
        <v>S081</v>
      </c>
      <c r="C925" s="7" t="str">
        <f>IFERROR(__xludf.DUMMYFUNCTION("""COMPUTED_VALUE"""),"Ruby &amp; Ruby on Rails")</f>
        <v>Ruby &amp; Ruby on Rails</v>
      </c>
      <c r="D925" s="7" t="str">
        <f>IFERROR(__xludf.DUMMYFUNCTION("""COMPUTED_VALUE"""),"S085")</f>
        <v>S085</v>
      </c>
      <c r="E925" s="7" t="str">
        <f>IFERROR(__xludf.DUMMYFUNCTION("""COMPUTED_VALUE"""),"Elixir &amp; Phoenix Framework")</f>
        <v>Elixir &amp; Phoenix Framework</v>
      </c>
      <c r="F925" s="7" t="str">
        <f>IFERROR(__xludf.DUMMYFUNCTION("""COMPUTED_VALUE"""),"S081 unlocks S085")</f>
        <v>S081 unlocks S085</v>
      </c>
    </row>
    <row r="926">
      <c r="A926" s="7" t="str">
        <f>IFERROR(__xludf.DUMMYFUNCTION("""COMPUTED_VALUE"""),"PE0925")</f>
        <v>PE0925</v>
      </c>
      <c r="B926" s="7" t="str">
        <f>IFERROR(__xludf.DUMMYFUNCTION("""COMPUTED_VALUE"""),"S083")</f>
        <v>S083</v>
      </c>
      <c r="C926" s="7" t="str">
        <f>IFERROR(__xludf.DUMMYFUNCTION("""COMPUTED_VALUE"""),"C++ &amp; Standard Template Library (STL)")</f>
        <v>C++ &amp; Standard Template Library (STL)</v>
      </c>
      <c r="D926" s="7" t="str">
        <f>IFERROR(__xludf.DUMMYFUNCTION("""COMPUTED_VALUE"""),"S067")</f>
        <v>S067</v>
      </c>
      <c r="E926" s="7" t="str">
        <f>IFERROR(__xludf.DUMMYFUNCTION("""COMPUTED_VALUE"""),"Spring Framework &amp; Spring Boot")</f>
        <v>Spring Framework &amp; Spring Boot</v>
      </c>
      <c r="F926" s="7" t="str">
        <f>IFERROR(__xludf.DUMMYFUNCTION("""COMPUTED_VALUE"""),"S083 unlocks S067")</f>
        <v>S083 unlocks S067</v>
      </c>
    </row>
    <row r="927">
      <c r="A927" s="7" t="str">
        <f>IFERROR(__xludf.DUMMYFUNCTION("""COMPUTED_VALUE"""),"PE0926")</f>
        <v>PE0926</v>
      </c>
      <c r="B927" s="7" t="str">
        <f>IFERROR(__xludf.DUMMYFUNCTION("""COMPUTED_VALUE"""),"S083")</f>
        <v>S083</v>
      </c>
      <c r="C927" s="7" t="str">
        <f>IFERROR(__xludf.DUMMYFUNCTION("""COMPUTED_VALUE"""),"C++ &amp; Standard Template Library (STL)")</f>
        <v>C++ &amp; Standard Template Library (STL)</v>
      </c>
      <c r="D927" s="7" t="str">
        <f>IFERROR(__xludf.DUMMYFUNCTION("""COMPUTED_VALUE"""),"S074")</f>
        <v>S074</v>
      </c>
      <c r="E927" s="7" t="str">
        <f>IFERROR(__xludf.DUMMYFUNCTION("""COMPUTED_VALUE"""),"NestJS Enterprise Node Framework")</f>
        <v>NestJS Enterprise Node Framework</v>
      </c>
      <c r="F927" s="7" t="str">
        <f>IFERROR(__xludf.DUMMYFUNCTION("""COMPUTED_VALUE"""),"S083 unlocks S074")</f>
        <v>S083 unlocks S074</v>
      </c>
    </row>
    <row r="928">
      <c r="A928" s="7" t="str">
        <f>IFERROR(__xludf.DUMMYFUNCTION("""COMPUTED_VALUE"""),"PE0927")</f>
        <v>PE0927</v>
      </c>
      <c r="B928" s="7" t="str">
        <f>IFERROR(__xludf.DUMMYFUNCTION("""COMPUTED_VALUE"""),"S083")</f>
        <v>S083</v>
      </c>
      <c r="C928" s="7" t="str">
        <f>IFERROR(__xludf.DUMMYFUNCTION("""COMPUTED_VALUE"""),"C++ &amp; Standard Template Library (STL)")</f>
        <v>C++ &amp; Standard Template Library (STL)</v>
      </c>
      <c r="D928" s="7" t="str">
        <f>IFERROR(__xludf.DUMMYFUNCTION("""COMPUTED_VALUE"""),"S076")</f>
        <v>S076</v>
      </c>
      <c r="E928" s="7" t="str">
        <f>IFERROR(__xludf.DUMMYFUNCTION("""COMPUTED_VALUE"""),"ASP.NET Core Web APIs")</f>
        <v>ASP.NET Core Web APIs</v>
      </c>
      <c r="F928" s="7" t="str">
        <f>IFERROR(__xludf.DUMMYFUNCTION("""COMPUTED_VALUE"""),"S083 unlocks S076")</f>
        <v>S083 unlocks S076</v>
      </c>
    </row>
    <row r="929">
      <c r="A929" s="7" t="str">
        <f>IFERROR(__xludf.DUMMYFUNCTION("""COMPUTED_VALUE"""),"PE0928")</f>
        <v>PE0928</v>
      </c>
      <c r="B929" s="7" t="str">
        <f>IFERROR(__xludf.DUMMYFUNCTION("""COMPUTED_VALUE"""),"S083")</f>
        <v>S083</v>
      </c>
      <c r="C929" s="7" t="str">
        <f>IFERROR(__xludf.DUMMYFUNCTION("""COMPUTED_VALUE"""),"C++ &amp; Standard Template Library (STL)")</f>
        <v>C++ &amp; Standard Template Library (STL)</v>
      </c>
      <c r="D929" s="7" t="str">
        <f>IFERROR(__xludf.DUMMYFUNCTION("""COMPUTED_VALUE"""),"S078")</f>
        <v>S078</v>
      </c>
      <c r="E929" s="7" t="str">
        <f>IFERROR(__xludf.DUMMYFUNCTION("""COMPUTED_VALUE"""),"Rust Systems &amp; Web Programming")</f>
        <v>Rust Systems &amp; Web Programming</v>
      </c>
      <c r="F929" s="7" t="str">
        <f>IFERROR(__xludf.DUMMYFUNCTION("""COMPUTED_VALUE"""),"S083 unlocks S078")</f>
        <v>S083 unlocks S078</v>
      </c>
    </row>
    <row r="930">
      <c r="A930" s="7" t="str">
        <f>IFERROR(__xludf.DUMMYFUNCTION("""COMPUTED_VALUE"""),"PE0929")</f>
        <v>PE0929</v>
      </c>
      <c r="B930" s="7" t="str">
        <f>IFERROR(__xludf.DUMMYFUNCTION("""COMPUTED_VALUE"""),"S083")</f>
        <v>S083</v>
      </c>
      <c r="C930" s="7" t="str">
        <f>IFERROR(__xludf.DUMMYFUNCTION("""COMPUTED_VALUE"""),"C++ &amp; Standard Template Library (STL)")</f>
        <v>C++ &amp; Standard Template Library (STL)</v>
      </c>
      <c r="D930" s="7" t="str">
        <f>IFERROR(__xludf.DUMMYFUNCTION("""COMPUTED_VALUE"""),"S084")</f>
        <v>S084</v>
      </c>
      <c r="E930" s="7" t="str">
        <f>IFERROR(__xludf.DUMMYFUNCTION("""COMPUTED_VALUE"""),"Scala &amp; Functional JVM Programming")</f>
        <v>Scala &amp; Functional JVM Programming</v>
      </c>
      <c r="F930" s="7" t="str">
        <f>IFERROR(__xludf.DUMMYFUNCTION("""COMPUTED_VALUE"""),"S083 unlocks S084")</f>
        <v>S083 unlocks S084</v>
      </c>
    </row>
    <row r="931">
      <c r="A931" s="7" t="str">
        <f>IFERROR(__xludf.DUMMYFUNCTION("""COMPUTED_VALUE"""),"PE0930")</f>
        <v>PE0930</v>
      </c>
      <c r="B931" s="7" t="str">
        <f>IFERROR(__xludf.DUMMYFUNCTION("""COMPUTED_VALUE"""),"S083")</f>
        <v>S083</v>
      </c>
      <c r="C931" s="7" t="str">
        <f>IFERROR(__xludf.DUMMYFUNCTION("""COMPUTED_VALUE"""),"C++ &amp; Standard Template Library (STL)")</f>
        <v>C++ &amp; Standard Template Library (STL)</v>
      </c>
      <c r="D931" s="7" t="str">
        <f>IFERROR(__xludf.DUMMYFUNCTION("""COMPUTED_VALUE"""),"S085")</f>
        <v>S085</v>
      </c>
      <c r="E931" s="7" t="str">
        <f>IFERROR(__xludf.DUMMYFUNCTION("""COMPUTED_VALUE"""),"Elixir &amp; Phoenix Framework")</f>
        <v>Elixir &amp; Phoenix Framework</v>
      </c>
      <c r="F931" s="7" t="str">
        <f>IFERROR(__xludf.DUMMYFUNCTION("""COMPUTED_VALUE"""),"S083 unlocks S085")</f>
        <v>S083 unlocks S085</v>
      </c>
    </row>
    <row r="932">
      <c r="A932" s="7" t="str">
        <f>IFERROR(__xludf.DUMMYFUNCTION("""COMPUTED_VALUE"""),"PE0931")</f>
        <v>PE0931</v>
      </c>
      <c r="B932" s="7" t="str">
        <f>IFERROR(__xludf.DUMMYFUNCTION("""COMPUTED_VALUE"""),"S087")</f>
        <v>S087</v>
      </c>
      <c r="C932" s="7" t="str">
        <f>IFERROR(__xludf.DUMMYFUNCTION("""COMPUTED_VALUE"""),"GraphQL Schema &amp; Resolvers (Apollo)")</f>
        <v>GraphQL Schema &amp; Resolvers (Apollo)</v>
      </c>
      <c r="D932" s="7" t="str">
        <f>IFERROR(__xludf.DUMMYFUNCTION("""COMPUTED_VALUE"""),"S088")</f>
        <v>S088</v>
      </c>
      <c r="E932" s="7" t="str">
        <f>IFERROR(__xludf.DUMMYFUNCTION("""COMPUTED_VALUE"""),"gRPC &amp; Protocol Buffers")</f>
        <v>gRPC &amp; Protocol Buffers</v>
      </c>
      <c r="F932" s="7" t="str">
        <f>IFERROR(__xludf.DUMMYFUNCTION("""COMPUTED_VALUE"""),"S087 unlocks S088")</f>
        <v>S087 unlocks S088</v>
      </c>
    </row>
    <row r="933">
      <c r="A933" s="7" t="str">
        <f>IFERROR(__xludf.DUMMYFUNCTION("""COMPUTED_VALUE"""),"PE0932")</f>
        <v>PE0932</v>
      </c>
      <c r="B933" s="7" t="str">
        <f>IFERROR(__xludf.DUMMYFUNCTION("""COMPUTED_VALUE"""),"S087")</f>
        <v>S087</v>
      </c>
      <c r="C933" s="7" t="str">
        <f>IFERROR(__xludf.DUMMYFUNCTION("""COMPUTED_VALUE"""),"GraphQL Schema &amp; Resolvers (Apollo)")</f>
        <v>GraphQL Schema &amp; Resolvers (Apollo)</v>
      </c>
      <c r="D933" s="7" t="str">
        <f>IFERROR(__xludf.DUMMYFUNCTION("""COMPUTED_VALUE"""),"S094")</f>
        <v>S094</v>
      </c>
      <c r="E933" s="7" t="str">
        <f>IFERROR(__xludf.DUMMYFUNCTION("""COMPUTED_VALUE"""),"API Gateways, Rate Limiting &amp; Throttling (Kong, Envoy)")</f>
        <v>API Gateways, Rate Limiting &amp; Throttling (Kong, Envoy)</v>
      </c>
      <c r="F933" s="7" t="str">
        <f>IFERROR(__xludf.DUMMYFUNCTION("""COMPUTED_VALUE"""),"S087 unlocks S094")</f>
        <v>S087 unlocks S094</v>
      </c>
    </row>
    <row r="934">
      <c r="A934" s="7" t="str">
        <f>IFERROR(__xludf.DUMMYFUNCTION("""COMPUTED_VALUE"""),"PE0933")</f>
        <v>PE0933</v>
      </c>
      <c r="B934" s="7" t="str">
        <f>IFERROR(__xludf.DUMMYFUNCTION("""COMPUTED_VALUE"""),"S087")</f>
        <v>S087</v>
      </c>
      <c r="C934" s="7" t="str">
        <f>IFERROR(__xludf.DUMMYFUNCTION("""COMPUTED_VALUE"""),"GraphQL Schema &amp; Resolvers (Apollo)")</f>
        <v>GraphQL Schema &amp; Resolvers (Apollo)</v>
      </c>
      <c r="D934" s="7" t="str">
        <f>IFERROR(__xludf.DUMMYFUNCTION("""COMPUTED_VALUE"""),"S095")</f>
        <v>S095</v>
      </c>
      <c r="E934" s="7" t="str">
        <f>IFERROR(__xludf.DUMMYFUNCTION("""COMPUTED_VALUE"""),"Microservices Architecture &amp; Service Mesh")</f>
        <v>Microservices Architecture &amp; Service Mesh</v>
      </c>
      <c r="F934" s="7" t="str">
        <f>IFERROR(__xludf.DUMMYFUNCTION("""COMPUTED_VALUE"""),"S087 unlocks S095")</f>
        <v>S087 unlocks S095</v>
      </c>
    </row>
    <row r="935">
      <c r="A935" s="7" t="str">
        <f>IFERROR(__xludf.DUMMYFUNCTION("""COMPUTED_VALUE"""),"PE0934")</f>
        <v>PE0934</v>
      </c>
      <c r="B935" s="7" t="str">
        <f>IFERROR(__xludf.DUMMYFUNCTION("""COMPUTED_VALUE"""),"S087")</f>
        <v>S087</v>
      </c>
      <c r="C935" s="7" t="str">
        <f>IFERROR(__xludf.DUMMYFUNCTION("""COMPUTED_VALUE"""),"GraphQL Schema &amp; Resolvers (Apollo)")</f>
        <v>GraphQL Schema &amp; Resolvers (Apollo)</v>
      </c>
      <c r="D935" s="7" t="str">
        <f>IFERROR(__xludf.DUMMYFUNCTION("""COMPUTED_VALUE"""),"S096")</f>
        <v>S096</v>
      </c>
      <c r="E935" s="7" t="str">
        <f>IFERROR(__xludf.DUMMYFUNCTION("""COMPUTED_VALUE"""),"Event-Driven Architecture &amp; Pub/Sub Patterns")</f>
        <v>Event-Driven Architecture &amp; Pub/Sub Patterns</v>
      </c>
      <c r="F935" s="7" t="str">
        <f>IFERROR(__xludf.DUMMYFUNCTION("""COMPUTED_VALUE"""),"S087 unlocks S096")</f>
        <v>S087 unlocks S096</v>
      </c>
    </row>
    <row r="936">
      <c r="A936" s="7" t="str">
        <f>IFERROR(__xludf.DUMMYFUNCTION("""COMPUTED_VALUE"""),"PE0935")</f>
        <v>PE0935</v>
      </c>
      <c r="B936" s="7" t="str">
        <f>IFERROR(__xludf.DUMMYFUNCTION("""COMPUTED_VALUE"""),"S087")</f>
        <v>S087</v>
      </c>
      <c r="C936" s="7" t="str">
        <f>IFERROR(__xludf.DUMMYFUNCTION("""COMPUTED_VALUE"""),"GraphQL Schema &amp; Resolvers (Apollo)")</f>
        <v>GraphQL Schema &amp; Resolvers (Apollo)</v>
      </c>
      <c r="D936" s="7" t="str">
        <f>IFERROR(__xludf.DUMMYFUNCTION("""COMPUTED_VALUE"""),"S098")</f>
        <v>S098</v>
      </c>
      <c r="E936" s="7" t="str">
        <f>IFERROR(__xludf.DUMMYFUNCTION("""COMPUTED_VALUE"""),"Distributed Event Streaming (Apache Kafka)")</f>
        <v>Distributed Event Streaming (Apache Kafka)</v>
      </c>
      <c r="F936" s="7" t="str">
        <f>IFERROR(__xludf.DUMMYFUNCTION("""COMPUTED_VALUE"""),"S087 unlocks S098")</f>
        <v>S087 unlocks S098</v>
      </c>
    </row>
    <row r="937">
      <c r="A937" s="7" t="str">
        <f>IFERROR(__xludf.DUMMYFUNCTION("""COMPUTED_VALUE"""),"PE0936")</f>
        <v>PE0936</v>
      </c>
      <c r="B937" s="7" t="str">
        <f>IFERROR(__xludf.DUMMYFUNCTION("""COMPUTED_VALUE"""),"S087")</f>
        <v>S087</v>
      </c>
      <c r="C937" s="7" t="str">
        <f>IFERROR(__xludf.DUMMYFUNCTION("""COMPUTED_VALUE"""),"GraphQL Schema &amp; Resolvers (Apollo)")</f>
        <v>GraphQL Schema &amp; Resolvers (Apollo)</v>
      </c>
      <c r="D937" s="7" t="str">
        <f>IFERROR(__xludf.DUMMYFUNCTION("""COMPUTED_VALUE"""),"S100")</f>
        <v>S100</v>
      </c>
      <c r="E937" s="7" t="str">
        <f>IFERROR(__xludf.DUMMYFUNCTION("""COMPUTED_VALUE"""),"Multithreading, Concurrency &amp; Parallel Processing")</f>
        <v>Multithreading, Concurrency &amp; Parallel Processing</v>
      </c>
      <c r="F937" s="7" t="str">
        <f>IFERROR(__xludf.DUMMYFUNCTION("""COMPUTED_VALUE"""),"S087 unlocks S100")</f>
        <v>S087 unlocks S100</v>
      </c>
    </row>
    <row r="938">
      <c r="A938" s="7" t="str">
        <f>IFERROR(__xludf.DUMMYFUNCTION("""COMPUTED_VALUE"""),"PE0937")</f>
        <v>PE0937</v>
      </c>
      <c r="B938" s="7" t="str">
        <f>IFERROR(__xludf.DUMMYFUNCTION("""COMPUTED_VALUE"""),"S089")</f>
        <v>S089</v>
      </c>
      <c r="C938" s="7" t="str">
        <f>IFERROR(__xludf.DUMMYFUNCTION("""COMPUTED_VALUE"""),"WebSockets &amp; Real-Time Communication (Socket.io)")</f>
        <v>WebSockets &amp; Real-Time Communication (Socket.io)</v>
      </c>
      <c r="D938" s="7" t="str">
        <f>IFERROR(__xludf.DUMMYFUNCTION("""COMPUTED_VALUE"""),"S088")</f>
        <v>S088</v>
      </c>
      <c r="E938" s="7" t="str">
        <f>IFERROR(__xludf.DUMMYFUNCTION("""COMPUTED_VALUE"""),"gRPC &amp; Protocol Buffers")</f>
        <v>gRPC &amp; Protocol Buffers</v>
      </c>
      <c r="F938" s="7" t="str">
        <f>IFERROR(__xludf.DUMMYFUNCTION("""COMPUTED_VALUE"""),"S089 unlocks S088")</f>
        <v>S089 unlocks S088</v>
      </c>
    </row>
    <row r="939">
      <c r="A939" s="7" t="str">
        <f>IFERROR(__xludf.DUMMYFUNCTION("""COMPUTED_VALUE"""),"PE0938")</f>
        <v>PE0938</v>
      </c>
      <c r="B939" s="7" t="str">
        <f>IFERROR(__xludf.DUMMYFUNCTION("""COMPUTED_VALUE"""),"S089")</f>
        <v>S089</v>
      </c>
      <c r="C939" s="7" t="str">
        <f>IFERROR(__xludf.DUMMYFUNCTION("""COMPUTED_VALUE"""),"WebSockets &amp; Real-Time Communication (Socket.io)")</f>
        <v>WebSockets &amp; Real-Time Communication (Socket.io)</v>
      </c>
      <c r="D939" s="7" t="str">
        <f>IFERROR(__xludf.DUMMYFUNCTION("""COMPUTED_VALUE"""),"S094")</f>
        <v>S094</v>
      </c>
      <c r="E939" s="7" t="str">
        <f>IFERROR(__xludf.DUMMYFUNCTION("""COMPUTED_VALUE"""),"API Gateways, Rate Limiting &amp; Throttling (Kong, Envoy)")</f>
        <v>API Gateways, Rate Limiting &amp; Throttling (Kong, Envoy)</v>
      </c>
      <c r="F939" s="7" t="str">
        <f>IFERROR(__xludf.DUMMYFUNCTION("""COMPUTED_VALUE"""),"S089 unlocks S094")</f>
        <v>S089 unlocks S094</v>
      </c>
    </row>
    <row r="940">
      <c r="A940" s="7" t="str">
        <f>IFERROR(__xludf.DUMMYFUNCTION("""COMPUTED_VALUE"""),"PE0939")</f>
        <v>PE0939</v>
      </c>
      <c r="B940" s="7" t="str">
        <f>IFERROR(__xludf.DUMMYFUNCTION("""COMPUTED_VALUE"""),"S089")</f>
        <v>S089</v>
      </c>
      <c r="C940" s="7" t="str">
        <f>IFERROR(__xludf.DUMMYFUNCTION("""COMPUTED_VALUE"""),"WebSockets &amp; Real-Time Communication (Socket.io)")</f>
        <v>WebSockets &amp; Real-Time Communication (Socket.io)</v>
      </c>
      <c r="D940" s="7" t="str">
        <f>IFERROR(__xludf.DUMMYFUNCTION("""COMPUTED_VALUE"""),"S095")</f>
        <v>S095</v>
      </c>
      <c r="E940" s="7" t="str">
        <f>IFERROR(__xludf.DUMMYFUNCTION("""COMPUTED_VALUE"""),"Microservices Architecture &amp; Service Mesh")</f>
        <v>Microservices Architecture &amp; Service Mesh</v>
      </c>
      <c r="F940" s="7" t="str">
        <f>IFERROR(__xludf.DUMMYFUNCTION("""COMPUTED_VALUE"""),"S089 unlocks S095")</f>
        <v>S089 unlocks S095</v>
      </c>
    </row>
    <row r="941">
      <c r="A941" s="7" t="str">
        <f>IFERROR(__xludf.DUMMYFUNCTION("""COMPUTED_VALUE"""),"PE0940")</f>
        <v>PE0940</v>
      </c>
      <c r="B941" s="7" t="str">
        <f>IFERROR(__xludf.DUMMYFUNCTION("""COMPUTED_VALUE"""),"S089")</f>
        <v>S089</v>
      </c>
      <c r="C941" s="7" t="str">
        <f>IFERROR(__xludf.DUMMYFUNCTION("""COMPUTED_VALUE"""),"WebSockets &amp; Real-Time Communication (Socket.io)")</f>
        <v>WebSockets &amp; Real-Time Communication (Socket.io)</v>
      </c>
      <c r="D941" s="7" t="str">
        <f>IFERROR(__xludf.DUMMYFUNCTION("""COMPUTED_VALUE"""),"S096")</f>
        <v>S096</v>
      </c>
      <c r="E941" s="7" t="str">
        <f>IFERROR(__xludf.DUMMYFUNCTION("""COMPUTED_VALUE"""),"Event-Driven Architecture &amp; Pub/Sub Patterns")</f>
        <v>Event-Driven Architecture &amp; Pub/Sub Patterns</v>
      </c>
      <c r="F941" s="7" t="str">
        <f>IFERROR(__xludf.DUMMYFUNCTION("""COMPUTED_VALUE"""),"S089 unlocks S096")</f>
        <v>S089 unlocks S096</v>
      </c>
    </row>
    <row r="942">
      <c r="A942" s="7" t="str">
        <f>IFERROR(__xludf.DUMMYFUNCTION("""COMPUTED_VALUE"""),"PE0941")</f>
        <v>PE0941</v>
      </c>
      <c r="B942" s="7" t="str">
        <f>IFERROR(__xludf.DUMMYFUNCTION("""COMPUTED_VALUE"""),"S089")</f>
        <v>S089</v>
      </c>
      <c r="C942" s="7" t="str">
        <f>IFERROR(__xludf.DUMMYFUNCTION("""COMPUTED_VALUE"""),"WebSockets &amp; Real-Time Communication (Socket.io)")</f>
        <v>WebSockets &amp; Real-Time Communication (Socket.io)</v>
      </c>
      <c r="D942" s="7" t="str">
        <f>IFERROR(__xludf.DUMMYFUNCTION("""COMPUTED_VALUE"""),"S098")</f>
        <v>S098</v>
      </c>
      <c r="E942" s="7" t="str">
        <f>IFERROR(__xludf.DUMMYFUNCTION("""COMPUTED_VALUE"""),"Distributed Event Streaming (Apache Kafka)")</f>
        <v>Distributed Event Streaming (Apache Kafka)</v>
      </c>
      <c r="F942" s="7" t="str">
        <f>IFERROR(__xludf.DUMMYFUNCTION("""COMPUTED_VALUE"""),"S089 unlocks S098")</f>
        <v>S089 unlocks S098</v>
      </c>
    </row>
    <row r="943">
      <c r="A943" s="7" t="str">
        <f>IFERROR(__xludf.DUMMYFUNCTION("""COMPUTED_VALUE"""),"PE0942")</f>
        <v>PE0942</v>
      </c>
      <c r="B943" s="7" t="str">
        <f>IFERROR(__xludf.DUMMYFUNCTION("""COMPUTED_VALUE"""),"S089")</f>
        <v>S089</v>
      </c>
      <c r="C943" s="7" t="str">
        <f>IFERROR(__xludf.DUMMYFUNCTION("""COMPUTED_VALUE"""),"WebSockets &amp; Real-Time Communication (Socket.io)")</f>
        <v>WebSockets &amp; Real-Time Communication (Socket.io)</v>
      </c>
      <c r="D943" s="7" t="str">
        <f>IFERROR(__xludf.DUMMYFUNCTION("""COMPUTED_VALUE"""),"S100")</f>
        <v>S100</v>
      </c>
      <c r="E943" s="7" t="str">
        <f>IFERROR(__xludf.DUMMYFUNCTION("""COMPUTED_VALUE"""),"Multithreading, Concurrency &amp; Parallel Processing")</f>
        <v>Multithreading, Concurrency &amp; Parallel Processing</v>
      </c>
      <c r="F943" s="7" t="str">
        <f>IFERROR(__xludf.DUMMYFUNCTION("""COMPUTED_VALUE"""),"S089 unlocks S100")</f>
        <v>S089 unlocks S100</v>
      </c>
    </row>
    <row r="944">
      <c r="A944" s="7" t="str">
        <f>IFERROR(__xludf.DUMMYFUNCTION("""COMPUTED_VALUE"""),"PE0943")</f>
        <v>PE0943</v>
      </c>
      <c r="B944" s="7" t="str">
        <f>IFERROR(__xludf.DUMMYFUNCTION("""COMPUTED_VALUE"""),"S090")</f>
        <v>S090</v>
      </c>
      <c r="C944" s="7" t="str">
        <f>IFERROR(__xludf.DUMMYFUNCTION("""COMPUTED_VALUE"""),"Webhook Architecture &amp; Event Callbacks")</f>
        <v>Webhook Architecture &amp; Event Callbacks</v>
      </c>
      <c r="D944" s="7" t="str">
        <f>IFERROR(__xludf.DUMMYFUNCTION("""COMPUTED_VALUE"""),"S088")</f>
        <v>S088</v>
      </c>
      <c r="E944" s="7" t="str">
        <f>IFERROR(__xludf.DUMMYFUNCTION("""COMPUTED_VALUE"""),"gRPC &amp; Protocol Buffers")</f>
        <v>gRPC &amp; Protocol Buffers</v>
      </c>
      <c r="F944" s="7" t="str">
        <f>IFERROR(__xludf.DUMMYFUNCTION("""COMPUTED_VALUE"""),"S090 unlocks S088")</f>
        <v>S090 unlocks S088</v>
      </c>
    </row>
    <row r="945">
      <c r="A945" s="7" t="str">
        <f>IFERROR(__xludf.DUMMYFUNCTION("""COMPUTED_VALUE"""),"PE0944")</f>
        <v>PE0944</v>
      </c>
      <c r="B945" s="7" t="str">
        <f>IFERROR(__xludf.DUMMYFUNCTION("""COMPUTED_VALUE"""),"S090")</f>
        <v>S090</v>
      </c>
      <c r="C945" s="7" t="str">
        <f>IFERROR(__xludf.DUMMYFUNCTION("""COMPUTED_VALUE"""),"Webhook Architecture &amp; Event Callbacks")</f>
        <v>Webhook Architecture &amp; Event Callbacks</v>
      </c>
      <c r="D945" s="7" t="str">
        <f>IFERROR(__xludf.DUMMYFUNCTION("""COMPUTED_VALUE"""),"S094")</f>
        <v>S094</v>
      </c>
      <c r="E945" s="7" t="str">
        <f>IFERROR(__xludf.DUMMYFUNCTION("""COMPUTED_VALUE"""),"API Gateways, Rate Limiting &amp; Throttling (Kong, Envoy)")</f>
        <v>API Gateways, Rate Limiting &amp; Throttling (Kong, Envoy)</v>
      </c>
      <c r="F945" s="7" t="str">
        <f>IFERROR(__xludf.DUMMYFUNCTION("""COMPUTED_VALUE"""),"S090 unlocks S094")</f>
        <v>S090 unlocks S094</v>
      </c>
    </row>
    <row r="946">
      <c r="A946" s="7" t="str">
        <f>IFERROR(__xludf.DUMMYFUNCTION("""COMPUTED_VALUE"""),"PE0945")</f>
        <v>PE0945</v>
      </c>
      <c r="B946" s="7" t="str">
        <f>IFERROR(__xludf.DUMMYFUNCTION("""COMPUTED_VALUE"""),"S090")</f>
        <v>S090</v>
      </c>
      <c r="C946" s="7" t="str">
        <f>IFERROR(__xludf.DUMMYFUNCTION("""COMPUTED_VALUE"""),"Webhook Architecture &amp; Event Callbacks")</f>
        <v>Webhook Architecture &amp; Event Callbacks</v>
      </c>
      <c r="D946" s="7" t="str">
        <f>IFERROR(__xludf.DUMMYFUNCTION("""COMPUTED_VALUE"""),"S095")</f>
        <v>S095</v>
      </c>
      <c r="E946" s="7" t="str">
        <f>IFERROR(__xludf.DUMMYFUNCTION("""COMPUTED_VALUE"""),"Microservices Architecture &amp; Service Mesh")</f>
        <v>Microservices Architecture &amp; Service Mesh</v>
      </c>
      <c r="F946" s="7" t="str">
        <f>IFERROR(__xludf.DUMMYFUNCTION("""COMPUTED_VALUE"""),"S090 unlocks S095")</f>
        <v>S090 unlocks S095</v>
      </c>
    </row>
    <row r="947">
      <c r="A947" s="7" t="str">
        <f>IFERROR(__xludf.DUMMYFUNCTION("""COMPUTED_VALUE"""),"PE0946")</f>
        <v>PE0946</v>
      </c>
      <c r="B947" s="7" t="str">
        <f>IFERROR(__xludf.DUMMYFUNCTION("""COMPUTED_VALUE"""),"S090")</f>
        <v>S090</v>
      </c>
      <c r="C947" s="7" t="str">
        <f>IFERROR(__xludf.DUMMYFUNCTION("""COMPUTED_VALUE"""),"Webhook Architecture &amp; Event Callbacks")</f>
        <v>Webhook Architecture &amp; Event Callbacks</v>
      </c>
      <c r="D947" s="7" t="str">
        <f>IFERROR(__xludf.DUMMYFUNCTION("""COMPUTED_VALUE"""),"S096")</f>
        <v>S096</v>
      </c>
      <c r="E947" s="7" t="str">
        <f>IFERROR(__xludf.DUMMYFUNCTION("""COMPUTED_VALUE"""),"Event-Driven Architecture &amp; Pub/Sub Patterns")</f>
        <v>Event-Driven Architecture &amp; Pub/Sub Patterns</v>
      </c>
      <c r="F947" s="7" t="str">
        <f>IFERROR(__xludf.DUMMYFUNCTION("""COMPUTED_VALUE"""),"S090 unlocks S096")</f>
        <v>S090 unlocks S096</v>
      </c>
    </row>
    <row r="948">
      <c r="A948" s="7" t="str">
        <f>IFERROR(__xludf.DUMMYFUNCTION("""COMPUTED_VALUE"""),"PE0947")</f>
        <v>PE0947</v>
      </c>
      <c r="B948" s="7" t="str">
        <f>IFERROR(__xludf.DUMMYFUNCTION("""COMPUTED_VALUE"""),"S090")</f>
        <v>S090</v>
      </c>
      <c r="C948" s="7" t="str">
        <f>IFERROR(__xludf.DUMMYFUNCTION("""COMPUTED_VALUE"""),"Webhook Architecture &amp; Event Callbacks")</f>
        <v>Webhook Architecture &amp; Event Callbacks</v>
      </c>
      <c r="D948" s="7" t="str">
        <f>IFERROR(__xludf.DUMMYFUNCTION("""COMPUTED_VALUE"""),"S098")</f>
        <v>S098</v>
      </c>
      <c r="E948" s="7" t="str">
        <f>IFERROR(__xludf.DUMMYFUNCTION("""COMPUTED_VALUE"""),"Distributed Event Streaming (Apache Kafka)")</f>
        <v>Distributed Event Streaming (Apache Kafka)</v>
      </c>
      <c r="F948" s="7" t="str">
        <f>IFERROR(__xludf.DUMMYFUNCTION("""COMPUTED_VALUE"""),"S090 unlocks S098")</f>
        <v>S090 unlocks S098</v>
      </c>
    </row>
    <row r="949">
      <c r="A949" s="7" t="str">
        <f>IFERROR(__xludf.DUMMYFUNCTION("""COMPUTED_VALUE"""),"PE0948")</f>
        <v>PE0948</v>
      </c>
      <c r="B949" s="7" t="str">
        <f>IFERROR(__xludf.DUMMYFUNCTION("""COMPUTED_VALUE"""),"S090")</f>
        <v>S090</v>
      </c>
      <c r="C949" s="7" t="str">
        <f>IFERROR(__xludf.DUMMYFUNCTION("""COMPUTED_VALUE"""),"Webhook Architecture &amp; Event Callbacks")</f>
        <v>Webhook Architecture &amp; Event Callbacks</v>
      </c>
      <c r="D949" s="7" t="str">
        <f>IFERROR(__xludf.DUMMYFUNCTION("""COMPUTED_VALUE"""),"S100")</f>
        <v>S100</v>
      </c>
      <c r="E949" s="7" t="str">
        <f>IFERROR(__xludf.DUMMYFUNCTION("""COMPUTED_VALUE"""),"Multithreading, Concurrency &amp; Parallel Processing")</f>
        <v>Multithreading, Concurrency &amp; Parallel Processing</v>
      </c>
      <c r="F949" s="7" t="str">
        <f>IFERROR(__xludf.DUMMYFUNCTION("""COMPUTED_VALUE"""),"S090 unlocks S100")</f>
        <v>S090 unlocks S100</v>
      </c>
    </row>
    <row r="950">
      <c r="A950" s="7" t="str">
        <f>IFERROR(__xludf.DUMMYFUNCTION("""COMPUTED_VALUE"""),"PE0949")</f>
        <v>PE0949</v>
      </c>
      <c r="B950" s="7" t="str">
        <f>IFERROR(__xludf.DUMMYFUNCTION("""COMPUTED_VALUE"""),"S092")</f>
        <v>S092</v>
      </c>
      <c r="C950" s="7" t="str">
        <f>IFERROR(__xludf.DUMMYFUNCTION("""COMPUTED_VALUE"""),"OAuth 2.0, OpenID Connect (OIDC) &amp; SSO")</f>
        <v>OAuth 2.0, OpenID Connect (OIDC) &amp; SSO</v>
      </c>
      <c r="D950" s="7" t="str">
        <f>IFERROR(__xludf.DUMMYFUNCTION("""COMPUTED_VALUE"""),"S088")</f>
        <v>S088</v>
      </c>
      <c r="E950" s="7" t="str">
        <f>IFERROR(__xludf.DUMMYFUNCTION("""COMPUTED_VALUE"""),"gRPC &amp; Protocol Buffers")</f>
        <v>gRPC &amp; Protocol Buffers</v>
      </c>
      <c r="F950" s="7" t="str">
        <f>IFERROR(__xludf.DUMMYFUNCTION("""COMPUTED_VALUE"""),"S092 unlocks S088")</f>
        <v>S092 unlocks S088</v>
      </c>
    </row>
    <row r="951">
      <c r="A951" s="7" t="str">
        <f>IFERROR(__xludf.DUMMYFUNCTION("""COMPUTED_VALUE"""),"PE0950")</f>
        <v>PE0950</v>
      </c>
      <c r="B951" s="7" t="str">
        <f>IFERROR(__xludf.DUMMYFUNCTION("""COMPUTED_VALUE"""),"S092")</f>
        <v>S092</v>
      </c>
      <c r="C951" s="7" t="str">
        <f>IFERROR(__xludf.DUMMYFUNCTION("""COMPUTED_VALUE"""),"OAuth 2.0, OpenID Connect (OIDC) &amp; SSO")</f>
        <v>OAuth 2.0, OpenID Connect (OIDC) &amp; SSO</v>
      </c>
      <c r="D951" s="7" t="str">
        <f>IFERROR(__xludf.DUMMYFUNCTION("""COMPUTED_VALUE"""),"S094")</f>
        <v>S094</v>
      </c>
      <c r="E951" s="7" t="str">
        <f>IFERROR(__xludf.DUMMYFUNCTION("""COMPUTED_VALUE"""),"API Gateways, Rate Limiting &amp; Throttling (Kong, Envoy)")</f>
        <v>API Gateways, Rate Limiting &amp; Throttling (Kong, Envoy)</v>
      </c>
      <c r="F951" s="7" t="str">
        <f>IFERROR(__xludf.DUMMYFUNCTION("""COMPUTED_VALUE"""),"S092 unlocks S094")</f>
        <v>S092 unlocks S094</v>
      </c>
    </row>
    <row r="952">
      <c r="A952" s="7" t="str">
        <f>IFERROR(__xludf.DUMMYFUNCTION("""COMPUTED_VALUE"""),"PE0951")</f>
        <v>PE0951</v>
      </c>
      <c r="B952" s="7" t="str">
        <f>IFERROR(__xludf.DUMMYFUNCTION("""COMPUTED_VALUE"""),"S092")</f>
        <v>S092</v>
      </c>
      <c r="C952" s="7" t="str">
        <f>IFERROR(__xludf.DUMMYFUNCTION("""COMPUTED_VALUE"""),"OAuth 2.0, OpenID Connect (OIDC) &amp; SSO")</f>
        <v>OAuth 2.0, OpenID Connect (OIDC) &amp; SSO</v>
      </c>
      <c r="D952" s="7" t="str">
        <f>IFERROR(__xludf.DUMMYFUNCTION("""COMPUTED_VALUE"""),"S095")</f>
        <v>S095</v>
      </c>
      <c r="E952" s="7" t="str">
        <f>IFERROR(__xludf.DUMMYFUNCTION("""COMPUTED_VALUE"""),"Microservices Architecture &amp; Service Mesh")</f>
        <v>Microservices Architecture &amp; Service Mesh</v>
      </c>
      <c r="F952" s="7" t="str">
        <f>IFERROR(__xludf.DUMMYFUNCTION("""COMPUTED_VALUE"""),"S092 unlocks S095")</f>
        <v>S092 unlocks S095</v>
      </c>
    </row>
    <row r="953">
      <c r="A953" s="7" t="str">
        <f>IFERROR(__xludf.DUMMYFUNCTION("""COMPUTED_VALUE"""),"PE0952")</f>
        <v>PE0952</v>
      </c>
      <c r="B953" s="7" t="str">
        <f>IFERROR(__xludf.DUMMYFUNCTION("""COMPUTED_VALUE"""),"S092")</f>
        <v>S092</v>
      </c>
      <c r="C953" s="7" t="str">
        <f>IFERROR(__xludf.DUMMYFUNCTION("""COMPUTED_VALUE"""),"OAuth 2.0, OpenID Connect (OIDC) &amp; SSO")</f>
        <v>OAuth 2.0, OpenID Connect (OIDC) &amp; SSO</v>
      </c>
      <c r="D953" s="7" t="str">
        <f>IFERROR(__xludf.DUMMYFUNCTION("""COMPUTED_VALUE"""),"S096")</f>
        <v>S096</v>
      </c>
      <c r="E953" s="7" t="str">
        <f>IFERROR(__xludf.DUMMYFUNCTION("""COMPUTED_VALUE"""),"Event-Driven Architecture &amp; Pub/Sub Patterns")</f>
        <v>Event-Driven Architecture &amp; Pub/Sub Patterns</v>
      </c>
      <c r="F953" s="7" t="str">
        <f>IFERROR(__xludf.DUMMYFUNCTION("""COMPUTED_VALUE"""),"S092 unlocks S096")</f>
        <v>S092 unlocks S096</v>
      </c>
    </row>
    <row r="954">
      <c r="A954" s="7" t="str">
        <f>IFERROR(__xludf.DUMMYFUNCTION("""COMPUTED_VALUE"""),"PE0953")</f>
        <v>PE0953</v>
      </c>
      <c r="B954" s="7" t="str">
        <f>IFERROR(__xludf.DUMMYFUNCTION("""COMPUTED_VALUE"""),"S092")</f>
        <v>S092</v>
      </c>
      <c r="C954" s="7" t="str">
        <f>IFERROR(__xludf.DUMMYFUNCTION("""COMPUTED_VALUE"""),"OAuth 2.0, OpenID Connect (OIDC) &amp; SSO")</f>
        <v>OAuth 2.0, OpenID Connect (OIDC) &amp; SSO</v>
      </c>
      <c r="D954" s="7" t="str">
        <f>IFERROR(__xludf.DUMMYFUNCTION("""COMPUTED_VALUE"""),"S098")</f>
        <v>S098</v>
      </c>
      <c r="E954" s="7" t="str">
        <f>IFERROR(__xludf.DUMMYFUNCTION("""COMPUTED_VALUE"""),"Distributed Event Streaming (Apache Kafka)")</f>
        <v>Distributed Event Streaming (Apache Kafka)</v>
      </c>
      <c r="F954" s="7" t="str">
        <f>IFERROR(__xludf.DUMMYFUNCTION("""COMPUTED_VALUE"""),"S092 unlocks S098")</f>
        <v>S092 unlocks S098</v>
      </c>
    </row>
    <row r="955">
      <c r="A955" s="7" t="str">
        <f>IFERROR(__xludf.DUMMYFUNCTION("""COMPUTED_VALUE"""),"PE0954")</f>
        <v>PE0954</v>
      </c>
      <c r="B955" s="7" t="str">
        <f>IFERROR(__xludf.DUMMYFUNCTION("""COMPUTED_VALUE"""),"S092")</f>
        <v>S092</v>
      </c>
      <c r="C955" s="7" t="str">
        <f>IFERROR(__xludf.DUMMYFUNCTION("""COMPUTED_VALUE"""),"OAuth 2.0, OpenID Connect (OIDC) &amp; SSO")</f>
        <v>OAuth 2.0, OpenID Connect (OIDC) &amp; SSO</v>
      </c>
      <c r="D955" s="7" t="str">
        <f>IFERROR(__xludf.DUMMYFUNCTION("""COMPUTED_VALUE"""),"S100")</f>
        <v>S100</v>
      </c>
      <c r="E955" s="7" t="str">
        <f>IFERROR(__xludf.DUMMYFUNCTION("""COMPUTED_VALUE"""),"Multithreading, Concurrency &amp; Parallel Processing")</f>
        <v>Multithreading, Concurrency &amp; Parallel Processing</v>
      </c>
      <c r="F955" s="7" t="str">
        <f>IFERROR(__xludf.DUMMYFUNCTION("""COMPUTED_VALUE"""),"S092 unlocks S100")</f>
        <v>S092 unlocks S100</v>
      </c>
    </row>
    <row r="956">
      <c r="A956" s="7" t="str">
        <f>IFERROR(__xludf.DUMMYFUNCTION("""COMPUTED_VALUE"""),"PE0955")</f>
        <v>PE0955</v>
      </c>
      <c r="B956" s="7" t="str">
        <f>IFERROR(__xludf.DUMMYFUNCTION("""COMPUTED_VALUE"""),"S093")</f>
        <v>S093</v>
      </c>
      <c r="C956" s="7" t="str">
        <f>IFERROR(__xludf.DUMMYFUNCTION("""COMPUTED_VALUE"""),"Role-Based &amp; Attribute-Based Access Control (RBAC/ABAC)")</f>
        <v>Role-Based &amp; Attribute-Based Access Control (RBAC/ABAC)</v>
      </c>
      <c r="D956" s="7" t="str">
        <f>IFERROR(__xludf.DUMMYFUNCTION("""COMPUTED_VALUE"""),"S088")</f>
        <v>S088</v>
      </c>
      <c r="E956" s="7" t="str">
        <f>IFERROR(__xludf.DUMMYFUNCTION("""COMPUTED_VALUE"""),"gRPC &amp; Protocol Buffers")</f>
        <v>gRPC &amp; Protocol Buffers</v>
      </c>
      <c r="F956" s="7" t="str">
        <f>IFERROR(__xludf.DUMMYFUNCTION("""COMPUTED_VALUE"""),"S093 unlocks S088")</f>
        <v>S093 unlocks S088</v>
      </c>
    </row>
    <row r="957">
      <c r="A957" s="7" t="str">
        <f>IFERROR(__xludf.DUMMYFUNCTION("""COMPUTED_VALUE"""),"PE0956")</f>
        <v>PE0956</v>
      </c>
      <c r="B957" s="7" t="str">
        <f>IFERROR(__xludf.DUMMYFUNCTION("""COMPUTED_VALUE"""),"S093")</f>
        <v>S093</v>
      </c>
      <c r="C957" s="7" t="str">
        <f>IFERROR(__xludf.DUMMYFUNCTION("""COMPUTED_VALUE"""),"Role-Based &amp; Attribute-Based Access Control (RBAC/ABAC)")</f>
        <v>Role-Based &amp; Attribute-Based Access Control (RBAC/ABAC)</v>
      </c>
      <c r="D957" s="7" t="str">
        <f>IFERROR(__xludf.DUMMYFUNCTION("""COMPUTED_VALUE"""),"S094")</f>
        <v>S094</v>
      </c>
      <c r="E957" s="7" t="str">
        <f>IFERROR(__xludf.DUMMYFUNCTION("""COMPUTED_VALUE"""),"API Gateways, Rate Limiting &amp; Throttling (Kong, Envoy)")</f>
        <v>API Gateways, Rate Limiting &amp; Throttling (Kong, Envoy)</v>
      </c>
      <c r="F957" s="7" t="str">
        <f>IFERROR(__xludf.DUMMYFUNCTION("""COMPUTED_VALUE"""),"S093 unlocks S094")</f>
        <v>S093 unlocks S094</v>
      </c>
    </row>
    <row r="958">
      <c r="A958" s="7" t="str">
        <f>IFERROR(__xludf.DUMMYFUNCTION("""COMPUTED_VALUE"""),"PE0957")</f>
        <v>PE0957</v>
      </c>
      <c r="B958" s="7" t="str">
        <f>IFERROR(__xludf.DUMMYFUNCTION("""COMPUTED_VALUE"""),"S093")</f>
        <v>S093</v>
      </c>
      <c r="C958" s="7" t="str">
        <f>IFERROR(__xludf.DUMMYFUNCTION("""COMPUTED_VALUE"""),"Role-Based &amp; Attribute-Based Access Control (RBAC/ABAC)")</f>
        <v>Role-Based &amp; Attribute-Based Access Control (RBAC/ABAC)</v>
      </c>
      <c r="D958" s="7" t="str">
        <f>IFERROR(__xludf.DUMMYFUNCTION("""COMPUTED_VALUE"""),"S095")</f>
        <v>S095</v>
      </c>
      <c r="E958" s="7" t="str">
        <f>IFERROR(__xludf.DUMMYFUNCTION("""COMPUTED_VALUE"""),"Microservices Architecture &amp; Service Mesh")</f>
        <v>Microservices Architecture &amp; Service Mesh</v>
      </c>
      <c r="F958" s="7" t="str">
        <f>IFERROR(__xludf.DUMMYFUNCTION("""COMPUTED_VALUE"""),"S093 unlocks S095")</f>
        <v>S093 unlocks S095</v>
      </c>
    </row>
    <row r="959">
      <c r="A959" s="7" t="str">
        <f>IFERROR(__xludf.DUMMYFUNCTION("""COMPUTED_VALUE"""),"PE0958")</f>
        <v>PE0958</v>
      </c>
      <c r="B959" s="7" t="str">
        <f>IFERROR(__xludf.DUMMYFUNCTION("""COMPUTED_VALUE"""),"S093")</f>
        <v>S093</v>
      </c>
      <c r="C959" s="7" t="str">
        <f>IFERROR(__xludf.DUMMYFUNCTION("""COMPUTED_VALUE"""),"Role-Based &amp; Attribute-Based Access Control (RBAC/ABAC)")</f>
        <v>Role-Based &amp; Attribute-Based Access Control (RBAC/ABAC)</v>
      </c>
      <c r="D959" s="7" t="str">
        <f>IFERROR(__xludf.DUMMYFUNCTION("""COMPUTED_VALUE"""),"S096")</f>
        <v>S096</v>
      </c>
      <c r="E959" s="7" t="str">
        <f>IFERROR(__xludf.DUMMYFUNCTION("""COMPUTED_VALUE"""),"Event-Driven Architecture &amp; Pub/Sub Patterns")</f>
        <v>Event-Driven Architecture &amp; Pub/Sub Patterns</v>
      </c>
      <c r="F959" s="7" t="str">
        <f>IFERROR(__xludf.DUMMYFUNCTION("""COMPUTED_VALUE"""),"S093 unlocks S096")</f>
        <v>S093 unlocks S096</v>
      </c>
    </row>
    <row r="960">
      <c r="A960" s="7" t="str">
        <f>IFERROR(__xludf.DUMMYFUNCTION("""COMPUTED_VALUE"""),"PE0959")</f>
        <v>PE0959</v>
      </c>
      <c r="B960" s="7" t="str">
        <f>IFERROR(__xludf.DUMMYFUNCTION("""COMPUTED_VALUE"""),"S093")</f>
        <v>S093</v>
      </c>
      <c r="C960" s="7" t="str">
        <f>IFERROR(__xludf.DUMMYFUNCTION("""COMPUTED_VALUE"""),"Role-Based &amp; Attribute-Based Access Control (RBAC/ABAC)")</f>
        <v>Role-Based &amp; Attribute-Based Access Control (RBAC/ABAC)</v>
      </c>
      <c r="D960" s="7" t="str">
        <f>IFERROR(__xludf.DUMMYFUNCTION("""COMPUTED_VALUE"""),"S098")</f>
        <v>S098</v>
      </c>
      <c r="E960" s="7" t="str">
        <f>IFERROR(__xludf.DUMMYFUNCTION("""COMPUTED_VALUE"""),"Distributed Event Streaming (Apache Kafka)")</f>
        <v>Distributed Event Streaming (Apache Kafka)</v>
      </c>
      <c r="F960" s="7" t="str">
        <f>IFERROR(__xludf.DUMMYFUNCTION("""COMPUTED_VALUE"""),"S093 unlocks S098")</f>
        <v>S093 unlocks S098</v>
      </c>
    </row>
    <row r="961">
      <c r="A961" s="7" t="str">
        <f>IFERROR(__xludf.DUMMYFUNCTION("""COMPUTED_VALUE"""),"PE0960")</f>
        <v>PE0960</v>
      </c>
      <c r="B961" s="7" t="str">
        <f>IFERROR(__xludf.DUMMYFUNCTION("""COMPUTED_VALUE"""),"S093")</f>
        <v>S093</v>
      </c>
      <c r="C961" s="7" t="str">
        <f>IFERROR(__xludf.DUMMYFUNCTION("""COMPUTED_VALUE"""),"Role-Based &amp; Attribute-Based Access Control (RBAC/ABAC)")</f>
        <v>Role-Based &amp; Attribute-Based Access Control (RBAC/ABAC)</v>
      </c>
      <c r="D961" s="7" t="str">
        <f>IFERROR(__xludf.DUMMYFUNCTION("""COMPUTED_VALUE"""),"S100")</f>
        <v>S100</v>
      </c>
      <c r="E961" s="7" t="str">
        <f>IFERROR(__xludf.DUMMYFUNCTION("""COMPUTED_VALUE"""),"Multithreading, Concurrency &amp; Parallel Processing")</f>
        <v>Multithreading, Concurrency &amp; Parallel Processing</v>
      </c>
      <c r="F961" s="7" t="str">
        <f>IFERROR(__xludf.DUMMYFUNCTION("""COMPUTED_VALUE"""),"S093 unlocks S100")</f>
        <v>S093 unlocks S100</v>
      </c>
    </row>
    <row r="962">
      <c r="A962" s="7" t="str">
        <f>IFERROR(__xludf.DUMMYFUNCTION("""COMPUTED_VALUE"""),"PE0961")</f>
        <v>PE0961</v>
      </c>
      <c r="B962" s="7" t="str">
        <f>IFERROR(__xludf.DUMMYFUNCTION("""COMPUTED_VALUE"""),"S097")</f>
        <v>S097</v>
      </c>
      <c r="C962" s="7" t="str">
        <f>IFERROR(__xludf.DUMMYFUNCTION("""COMPUTED_VALUE"""),"Message Brokers &amp; Queues (RabbitMQ, ActiveMQ)")</f>
        <v>Message Brokers &amp; Queues (RabbitMQ, ActiveMQ)</v>
      </c>
      <c r="D962" s="7" t="str">
        <f>IFERROR(__xludf.DUMMYFUNCTION("""COMPUTED_VALUE"""),"S088")</f>
        <v>S088</v>
      </c>
      <c r="E962" s="7" t="str">
        <f>IFERROR(__xludf.DUMMYFUNCTION("""COMPUTED_VALUE"""),"gRPC &amp; Protocol Buffers")</f>
        <v>gRPC &amp; Protocol Buffers</v>
      </c>
      <c r="F962" s="7" t="str">
        <f>IFERROR(__xludf.DUMMYFUNCTION("""COMPUTED_VALUE"""),"S097 unlocks S088")</f>
        <v>S097 unlocks S088</v>
      </c>
    </row>
    <row r="963">
      <c r="A963" s="7" t="str">
        <f>IFERROR(__xludf.DUMMYFUNCTION("""COMPUTED_VALUE"""),"PE0962")</f>
        <v>PE0962</v>
      </c>
      <c r="B963" s="7" t="str">
        <f>IFERROR(__xludf.DUMMYFUNCTION("""COMPUTED_VALUE"""),"S097")</f>
        <v>S097</v>
      </c>
      <c r="C963" s="7" t="str">
        <f>IFERROR(__xludf.DUMMYFUNCTION("""COMPUTED_VALUE"""),"Message Brokers &amp; Queues (RabbitMQ, ActiveMQ)")</f>
        <v>Message Brokers &amp; Queues (RabbitMQ, ActiveMQ)</v>
      </c>
      <c r="D963" s="7" t="str">
        <f>IFERROR(__xludf.DUMMYFUNCTION("""COMPUTED_VALUE"""),"S094")</f>
        <v>S094</v>
      </c>
      <c r="E963" s="7" t="str">
        <f>IFERROR(__xludf.DUMMYFUNCTION("""COMPUTED_VALUE"""),"API Gateways, Rate Limiting &amp; Throttling (Kong, Envoy)")</f>
        <v>API Gateways, Rate Limiting &amp; Throttling (Kong, Envoy)</v>
      </c>
      <c r="F963" s="7" t="str">
        <f>IFERROR(__xludf.DUMMYFUNCTION("""COMPUTED_VALUE"""),"S097 unlocks S094")</f>
        <v>S097 unlocks S094</v>
      </c>
    </row>
    <row r="964">
      <c r="A964" s="7" t="str">
        <f>IFERROR(__xludf.DUMMYFUNCTION("""COMPUTED_VALUE"""),"PE0963")</f>
        <v>PE0963</v>
      </c>
      <c r="B964" s="7" t="str">
        <f>IFERROR(__xludf.DUMMYFUNCTION("""COMPUTED_VALUE"""),"S097")</f>
        <v>S097</v>
      </c>
      <c r="C964" s="7" t="str">
        <f>IFERROR(__xludf.DUMMYFUNCTION("""COMPUTED_VALUE"""),"Message Brokers &amp; Queues (RabbitMQ, ActiveMQ)")</f>
        <v>Message Brokers &amp; Queues (RabbitMQ, ActiveMQ)</v>
      </c>
      <c r="D964" s="7" t="str">
        <f>IFERROR(__xludf.DUMMYFUNCTION("""COMPUTED_VALUE"""),"S095")</f>
        <v>S095</v>
      </c>
      <c r="E964" s="7" t="str">
        <f>IFERROR(__xludf.DUMMYFUNCTION("""COMPUTED_VALUE"""),"Microservices Architecture &amp; Service Mesh")</f>
        <v>Microservices Architecture &amp; Service Mesh</v>
      </c>
      <c r="F964" s="7" t="str">
        <f>IFERROR(__xludf.DUMMYFUNCTION("""COMPUTED_VALUE"""),"S097 unlocks S095")</f>
        <v>S097 unlocks S095</v>
      </c>
    </row>
    <row r="965">
      <c r="A965" s="7" t="str">
        <f>IFERROR(__xludf.DUMMYFUNCTION("""COMPUTED_VALUE"""),"PE0964")</f>
        <v>PE0964</v>
      </c>
      <c r="B965" s="7" t="str">
        <f>IFERROR(__xludf.DUMMYFUNCTION("""COMPUTED_VALUE"""),"S097")</f>
        <v>S097</v>
      </c>
      <c r="C965" s="7" t="str">
        <f>IFERROR(__xludf.DUMMYFUNCTION("""COMPUTED_VALUE"""),"Message Brokers &amp; Queues (RabbitMQ, ActiveMQ)")</f>
        <v>Message Brokers &amp; Queues (RabbitMQ, ActiveMQ)</v>
      </c>
      <c r="D965" s="7" t="str">
        <f>IFERROR(__xludf.DUMMYFUNCTION("""COMPUTED_VALUE"""),"S096")</f>
        <v>S096</v>
      </c>
      <c r="E965" s="7" t="str">
        <f>IFERROR(__xludf.DUMMYFUNCTION("""COMPUTED_VALUE"""),"Event-Driven Architecture &amp; Pub/Sub Patterns")</f>
        <v>Event-Driven Architecture &amp; Pub/Sub Patterns</v>
      </c>
      <c r="F965" s="7" t="str">
        <f>IFERROR(__xludf.DUMMYFUNCTION("""COMPUTED_VALUE"""),"S097 unlocks S096")</f>
        <v>S097 unlocks S096</v>
      </c>
    </row>
    <row r="966">
      <c r="A966" s="7" t="str">
        <f>IFERROR(__xludf.DUMMYFUNCTION("""COMPUTED_VALUE"""),"PE0965")</f>
        <v>PE0965</v>
      </c>
      <c r="B966" s="7" t="str">
        <f>IFERROR(__xludf.DUMMYFUNCTION("""COMPUTED_VALUE"""),"S097")</f>
        <v>S097</v>
      </c>
      <c r="C966" s="7" t="str">
        <f>IFERROR(__xludf.DUMMYFUNCTION("""COMPUTED_VALUE"""),"Message Brokers &amp; Queues (RabbitMQ, ActiveMQ)")</f>
        <v>Message Brokers &amp; Queues (RabbitMQ, ActiveMQ)</v>
      </c>
      <c r="D966" s="7" t="str">
        <f>IFERROR(__xludf.DUMMYFUNCTION("""COMPUTED_VALUE"""),"S098")</f>
        <v>S098</v>
      </c>
      <c r="E966" s="7" t="str">
        <f>IFERROR(__xludf.DUMMYFUNCTION("""COMPUTED_VALUE"""),"Distributed Event Streaming (Apache Kafka)")</f>
        <v>Distributed Event Streaming (Apache Kafka)</v>
      </c>
      <c r="F966" s="7" t="str">
        <f>IFERROR(__xludf.DUMMYFUNCTION("""COMPUTED_VALUE"""),"S097 unlocks S098")</f>
        <v>S097 unlocks S098</v>
      </c>
    </row>
    <row r="967">
      <c r="A967" s="7" t="str">
        <f>IFERROR(__xludf.DUMMYFUNCTION("""COMPUTED_VALUE"""),"PE0966")</f>
        <v>PE0966</v>
      </c>
      <c r="B967" s="7" t="str">
        <f>IFERROR(__xludf.DUMMYFUNCTION("""COMPUTED_VALUE"""),"S097")</f>
        <v>S097</v>
      </c>
      <c r="C967" s="7" t="str">
        <f>IFERROR(__xludf.DUMMYFUNCTION("""COMPUTED_VALUE"""),"Message Brokers &amp; Queues (RabbitMQ, ActiveMQ)")</f>
        <v>Message Brokers &amp; Queues (RabbitMQ, ActiveMQ)</v>
      </c>
      <c r="D967" s="7" t="str">
        <f>IFERROR(__xludf.DUMMYFUNCTION("""COMPUTED_VALUE"""),"S100")</f>
        <v>S100</v>
      </c>
      <c r="E967" s="7" t="str">
        <f>IFERROR(__xludf.DUMMYFUNCTION("""COMPUTED_VALUE"""),"Multithreading, Concurrency &amp; Parallel Processing")</f>
        <v>Multithreading, Concurrency &amp; Parallel Processing</v>
      </c>
      <c r="F967" s="7" t="str">
        <f>IFERROR(__xludf.DUMMYFUNCTION("""COMPUTED_VALUE"""),"S097 unlocks S100")</f>
        <v>S097 unlocks S100</v>
      </c>
    </row>
    <row r="968">
      <c r="A968" s="7" t="str">
        <f>IFERROR(__xludf.DUMMYFUNCTION("""COMPUTED_VALUE"""),"PE0967")</f>
        <v>PE0967</v>
      </c>
      <c r="B968" s="7" t="str">
        <f>IFERROR(__xludf.DUMMYFUNCTION("""COMPUTED_VALUE"""),"S099")</f>
        <v>S099</v>
      </c>
      <c r="C968" s="7" t="str">
        <f>IFERROR(__xludf.DUMMYFUNCTION("""COMPUTED_VALUE"""),"Backend Caching Strategies (In-Memory, CDN, Write-Through)")</f>
        <v>Backend Caching Strategies (In-Memory, CDN, Write-Through)</v>
      </c>
      <c r="D968" s="7" t="str">
        <f>IFERROR(__xludf.DUMMYFUNCTION("""COMPUTED_VALUE"""),"S088")</f>
        <v>S088</v>
      </c>
      <c r="E968" s="7" t="str">
        <f>IFERROR(__xludf.DUMMYFUNCTION("""COMPUTED_VALUE"""),"gRPC &amp; Protocol Buffers")</f>
        <v>gRPC &amp; Protocol Buffers</v>
      </c>
      <c r="F968" s="7" t="str">
        <f>IFERROR(__xludf.DUMMYFUNCTION("""COMPUTED_VALUE"""),"S099 unlocks S088")</f>
        <v>S099 unlocks S088</v>
      </c>
    </row>
    <row r="969">
      <c r="A969" s="7" t="str">
        <f>IFERROR(__xludf.DUMMYFUNCTION("""COMPUTED_VALUE"""),"PE0968")</f>
        <v>PE0968</v>
      </c>
      <c r="B969" s="7" t="str">
        <f>IFERROR(__xludf.DUMMYFUNCTION("""COMPUTED_VALUE"""),"S099")</f>
        <v>S099</v>
      </c>
      <c r="C969" s="7" t="str">
        <f>IFERROR(__xludf.DUMMYFUNCTION("""COMPUTED_VALUE"""),"Backend Caching Strategies (In-Memory, CDN, Write-Through)")</f>
        <v>Backend Caching Strategies (In-Memory, CDN, Write-Through)</v>
      </c>
      <c r="D969" s="7" t="str">
        <f>IFERROR(__xludf.DUMMYFUNCTION("""COMPUTED_VALUE"""),"S094")</f>
        <v>S094</v>
      </c>
      <c r="E969" s="7" t="str">
        <f>IFERROR(__xludf.DUMMYFUNCTION("""COMPUTED_VALUE"""),"API Gateways, Rate Limiting &amp; Throttling (Kong, Envoy)")</f>
        <v>API Gateways, Rate Limiting &amp; Throttling (Kong, Envoy)</v>
      </c>
      <c r="F969" s="7" t="str">
        <f>IFERROR(__xludf.DUMMYFUNCTION("""COMPUTED_VALUE"""),"S099 unlocks S094")</f>
        <v>S099 unlocks S094</v>
      </c>
    </row>
    <row r="970">
      <c r="A970" s="7" t="str">
        <f>IFERROR(__xludf.DUMMYFUNCTION("""COMPUTED_VALUE"""),"PE0969")</f>
        <v>PE0969</v>
      </c>
      <c r="B970" s="7" t="str">
        <f>IFERROR(__xludf.DUMMYFUNCTION("""COMPUTED_VALUE"""),"S099")</f>
        <v>S099</v>
      </c>
      <c r="C970" s="7" t="str">
        <f>IFERROR(__xludf.DUMMYFUNCTION("""COMPUTED_VALUE"""),"Backend Caching Strategies (In-Memory, CDN, Write-Through)")</f>
        <v>Backend Caching Strategies (In-Memory, CDN, Write-Through)</v>
      </c>
      <c r="D970" s="7" t="str">
        <f>IFERROR(__xludf.DUMMYFUNCTION("""COMPUTED_VALUE"""),"S095")</f>
        <v>S095</v>
      </c>
      <c r="E970" s="7" t="str">
        <f>IFERROR(__xludf.DUMMYFUNCTION("""COMPUTED_VALUE"""),"Microservices Architecture &amp; Service Mesh")</f>
        <v>Microservices Architecture &amp; Service Mesh</v>
      </c>
      <c r="F970" s="7" t="str">
        <f>IFERROR(__xludf.DUMMYFUNCTION("""COMPUTED_VALUE"""),"S099 unlocks S095")</f>
        <v>S099 unlocks S095</v>
      </c>
    </row>
    <row r="971">
      <c r="A971" s="7" t="str">
        <f>IFERROR(__xludf.DUMMYFUNCTION("""COMPUTED_VALUE"""),"PE0970")</f>
        <v>PE0970</v>
      </c>
      <c r="B971" s="7" t="str">
        <f>IFERROR(__xludf.DUMMYFUNCTION("""COMPUTED_VALUE"""),"S099")</f>
        <v>S099</v>
      </c>
      <c r="C971" s="7" t="str">
        <f>IFERROR(__xludf.DUMMYFUNCTION("""COMPUTED_VALUE"""),"Backend Caching Strategies (In-Memory, CDN, Write-Through)")</f>
        <v>Backend Caching Strategies (In-Memory, CDN, Write-Through)</v>
      </c>
      <c r="D971" s="7" t="str">
        <f>IFERROR(__xludf.DUMMYFUNCTION("""COMPUTED_VALUE"""),"S096")</f>
        <v>S096</v>
      </c>
      <c r="E971" s="7" t="str">
        <f>IFERROR(__xludf.DUMMYFUNCTION("""COMPUTED_VALUE"""),"Event-Driven Architecture &amp; Pub/Sub Patterns")</f>
        <v>Event-Driven Architecture &amp; Pub/Sub Patterns</v>
      </c>
      <c r="F971" s="7" t="str">
        <f>IFERROR(__xludf.DUMMYFUNCTION("""COMPUTED_VALUE"""),"S099 unlocks S096")</f>
        <v>S099 unlocks S096</v>
      </c>
    </row>
    <row r="972">
      <c r="A972" s="7" t="str">
        <f>IFERROR(__xludf.DUMMYFUNCTION("""COMPUTED_VALUE"""),"PE0971")</f>
        <v>PE0971</v>
      </c>
      <c r="B972" s="7" t="str">
        <f>IFERROR(__xludf.DUMMYFUNCTION("""COMPUTED_VALUE"""),"S099")</f>
        <v>S099</v>
      </c>
      <c r="C972" s="7" t="str">
        <f>IFERROR(__xludf.DUMMYFUNCTION("""COMPUTED_VALUE"""),"Backend Caching Strategies (In-Memory, CDN, Write-Through)")</f>
        <v>Backend Caching Strategies (In-Memory, CDN, Write-Through)</v>
      </c>
      <c r="D972" s="7" t="str">
        <f>IFERROR(__xludf.DUMMYFUNCTION("""COMPUTED_VALUE"""),"S098")</f>
        <v>S098</v>
      </c>
      <c r="E972" s="7" t="str">
        <f>IFERROR(__xludf.DUMMYFUNCTION("""COMPUTED_VALUE"""),"Distributed Event Streaming (Apache Kafka)")</f>
        <v>Distributed Event Streaming (Apache Kafka)</v>
      </c>
      <c r="F972" s="7" t="str">
        <f>IFERROR(__xludf.DUMMYFUNCTION("""COMPUTED_VALUE"""),"S099 unlocks S098")</f>
        <v>S099 unlocks S098</v>
      </c>
    </row>
    <row r="973">
      <c r="A973" s="7" t="str">
        <f>IFERROR(__xludf.DUMMYFUNCTION("""COMPUTED_VALUE"""),"PE0972")</f>
        <v>PE0972</v>
      </c>
      <c r="B973" s="7" t="str">
        <f>IFERROR(__xludf.DUMMYFUNCTION("""COMPUTED_VALUE"""),"S099")</f>
        <v>S099</v>
      </c>
      <c r="C973" s="7" t="str">
        <f>IFERROR(__xludf.DUMMYFUNCTION("""COMPUTED_VALUE"""),"Backend Caching Strategies (In-Memory, CDN, Write-Through)")</f>
        <v>Backend Caching Strategies (In-Memory, CDN, Write-Through)</v>
      </c>
      <c r="D973" s="7" t="str">
        <f>IFERROR(__xludf.DUMMYFUNCTION("""COMPUTED_VALUE"""),"S100")</f>
        <v>S100</v>
      </c>
      <c r="E973" s="7" t="str">
        <f>IFERROR(__xludf.DUMMYFUNCTION("""COMPUTED_VALUE"""),"Multithreading, Concurrency &amp; Parallel Processing")</f>
        <v>Multithreading, Concurrency &amp; Parallel Processing</v>
      </c>
      <c r="F973" s="7" t="str">
        <f>IFERROR(__xludf.DUMMYFUNCTION("""COMPUTED_VALUE"""),"S099 unlocks S100")</f>
        <v>S099 unlocks S100</v>
      </c>
    </row>
    <row r="974">
      <c r="A974" s="7" t="str">
        <f>IFERROR(__xludf.DUMMYFUNCTION("""COMPUTED_VALUE"""),"PE0973")</f>
        <v>PE0973</v>
      </c>
      <c r="B974" s="7" t="str">
        <f>IFERROR(__xludf.DUMMYFUNCTION("""COMPUTED_VALUE"""),"S101")</f>
        <v>S101</v>
      </c>
      <c r="C974" s="7" t="str">
        <f>IFERROR(__xludf.DUMMYFUNCTION("""COMPUTED_VALUE"""),"Background Jobs &amp; Task Queues (Celery, BullMQ)")</f>
        <v>Background Jobs &amp; Task Queues (Celery, BullMQ)</v>
      </c>
      <c r="D974" s="7" t="str">
        <f>IFERROR(__xludf.DUMMYFUNCTION("""COMPUTED_VALUE"""),"S088")</f>
        <v>S088</v>
      </c>
      <c r="E974" s="7" t="str">
        <f>IFERROR(__xludf.DUMMYFUNCTION("""COMPUTED_VALUE"""),"gRPC &amp; Protocol Buffers")</f>
        <v>gRPC &amp; Protocol Buffers</v>
      </c>
      <c r="F974" s="7" t="str">
        <f>IFERROR(__xludf.DUMMYFUNCTION("""COMPUTED_VALUE"""),"S101 unlocks S088")</f>
        <v>S101 unlocks S088</v>
      </c>
    </row>
    <row r="975">
      <c r="A975" s="7" t="str">
        <f>IFERROR(__xludf.DUMMYFUNCTION("""COMPUTED_VALUE"""),"PE0974")</f>
        <v>PE0974</v>
      </c>
      <c r="B975" s="7" t="str">
        <f>IFERROR(__xludf.DUMMYFUNCTION("""COMPUTED_VALUE"""),"S101")</f>
        <v>S101</v>
      </c>
      <c r="C975" s="7" t="str">
        <f>IFERROR(__xludf.DUMMYFUNCTION("""COMPUTED_VALUE"""),"Background Jobs &amp; Task Queues (Celery, BullMQ)")</f>
        <v>Background Jobs &amp; Task Queues (Celery, BullMQ)</v>
      </c>
      <c r="D975" s="7" t="str">
        <f>IFERROR(__xludf.DUMMYFUNCTION("""COMPUTED_VALUE"""),"S094")</f>
        <v>S094</v>
      </c>
      <c r="E975" s="7" t="str">
        <f>IFERROR(__xludf.DUMMYFUNCTION("""COMPUTED_VALUE"""),"API Gateways, Rate Limiting &amp; Throttling (Kong, Envoy)")</f>
        <v>API Gateways, Rate Limiting &amp; Throttling (Kong, Envoy)</v>
      </c>
      <c r="F975" s="7" t="str">
        <f>IFERROR(__xludf.DUMMYFUNCTION("""COMPUTED_VALUE"""),"S101 unlocks S094")</f>
        <v>S101 unlocks S094</v>
      </c>
    </row>
    <row r="976">
      <c r="A976" s="7" t="str">
        <f>IFERROR(__xludf.DUMMYFUNCTION("""COMPUTED_VALUE"""),"PE0975")</f>
        <v>PE0975</v>
      </c>
      <c r="B976" s="7" t="str">
        <f>IFERROR(__xludf.DUMMYFUNCTION("""COMPUTED_VALUE"""),"S101")</f>
        <v>S101</v>
      </c>
      <c r="C976" s="7" t="str">
        <f>IFERROR(__xludf.DUMMYFUNCTION("""COMPUTED_VALUE"""),"Background Jobs &amp; Task Queues (Celery, BullMQ)")</f>
        <v>Background Jobs &amp; Task Queues (Celery, BullMQ)</v>
      </c>
      <c r="D976" s="7" t="str">
        <f>IFERROR(__xludf.DUMMYFUNCTION("""COMPUTED_VALUE"""),"S095")</f>
        <v>S095</v>
      </c>
      <c r="E976" s="7" t="str">
        <f>IFERROR(__xludf.DUMMYFUNCTION("""COMPUTED_VALUE"""),"Microservices Architecture &amp; Service Mesh")</f>
        <v>Microservices Architecture &amp; Service Mesh</v>
      </c>
      <c r="F976" s="7" t="str">
        <f>IFERROR(__xludf.DUMMYFUNCTION("""COMPUTED_VALUE"""),"S101 unlocks S095")</f>
        <v>S101 unlocks S095</v>
      </c>
    </row>
    <row r="977">
      <c r="A977" s="7" t="str">
        <f>IFERROR(__xludf.DUMMYFUNCTION("""COMPUTED_VALUE"""),"PE0976")</f>
        <v>PE0976</v>
      </c>
      <c r="B977" s="7" t="str">
        <f>IFERROR(__xludf.DUMMYFUNCTION("""COMPUTED_VALUE"""),"S101")</f>
        <v>S101</v>
      </c>
      <c r="C977" s="7" t="str">
        <f>IFERROR(__xludf.DUMMYFUNCTION("""COMPUTED_VALUE"""),"Background Jobs &amp; Task Queues (Celery, BullMQ)")</f>
        <v>Background Jobs &amp; Task Queues (Celery, BullMQ)</v>
      </c>
      <c r="D977" s="7" t="str">
        <f>IFERROR(__xludf.DUMMYFUNCTION("""COMPUTED_VALUE"""),"S096")</f>
        <v>S096</v>
      </c>
      <c r="E977" s="7" t="str">
        <f>IFERROR(__xludf.DUMMYFUNCTION("""COMPUTED_VALUE"""),"Event-Driven Architecture &amp; Pub/Sub Patterns")</f>
        <v>Event-Driven Architecture &amp; Pub/Sub Patterns</v>
      </c>
      <c r="F977" s="7" t="str">
        <f>IFERROR(__xludf.DUMMYFUNCTION("""COMPUTED_VALUE"""),"S101 unlocks S096")</f>
        <v>S101 unlocks S096</v>
      </c>
    </row>
    <row r="978">
      <c r="A978" s="7" t="str">
        <f>IFERROR(__xludf.DUMMYFUNCTION("""COMPUTED_VALUE"""),"PE0977")</f>
        <v>PE0977</v>
      </c>
      <c r="B978" s="7" t="str">
        <f>IFERROR(__xludf.DUMMYFUNCTION("""COMPUTED_VALUE"""),"S101")</f>
        <v>S101</v>
      </c>
      <c r="C978" s="7" t="str">
        <f>IFERROR(__xludf.DUMMYFUNCTION("""COMPUTED_VALUE"""),"Background Jobs &amp; Task Queues (Celery, BullMQ)")</f>
        <v>Background Jobs &amp; Task Queues (Celery, BullMQ)</v>
      </c>
      <c r="D978" s="7" t="str">
        <f>IFERROR(__xludf.DUMMYFUNCTION("""COMPUTED_VALUE"""),"S098")</f>
        <v>S098</v>
      </c>
      <c r="E978" s="7" t="str">
        <f>IFERROR(__xludf.DUMMYFUNCTION("""COMPUTED_VALUE"""),"Distributed Event Streaming (Apache Kafka)")</f>
        <v>Distributed Event Streaming (Apache Kafka)</v>
      </c>
      <c r="F978" s="7" t="str">
        <f>IFERROR(__xludf.DUMMYFUNCTION("""COMPUTED_VALUE"""),"S101 unlocks S098")</f>
        <v>S101 unlocks S098</v>
      </c>
    </row>
    <row r="979">
      <c r="A979" s="7" t="str">
        <f>IFERROR(__xludf.DUMMYFUNCTION("""COMPUTED_VALUE"""),"PE0978")</f>
        <v>PE0978</v>
      </c>
      <c r="B979" s="7" t="str">
        <f>IFERROR(__xludf.DUMMYFUNCTION("""COMPUTED_VALUE"""),"S101")</f>
        <v>S101</v>
      </c>
      <c r="C979" s="7" t="str">
        <f>IFERROR(__xludf.DUMMYFUNCTION("""COMPUTED_VALUE"""),"Background Jobs &amp; Task Queues (Celery, BullMQ)")</f>
        <v>Background Jobs &amp; Task Queues (Celery, BullMQ)</v>
      </c>
      <c r="D979" s="7" t="str">
        <f>IFERROR(__xludf.DUMMYFUNCTION("""COMPUTED_VALUE"""),"S100")</f>
        <v>S100</v>
      </c>
      <c r="E979" s="7" t="str">
        <f>IFERROR(__xludf.DUMMYFUNCTION("""COMPUTED_VALUE"""),"Multithreading, Concurrency &amp; Parallel Processing")</f>
        <v>Multithreading, Concurrency &amp; Parallel Processing</v>
      </c>
      <c r="F979" s="7" t="str">
        <f>IFERROR(__xludf.DUMMYFUNCTION("""COMPUTED_VALUE"""),"S101 unlocks S100")</f>
        <v>S101 unlocks S100</v>
      </c>
    </row>
    <row r="980">
      <c r="A980" s="7" t="str">
        <f>IFERROR(__xludf.DUMMYFUNCTION("""COMPUTED_VALUE"""),"PE0979")</f>
        <v>PE0979</v>
      </c>
      <c r="B980" s="7" t="str">
        <f>IFERROR(__xludf.DUMMYFUNCTION("""COMPUTED_VALUE"""),"S104")</f>
        <v>S104</v>
      </c>
      <c r="C980" s="7" t="str">
        <f>IFERROR(__xludf.DUMMYFUNCTION("""COMPUTED_VALUE"""),"Load &amp; Performance Testing (JMeter, k6, Locust)")</f>
        <v>Load &amp; Performance Testing (JMeter, k6, Locust)</v>
      </c>
      <c r="D980" s="7" t="str">
        <f>IFERROR(__xludf.DUMMYFUNCTION("""COMPUTED_VALUE"""),"S088")</f>
        <v>S088</v>
      </c>
      <c r="E980" s="7" t="str">
        <f>IFERROR(__xludf.DUMMYFUNCTION("""COMPUTED_VALUE"""),"gRPC &amp; Protocol Buffers")</f>
        <v>gRPC &amp; Protocol Buffers</v>
      </c>
      <c r="F980" s="7" t="str">
        <f>IFERROR(__xludf.DUMMYFUNCTION("""COMPUTED_VALUE"""),"S104 unlocks S088")</f>
        <v>S104 unlocks S088</v>
      </c>
    </row>
    <row r="981">
      <c r="A981" s="7" t="str">
        <f>IFERROR(__xludf.DUMMYFUNCTION("""COMPUTED_VALUE"""),"PE0980")</f>
        <v>PE0980</v>
      </c>
      <c r="B981" s="7" t="str">
        <f>IFERROR(__xludf.DUMMYFUNCTION("""COMPUTED_VALUE"""),"S104")</f>
        <v>S104</v>
      </c>
      <c r="C981" s="7" t="str">
        <f>IFERROR(__xludf.DUMMYFUNCTION("""COMPUTED_VALUE"""),"Load &amp; Performance Testing (JMeter, k6, Locust)")</f>
        <v>Load &amp; Performance Testing (JMeter, k6, Locust)</v>
      </c>
      <c r="D981" s="7" t="str">
        <f>IFERROR(__xludf.DUMMYFUNCTION("""COMPUTED_VALUE"""),"S094")</f>
        <v>S094</v>
      </c>
      <c r="E981" s="7" t="str">
        <f>IFERROR(__xludf.DUMMYFUNCTION("""COMPUTED_VALUE"""),"API Gateways, Rate Limiting &amp; Throttling (Kong, Envoy)")</f>
        <v>API Gateways, Rate Limiting &amp; Throttling (Kong, Envoy)</v>
      </c>
      <c r="F981" s="7" t="str">
        <f>IFERROR(__xludf.DUMMYFUNCTION("""COMPUTED_VALUE"""),"S104 unlocks S094")</f>
        <v>S104 unlocks S094</v>
      </c>
    </row>
    <row r="982">
      <c r="A982" s="7" t="str">
        <f>IFERROR(__xludf.DUMMYFUNCTION("""COMPUTED_VALUE"""),"PE0981")</f>
        <v>PE0981</v>
      </c>
      <c r="B982" s="7" t="str">
        <f>IFERROR(__xludf.DUMMYFUNCTION("""COMPUTED_VALUE"""),"S104")</f>
        <v>S104</v>
      </c>
      <c r="C982" s="7" t="str">
        <f>IFERROR(__xludf.DUMMYFUNCTION("""COMPUTED_VALUE"""),"Load &amp; Performance Testing (JMeter, k6, Locust)")</f>
        <v>Load &amp; Performance Testing (JMeter, k6, Locust)</v>
      </c>
      <c r="D982" s="7" t="str">
        <f>IFERROR(__xludf.DUMMYFUNCTION("""COMPUTED_VALUE"""),"S095")</f>
        <v>S095</v>
      </c>
      <c r="E982" s="7" t="str">
        <f>IFERROR(__xludf.DUMMYFUNCTION("""COMPUTED_VALUE"""),"Microservices Architecture &amp; Service Mesh")</f>
        <v>Microservices Architecture &amp; Service Mesh</v>
      </c>
      <c r="F982" s="7" t="str">
        <f>IFERROR(__xludf.DUMMYFUNCTION("""COMPUTED_VALUE"""),"S104 unlocks S095")</f>
        <v>S104 unlocks S095</v>
      </c>
    </row>
    <row r="983">
      <c r="A983" s="7" t="str">
        <f>IFERROR(__xludf.DUMMYFUNCTION("""COMPUTED_VALUE"""),"PE0982")</f>
        <v>PE0982</v>
      </c>
      <c r="B983" s="7" t="str">
        <f>IFERROR(__xludf.DUMMYFUNCTION("""COMPUTED_VALUE"""),"S104")</f>
        <v>S104</v>
      </c>
      <c r="C983" s="7" t="str">
        <f>IFERROR(__xludf.DUMMYFUNCTION("""COMPUTED_VALUE"""),"Load &amp; Performance Testing (JMeter, k6, Locust)")</f>
        <v>Load &amp; Performance Testing (JMeter, k6, Locust)</v>
      </c>
      <c r="D983" s="7" t="str">
        <f>IFERROR(__xludf.DUMMYFUNCTION("""COMPUTED_VALUE"""),"S096")</f>
        <v>S096</v>
      </c>
      <c r="E983" s="7" t="str">
        <f>IFERROR(__xludf.DUMMYFUNCTION("""COMPUTED_VALUE"""),"Event-Driven Architecture &amp; Pub/Sub Patterns")</f>
        <v>Event-Driven Architecture &amp; Pub/Sub Patterns</v>
      </c>
      <c r="F983" s="7" t="str">
        <f>IFERROR(__xludf.DUMMYFUNCTION("""COMPUTED_VALUE"""),"S104 unlocks S096")</f>
        <v>S104 unlocks S096</v>
      </c>
    </row>
    <row r="984">
      <c r="A984" s="7" t="str">
        <f>IFERROR(__xludf.DUMMYFUNCTION("""COMPUTED_VALUE"""),"PE0983")</f>
        <v>PE0983</v>
      </c>
      <c r="B984" s="7" t="str">
        <f>IFERROR(__xludf.DUMMYFUNCTION("""COMPUTED_VALUE"""),"S104")</f>
        <v>S104</v>
      </c>
      <c r="C984" s="7" t="str">
        <f>IFERROR(__xludf.DUMMYFUNCTION("""COMPUTED_VALUE"""),"Load &amp; Performance Testing (JMeter, k6, Locust)")</f>
        <v>Load &amp; Performance Testing (JMeter, k6, Locust)</v>
      </c>
      <c r="D984" s="7" t="str">
        <f>IFERROR(__xludf.DUMMYFUNCTION("""COMPUTED_VALUE"""),"S098")</f>
        <v>S098</v>
      </c>
      <c r="E984" s="7" t="str">
        <f>IFERROR(__xludf.DUMMYFUNCTION("""COMPUTED_VALUE"""),"Distributed Event Streaming (Apache Kafka)")</f>
        <v>Distributed Event Streaming (Apache Kafka)</v>
      </c>
      <c r="F984" s="7" t="str">
        <f>IFERROR(__xludf.DUMMYFUNCTION("""COMPUTED_VALUE"""),"S104 unlocks S098")</f>
        <v>S104 unlocks S098</v>
      </c>
    </row>
    <row r="985">
      <c r="A985" s="7" t="str">
        <f>IFERROR(__xludf.DUMMYFUNCTION("""COMPUTED_VALUE"""),"PE0984")</f>
        <v>PE0984</v>
      </c>
      <c r="B985" s="7" t="str">
        <f>IFERROR(__xludf.DUMMYFUNCTION("""COMPUTED_VALUE"""),"S104")</f>
        <v>S104</v>
      </c>
      <c r="C985" s="7" t="str">
        <f>IFERROR(__xludf.DUMMYFUNCTION("""COMPUTED_VALUE"""),"Load &amp; Performance Testing (JMeter, k6, Locust)")</f>
        <v>Load &amp; Performance Testing (JMeter, k6, Locust)</v>
      </c>
      <c r="D985" s="7" t="str">
        <f>IFERROR(__xludf.DUMMYFUNCTION("""COMPUTED_VALUE"""),"S100")</f>
        <v>S100</v>
      </c>
      <c r="E985" s="7" t="str">
        <f>IFERROR(__xludf.DUMMYFUNCTION("""COMPUTED_VALUE"""),"Multithreading, Concurrency &amp; Parallel Processing")</f>
        <v>Multithreading, Concurrency &amp; Parallel Processing</v>
      </c>
      <c r="F985" s="7" t="str">
        <f>IFERROR(__xludf.DUMMYFUNCTION("""COMPUTED_VALUE"""),"S104 unlocks S100")</f>
        <v>S104 unlocks S100</v>
      </c>
    </row>
    <row r="986">
      <c r="A986" s="7" t="str">
        <f>IFERROR(__xludf.DUMMYFUNCTION("""COMPUTED_VALUE"""),"PE0985")</f>
        <v>PE0985</v>
      </c>
      <c r="B986" s="7" t="str">
        <f>IFERROR(__xludf.DUMMYFUNCTION("""COMPUTED_VALUE"""),"S105")</f>
        <v>S105</v>
      </c>
      <c r="C986" s="7" t="str">
        <f>IFERROR(__xludf.DUMMYFUNCTION("""COMPUTED_VALUE"""),"Search Engines &amp; Full-Text Search (Elasticsearch, Algolia)")</f>
        <v>Search Engines &amp; Full-Text Search (Elasticsearch, Algolia)</v>
      </c>
      <c r="D986" s="7" t="str">
        <f>IFERROR(__xludf.DUMMYFUNCTION("""COMPUTED_VALUE"""),"S088")</f>
        <v>S088</v>
      </c>
      <c r="E986" s="7" t="str">
        <f>IFERROR(__xludf.DUMMYFUNCTION("""COMPUTED_VALUE"""),"gRPC &amp; Protocol Buffers")</f>
        <v>gRPC &amp; Protocol Buffers</v>
      </c>
      <c r="F986" s="7" t="str">
        <f>IFERROR(__xludf.DUMMYFUNCTION("""COMPUTED_VALUE"""),"S105 unlocks S088")</f>
        <v>S105 unlocks S088</v>
      </c>
    </row>
    <row r="987">
      <c r="A987" s="7" t="str">
        <f>IFERROR(__xludf.DUMMYFUNCTION("""COMPUTED_VALUE"""),"PE0986")</f>
        <v>PE0986</v>
      </c>
      <c r="B987" s="7" t="str">
        <f>IFERROR(__xludf.DUMMYFUNCTION("""COMPUTED_VALUE"""),"S105")</f>
        <v>S105</v>
      </c>
      <c r="C987" s="7" t="str">
        <f>IFERROR(__xludf.DUMMYFUNCTION("""COMPUTED_VALUE"""),"Search Engines &amp; Full-Text Search (Elasticsearch, Algolia)")</f>
        <v>Search Engines &amp; Full-Text Search (Elasticsearch, Algolia)</v>
      </c>
      <c r="D987" s="7" t="str">
        <f>IFERROR(__xludf.DUMMYFUNCTION("""COMPUTED_VALUE"""),"S094")</f>
        <v>S094</v>
      </c>
      <c r="E987" s="7" t="str">
        <f>IFERROR(__xludf.DUMMYFUNCTION("""COMPUTED_VALUE"""),"API Gateways, Rate Limiting &amp; Throttling (Kong, Envoy)")</f>
        <v>API Gateways, Rate Limiting &amp; Throttling (Kong, Envoy)</v>
      </c>
      <c r="F987" s="7" t="str">
        <f>IFERROR(__xludf.DUMMYFUNCTION("""COMPUTED_VALUE"""),"S105 unlocks S094")</f>
        <v>S105 unlocks S094</v>
      </c>
    </row>
    <row r="988">
      <c r="A988" s="7" t="str">
        <f>IFERROR(__xludf.DUMMYFUNCTION("""COMPUTED_VALUE"""),"PE0987")</f>
        <v>PE0987</v>
      </c>
      <c r="B988" s="7" t="str">
        <f>IFERROR(__xludf.DUMMYFUNCTION("""COMPUTED_VALUE"""),"S105")</f>
        <v>S105</v>
      </c>
      <c r="C988" s="7" t="str">
        <f>IFERROR(__xludf.DUMMYFUNCTION("""COMPUTED_VALUE"""),"Search Engines &amp; Full-Text Search (Elasticsearch, Algolia)")</f>
        <v>Search Engines &amp; Full-Text Search (Elasticsearch, Algolia)</v>
      </c>
      <c r="D988" s="7" t="str">
        <f>IFERROR(__xludf.DUMMYFUNCTION("""COMPUTED_VALUE"""),"S095")</f>
        <v>S095</v>
      </c>
      <c r="E988" s="7" t="str">
        <f>IFERROR(__xludf.DUMMYFUNCTION("""COMPUTED_VALUE"""),"Microservices Architecture &amp; Service Mesh")</f>
        <v>Microservices Architecture &amp; Service Mesh</v>
      </c>
      <c r="F988" s="7" t="str">
        <f>IFERROR(__xludf.DUMMYFUNCTION("""COMPUTED_VALUE"""),"S105 unlocks S095")</f>
        <v>S105 unlocks S095</v>
      </c>
    </row>
    <row r="989">
      <c r="A989" s="7" t="str">
        <f>IFERROR(__xludf.DUMMYFUNCTION("""COMPUTED_VALUE"""),"PE0988")</f>
        <v>PE0988</v>
      </c>
      <c r="B989" s="7" t="str">
        <f>IFERROR(__xludf.DUMMYFUNCTION("""COMPUTED_VALUE"""),"S105")</f>
        <v>S105</v>
      </c>
      <c r="C989" s="7" t="str">
        <f>IFERROR(__xludf.DUMMYFUNCTION("""COMPUTED_VALUE"""),"Search Engines &amp; Full-Text Search (Elasticsearch, Algolia)")</f>
        <v>Search Engines &amp; Full-Text Search (Elasticsearch, Algolia)</v>
      </c>
      <c r="D989" s="7" t="str">
        <f>IFERROR(__xludf.DUMMYFUNCTION("""COMPUTED_VALUE"""),"S096")</f>
        <v>S096</v>
      </c>
      <c r="E989" s="7" t="str">
        <f>IFERROR(__xludf.DUMMYFUNCTION("""COMPUTED_VALUE"""),"Event-Driven Architecture &amp; Pub/Sub Patterns")</f>
        <v>Event-Driven Architecture &amp; Pub/Sub Patterns</v>
      </c>
      <c r="F989" s="7" t="str">
        <f>IFERROR(__xludf.DUMMYFUNCTION("""COMPUTED_VALUE"""),"S105 unlocks S096")</f>
        <v>S105 unlocks S096</v>
      </c>
    </row>
    <row r="990">
      <c r="A990" s="7" t="str">
        <f>IFERROR(__xludf.DUMMYFUNCTION("""COMPUTED_VALUE"""),"PE0989")</f>
        <v>PE0989</v>
      </c>
      <c r="B990" s="7" t="str">
        <f>IFERROR(__xludf.DUMMYFUNCTION("""COMPUTED_VALUE"""),"S105")</f>
        <v>S105</v>
      </c>
      <c r="C990" s="7" t="str">
        <f>IFERROR(__xludf.DUMMYFUNCTION("""COMPUTED_VALUE"""),"Search Engines &amp; Full-Text Search (Elasticsearch, Algolia)")</f>
        <v>Search Engines &amp; Full-Text Search (Elasticsearch, Algolia)</v>
      </c>
      <c r="D990" s="7" t="str">
        <f>IFERROR(__xludf.DUMMYFUNCTION("""COMPUTED_VALUE"""),"S098")</f>
        <v>S098</v>
      </c>
      <c r="E990" s="7" t="str">
        <f>IFERROR(__xludf.DUMMYFUNCTION("""COMPUTED_VALUE"""),"Distributed Event Streaming (Apache Kafka)")</f>
        <v>Distributed Event Streaming (Apache Kafka)</v>
      </c>
      <c r="F990" s="7" t="str">
        <f>IFERROR(__xludf.DUMMYFUNCTION("""COMPUTED_VALUE"""),"S105 unlocks S098")</f>
        <v>S105 unlocks S098</v>
      </c>
    </row>
    <row r="991">
      <c r="A991" s="7" t="str">
        <f>IFERROR(__xludf.DUMMYFUNCTION("""COMPUTED_VALUE"""),"PE0990")</f>
        <v>PE0990</v>
      </c>
      <c r="B991" s="7" t="str">
        <f>IFERROR(__xludf.DUMMYFUNCTION("""COMPUTED_VALUE"""),"S105")</f>
        <v>S105</v>
      </c>
      <c r="C991" s="7" t="str">
        <f>IFERROR(__xludf.DUMMYFUNCTION("""COMPUTED_VALUE"""),"Search Engines &amp; Full-Text Search (Elasticsearch, Algolia)")</f>
        <v>Search Engines &amp; Full-Text Search (Elasticsearch, Algolia)</v>
      </c>
      <c r="D991" s="7" t="str">
        <f>IFERROR(__xludf.DUMMYFUNCTION("""COMPUTED_VALUE"""),"S100")</f>
        <v>S100</v>
      </c>
      <c r="E991" s="7" t="str">
        <f>IFERROR(__xludf.DUMMYFUNCTION("""COMPUTED_VALUE"""),"Multithreading, Concurrency &amp; Parallel Processing")</f>
        <v>Multithreading, Concurrency &amp; Parallel Processing</v>
      </c>
      <c r="F991" s="7" t="str">
        <f>IFERROR(__xludf.DUMMYFUNCTION("""COMPUTED_VALUE"""),"S105 unlocks S100")</f>
        <v>S105 unlocks S100</v>
      </c>
    </row>
    <row r="992">
      <c r="A992" s="7" t="str">
        <f>IFERROR(__xludf.DUMMYFUNCTION("""COMPUTED_VALUE"""),"PE0991")</f>
        <v>PE0991</v>
      </c>
      <c r="B992" s="7" t="str">
        <f>IFERROR(__xludf.DUMMYFUNCTION("""COMPUTED_VALUE"""),"S108")</f>
        <v>S108</v>
      </c>
      <c r="C992" s="7" t="str">
        <f>IFERROR(__xludf.DUMMYFUNCTION("""COMPUTED_VALUE"""),"Advanced SQL (Window Functions, CTEs, Stored Procedures)")</f>
        <v>Advanced SQL (Window Functions, CTEs, Stored Procedures)</v>
      </c>
      <c r="D992" s="7" t="str">
        <f>IFERROR(__xludf.DUMMYFUNCTION("""COMPUTED_VALUE"""),"S114")</f>
        <v>S114</v>
      </c>
      <c r="E992" s="7" t="str">
        <f>IFERROR(__xludf.DUMMYFUNCTION("""COMPUTED_VALUE"""),"Database Indexing, Query Plans &amp; Optimization")</f>
        <v>Database Indexing, Query Plans &amp; Optimization</v>
      </c>
      <c r="F992" s="7" t="str">
        <f>IFERROR(__xludf.DUMMYFUNCTION("""COMPUTED_VALUE"""),"S108 unlocks S114")</f>
        <v>S108 unlocks S114</v>
      </c>
    </row>
    <row r="993">
      <c r="A993" s="7" t="str">
        <f>IFERROR(__xludf.DUMMYFUNCTION("""COMPUTED_VALUE"""),"PE0992")</f>
        <v>PE0992</v>
      </c>
      <c r="B993" s="7" t="str">
        <f>IFERROR(__xludf.DUMMYFUNCTION("""COMPUTED_VALUE"""),"S108")</f>
        <v>S108</v>
      </c>
      <c r="C993" s="7" t="str">
        <f>IFERROR(__xludf.DUMMYFUNCTION("""COMPUTED_VALUE"""),"Advanced SQL (Window Functions, CTEs, Stored Procedures)")</f>
        <v>Advanced SQL (Window Functions, CTEs, Stored Procedures)</v>
      </c>
      <c r="D993" s="7" t="str">
        <f>IFERROR(__xludf.DUMMYFUNCTION("""COMPUTED_VALUE"""),"S115")</f>
        <v>S115</v>
      </c>
      <c r="E993" s="7" t="str">
        <f>IFERROR(__xludf.DUMMYFUNCTION("""COMPUTED_VALUE"""),"ACID Transactions, Locking &amp; Isolation Levels")</f>
        <v>ACID Transactions, Locking &amp; Isolation Levels</v>
      </c>
      <c r="F993" s="7" t="str">
        <f>IFERROR(__xludf.DUMMYFUNCTION("""COMPUTED_VALUE"""),"S108 unlocks S115")</f>
        <v>S108 unlocks S115</v>
      </c>
    </row>
    <row r="994">
      <c r="A994" s="7" t="str">
        <f>IFERROR(__xludf.DUMMYFUNCTION("""COMPUTED_VALUE"""),"PE0993")</f>
        <v>PE0993</v>
      </c>
      <c r="B994" s="7" t="str">
        <f>IFERROR(__xludf.DUMMYFUNCTION("""COMPUTED_VALUE"""),"S108")</f>
        <v>S108</v>
      </c>
      <c r="C994" s="7" t="str">
        <f>IFERROR(__xludf.DUMMYFUNCTION("""COMPUTED_VALUE"""),"Advanced SQL (Window Functions, CTEs, Stored Procedures)")</f>
        <v>Advanced SQL (Window Functions, CTEs, Stored Procedures)</v>
      </c>
      <c r="D994" s="7" t="str">
        <f>IFERROR(__xludf.DUMMYFUNCTION("""COMPUTED_VALUE"""),"S116")</f>
        <v>S116</v>
      </c>
      <c r="E994" s="7" t="str">
        <f>IFERROR(__xludf.DUMMYFUNCTION("""COMPUTED_VALUE"""),"Database Replication, Sharding &amp; Partitioning")</f>
        <v>Database Replication, Sharding &amp; Partitioning</v>
      </c>
      <c r="F994" s="7" t="str">
        <f>IFERROR(__xludf.DUMMYFUNCTION("""COMPUTED_VALUE"""),"S108 unlocks S116")</f>
        <v>S108 unlocks S116</v>
      </c>
    </row>
    <row r="995">
      <c r="A995" s="7" t="str">
        <f>IFERROR(__xludf.DUMMYFUNCTION("""COMPUTED_VALUE"""),"PE0994")</f>
        <v>PE0994</v>
      </c>
      <c r="B995" s="7" t="str">
        <f>IFERROR(__xludf.DUMMYFUNCTION("""COMPUTED_VALUE"""),"S108")</f>
        <v>S108</v>
      </c>
      <c r="C995" s="7" t="str">
        <f>IFERROR(__xludf.DUMMYFUNCTION("""COMPUTED_VALUE"""),"Advanced SQL (Window Functions, CTEs, Stored Procedures)")</f>
        <v>Advanced SQL (Window Functions, CTEs, Stored Procedures)</v>
      </c>
      <c r="D995" s="7" t="str">
        <f>IFERROR(__xludf.DUMMYFUNCTION("""COMPUTED_VALUE"""),"S121")</f>
        <v>S121</v>
      </c>
      <c r="E995" s="7" t="str">
        <f>IFERROR(__xludf.DUMMYFUNCTION("""COMPUTED_VALUE"""),"Wide-Column Stores (Apache Cassandra, ScyllaDB)")</f>
        <v>Wide-Column Stores (Apache Cassandra, ScyllaDB)</v>
      </c>
      <c r="F995" s="7" t="str">
        <f>IFERROR(__xludf.DUMMYFUNCTION("""COMPUTED_VALUE"""),"S108 unlocks S121")</f>
        <v>S108 unlocks S121</v>
      </c>
    </row>
    <row r="996">
      <c r="A996" s="7" t="str">
        <f>IFERROR(__xludf.DUMMYFUNCTION("""COMPUTED_VALUE"""),"PE0995")</f>
        <v>PE0995</v>
      </c>
      <c r="B996" s="7" t="str">
        <f>IFERROR(__xludf.DUMMYFUNCTION("""COMPUTED_VALUE"""),"S108")</f>
        <v>S108</v>
      </c>
      <c r="C996" s="7" t="str">
        <f>IFERROR(__xludf.DUMMYFUNCTION("""COMPUTED_VALUE"""),"Advanced SQL (Window Functions, CTEs, Stored Procedures)")</f>
        <v>Advanced SQL (Window Functions, CTEs, Stored Procedures)</v>
      </c>
      <c r="D996" s="7" t="str">
        <f>IFERROR(__xludf.DUMMYFUNCTION("""COMPUTED_VALUE"""),"S123")</f>
        <v>S123</v>
      </c>
      <c r="E996" s="7" t="str">
        <f>IFERROR(__xludf.DUMMYFUNCTION("""COMPUTED_VALUE"""),"Graph Databases &amp; Cypher (Neo4j)")</f>
        <v>Graph Databases &amp; Cypher (Neo4j)</v>
      </c>
      <c r="F996" s="7" t="str">
        <f>IFERROR(__xludf.DUMMYFUNCTION("""COMPUTED_VALUE"""),"S108 unlocks S123")</f>
        <v>S108 unlocks S123</v>
      </c>
    </row>
    <row r="997">
      <c r="A997" s="7" t="str">
        <f>IFERROR(__xludf.DUMMYFUNCTION("""COMPUTED_VALUE"""),"PE0996")</f>
        <v>PE0996</v>
      </c>
      <c r="B997" s="7" t="str">
        <f>IFERROR(__xludf.DUMMYFUNCTION("""COMPUTED_VALUE"""),"S108")</f>
        <v>S108</v>
      </c>
      <c r="C997" s="7" t="str">
        <f>IFERROR(__xludf.DUMMYFUNCTION("""COMPUTED_VALUE"""),"Advanced SQL (Window Functions, CTEs, Stored Procedures)")</f>
        <v>Advanced SQL (Window Functions, CTEs, Stored Procedures)</v>
      </c>
      <c r="D997" s="7" t="str">
        <f>IFERROR(__xludf.DUMMYFUNCTION("""COMPUTED_VALUE"""),"S125")</f>
        <v>S125</v>
      </c>
      <c r="E997" s="7" t="str">
        <f>IFERROR(__xludf.DUMMYFUNCTION("""COMPUTED_VALUE"""),"Vector Databases (Pinecone, Milvus, Weaviate, pgvector)")</f>
        <v>Vector Databases (Pinecone, Milvus, Weaviate, pgvector)</v>
      </c>
      <c r="F997" s="7" t="str">
        <f>IFERROR(__xludf.DUMMYFUNCTION("""COMPUTED_VALUE"""),"S108 unlocks S125")</f>
        <v>S108 unlocks S125</v>
      </c>
    </row>
    <row r="998">
      <c r="A998" s="7" t="str">
        <f>IFERROR(__xludf.DUMMYFUNCTION("""COMPUTED_VALUE"""),"PE0997")</f>
        <v>PE0997</v>
      </c>
      <c r="B998" s="7" t="str">
        <f>IFERROR(__xludf.DUMMYFUNCTION("""COMPUTED_VALUE"""),"S108")</f>
        <v>S108</v>
      </c>
      <c r="C998" s="7" t="str">
        <f>IFERROR(__xludf.DUMMYFUNCTION("""COMPUTED_VALUE"""),"Advanced SQL (Window Functions, CTEs, Stored Procedures)")</f>
        <v>Advanced SQL (Window Functions, CTEs, Stored Procedures)</v>
      </c>
      <c r="D998" s="7" t="str">
        <f>IFERROR(__xludf.DUMMYFUNCTION("""COMPUTED_VALUE"""),"S127")</f>
        <v>S127</v>
      </c>
      <c r="E998" s="7" t="str">
        <f>IFERROR(__xludf.DUMMYFUNCTION("""COMPUTED_VALUE"""),"Workflow Orchestration (Apache Airflow, Prefect, Dagster)")</f>
        <v>Workflow Orchestration (Apache Airflow, Prefect, Dagster)</v>
      </c>
      <c r="F998" s="7" t="str">
        <f>IFERROR(__xludf.DUMMYFUNCTION("""COMPUTED_VALUE"""),"S108 unlocks S127")</f>
        <v>S108 unlocks S127</v>
      </c>
    </row>
    <row r="999">
      <c r="A999" s="7" t="str">
        <f>IFERROR(__xludf.DUMMYFUNCTION("""COMPUTED_VALUE"""),"PE0998")</f>
        <v>PE0998</v>
      </c>
      <c r="B999" s="7" t="str">
        <f>IFERROR(__xludf.DUMMYFUNCTION("""COMPUTED_VALUE"""),"S108")</f>
        <v>S108</v>
      </c>
      <c r="C999" s="7" t="str">
        <f>IFERROR(__xludf.DUMMYFUNCTION("""COMPUTED_VALUE"""),"Advanced SQL (Window Functions, CTEs, Stored Procedures)")</f>
        <v>Advanced SQL (Window Functions, CTEs, Stored Procedures)</v>
      </c>
      <c r="D999" s="7" t="str">
        <f>IFERROR(__xludf.DUMMYFUNCTION("""COMPUTED_VALUE"""),"S128")</f>
        <v>S128</v>
      </c>
      <c r="E999" s="7" t="str">
        <f>IFERROR(__xludf.DUMMYFUNCTION("""COMPUTED_VALUE"""),"Distributed Data Processing (Apache Spark, PySpark)")</f>
        <v>Distributed Data Processing (Apache Spark, PySpark)</v>
      </c>
      <c r="F999" s="7" t="str">
        <f>IFERROR(__xludf.DUMMYFUNCTION("""COMPUTED_VALUE"""),"S108 unlocks S128")</f>
        <v>S108 unlocks S128</v>
      </c>
    </row>
    <row r="1000">
      <c r="A1000" s="7" t="str">
        <f>IFERROR(__xludf.DUMMYFUNCTION("""COMPUTED_VALUE"""),"PE0999")</f>
        <v>PE0999</v>
      </c>
      <c r="B1000" s="7" t="str">
        <f>IFERROR(__xludf.DUMMYFUNCTION("""COMPUTED_VALUE"""),"S108")</f>
        <v>S108</v>
      </c>
      <c r="C1000" s="7" t="str">
        <f>IFERROR(__xludf.DUMMYFUNCTION("""COMPUTED_VALUE"""),"Advanced SQL (Window Functions, CTEs, Stored Procedures)")</f>
        <v>Advanced SQL (Window Functions, CTEs, Stored Procedures)</v>
      </c>
      <c r="D1000" s="7" t="str">
        <f>IFERROR(__xludf.DUMMYFUNCTION("""COMPUTED_VALUE"""),"S129")</f>
        <v>S129</v>
      </c>
      <c r="E1000" s="7" t="str">
        <f>IFERROR(__xludf.DUMMYFUNCTION("""COMPUTED_VALUE"""),"Stream Processing (Apache Flink, Kafka Streams)")</f>
        <v>Stream Processing (Apache Flink, Kafka Streams)</v>
      </c>
      <c r="F1000" s="7" t="str">
        <f>IFERROR(__xludf.DUMMYFUNCTION("""COMPUTED_VALUE"""),"S108 unlocks S129")</f>
        <v>S108 unlocks S129</v>
      </c>
    </row>
    <row r="1001">
      <c r="A1001" s="7" t="str">
        <f>IFERROR(__xludf.DUMMYFUNCTION("""COMPUTED_VALUE"""),"PE1000")</f>
        <v>PE1000</v>
      </c>
      <c r="B1001" s="7" t="str">
        <f>IFERROR(__xludf.DUMMYFUNCTION("""COMPUTED_VALUE"""),"S108")</f>
        <v>S108</v>
      </c>
      <c r="C1001" s="7" t="str">
        <f>IFERROR(__xludf.DUMMYFUNCTION("""COMPUTED_VALUE"""),"Advanced SQL (Window Functions, CTEs, Stored Procedures)")</f>
        <v>Advanced SQL (Window Functions, CTEs, Stored Procedures)</v>
      </c>
      <c r="D1001" s="7" t="str">
        <f>IFERROR(__xludf.DUMMYFUNCTION("""COMPUTED_VALUE"""),"S131")</f>
        <v>S131</v>
      </c>
      <c r="E1001" s="7" t="str">
        <f>IFERROR(__xludf.DUMMYFUNCTION("""COMPUTED_VALUE"""),"Cloud Data Warehousing (Snowflake, Google BigQuery, AWS Redshift)")</f>
        <v>Cloud Data Warehousing (Snowflake, Google BigQuery, AWS Redshift)</v>
      </c>
      <c r="F1001" s="7" t="str">
        <f>IFERROR(__xludf.DUMMYFUNCTION("""COMPUTED_VALUE"""),"S108 unlocks S131")</f>
        <v>S108 unlocks S131</v>
      </c>
    </row>
    <row r="1002">
      <c r="A1002" s="7" t="str">
        <f>IFERROR(__xludf.DUMMYFUNCTION("""COMPUTED_VALUE"""),"PE1001")</f>
        <v>PE1001</v>
      </c>
      <c r="B1002" s="7" t="str">
        <f>IFERROR(__xludf.DUMMYFUNCTION("""COMPUTED_VALUE"""),"S108")</f>
        <v>S108</v>
      </c>
      <c r="C1002" s="7" t="str">
        <f>IFERROR(__xludf.DUMMYFUNCTION("""COMPUTED_VALUE"""),"Advanced SQL (Window Functions, CTEs, Stored Procedures)")</f>
        <v>Advanced SQL (Window Functions, CTEs, Stored Procedures)</v>
      </c>
      <c r="D1002" s="7" t="str">
        <f>IFERROR(__xludf.DUMMYFUNCTION("""COMPUTED_VALUE"""),"S132")</f>
        <v>S132</v>
      </c>
      <c r="E1002" s="7" t="str">
        <f>IFERROR(__xludf.DUMMYFUNCTION("""COMPUTED_VALUE"""),"Data Lakehouse Architecture (Delta Lake, Apache Iceberg, Databricks)")</f>
        <v>Data Lakehouse Architecture (Delta Lake, Apache Iceberg, Databricks)</v>
      </c>
      <c r="F1002" s="7" t="str">
        <f>IFERROR(__xludf.DUMMYFUNCTION("""COMPUTED_VALUE"""),"S108 unlocks S132")</f>
        <v>S108 unlocks S132</v>
      </c>
    </row>
    <row r="1003">
      <c r="A1003" s="7" t="str">
        <f>IFERROR(__xludf.DUMMYFUNCTION("""COMPUTED_VALUE"""),"PE1002")</f>
        <v>PE1002</v>
      </c>
      <c r="B1003" s="7" t="str">
        <f>IFERROR(__xludf.DUMMYFUNCTION("""COMPUTED_VALUE"""),"S109")</f>
        <v>S109</v>
      </c>
      <c r="C1003" s="7" t="str">
        <f>IFERROR(__xludf.DUMMYFUNCTION("""COMPUTED_VALUE"""),"PostgreSQL Administration &amp; Development")</f>
        <v>PostgreSQL Administration &amp; Development</v>
      </c>
      <c r="D1003" s="7" t="str">
        <f>IFERROR(__xludf.DUMMYFUNCTION("""COMPUTED_VALUE"""),"S114")</f>
        <v>S114</v>
      </c>
      <c r="E1003" s="7" t="str">
        <f>IFERROR(__xludf.DUMMYFUNCTION("""COMPUTED_VALUE"""),"Database Indexing, Query Plans &amp; Optimization")</f>
        <v>Database Indexing, Query Plans &amp; Optimization</v>
      </c>
      <c r="F1003" s="7" t="str">
        <f>IFERROR(__xludf.DUMMYFUNCTION("""COMPUTED_VALUE"""),"S109 unlocks S114")</f>
        <v>S109 unlocks S114</v>
      </c>
    </row>
    <row r="1004">
      <c r="A1004" s="7" t="str">
        <f>IFERROR(__xludf.DUMMYFUNCTION("""COMPUTED_VALUE"""),"PE1003")</f>
        <v>PE1003</v>
      </c>
      <c r="B1004" s="7" t="str">
        <f>IFERROR(__xludf.DUMMYFUNCTION("""COMPUTED_VALUE"""),"S109")</f>
        <v>S109</v>
      </c>
      <c r="C1004" s="7" t="str">
        <f>IFERROR(__xludf.DUMMYFUNCTION("""COMPUTED_VALUE"""),"PostgreSQL Administration &amp; Development")</f>
        <v>PostgreSQL Administration &amp; Development</v>
      </c>
      <c r="D1004" s="7" t="str">
        <f>IFERROR(__xludf.DUMMYFUNCTION("""COMPUTED_VALUE"""),"S115")</f>
        <v>S115</v>
      </c>
      <c r="E1004" s="7" t="str">
        <f>IFERROR(__xludf.DUMMYFUNCTION("""COMPUTED_VALUE"""),"ACID Transactions, Locking &amp; Isolation Levels")</f>
        <v>ACID Transactions, Locking &amp; Isolation Levels</v>
      </c>
      <c r="F1004" s="7" t="str">
        <f>IFERROR(__xludf.DUMMYFUNCTION("""COMPUTED_VALUE"""),"S109 unlocks S115")</f>
        <v>S109 unlocks S115</v>
      </c>
    </row>
    <row r="1005">
      <c r="A1005" s="7" t="str">
        <f>IFERROR(__xludf.DUMMYFUNCTION("""COMPUTED_VALUE"""),"PE1004")</f>
        <v>PE1004</v>
      </c>
      <c r="B1005" s="7" t="str">
        <f>IFERROR(__xludf.DUMMYFUNCTION("""COMPUTED_VALUE"""),"S109")</f>
        <v>S109</v>
      </c>
      <c r="C1005" s="7" t="str">
        <f>IFERROR(__xludf.DUMMYFUNCTION("""COMPUTED_VALUE"""),"PostgreSQL Administration &amp; Development")</f>
        <v>PostgreSQL Administration &amp; Development</v>
      </c>
      <c r="D1005" s="7" t="str">
        <f>IFERROR(__xludf.DUMMYFUNCTION("""COMPUTED_VALUE"""),"S116")</f>
        <v>S116</v>
      </c>
      <c r="E1005" s="7" t="str">
        <f>IFERROR(__xludf.DUMMYFUNCTION("""COMPUTED_VALUE"""),"Database Replication, Sharding &amp; Partitioning")</f>
        <v>Database Replication, Sharding &amp; Partitioning</v>
      </c>
      <c r="F1005" s="7" t="str">
        <f>IFERROR(__xludf.DUMMYFUNCTION("""COMPUTED_VALUE"""),"S109 unlocks S116")</f>
        <v>S109 unlocks S116</v>
      </c>
    </row>
    <row r="1006">
      <c r="A1006" s="7" t="str">
        <f>IFERROR(__xludf.DUMMYFUNCTION("""COMPUTED_VALUE"""),"PE1005")</f>
        <v>PE1005</v>
      </c>
      <c r="B1006" s="7" t="str">
        <f>IFERROR(__xludf.DUMMYFUNCTION("""COMPUTED_VALUE"""),"S109")</f>
        <v>S109</v>
      </c>
      <c r="C1006" s="7" t="str">
        <f>IFERROR(__xludf.DUMMYFUNCTION("""COMPUTED_VALUE"""),"PostgreSQL Administration &amp; Development")</f>
        <v>PostgreSQL Administration &amp; Development</v>
      </c>
      <c r="D1006" s="7" t="str">
        <f>IFERROR(__xludf.DUMMYFUNCTION("""COMPUTED_VALUE"""),"S121")</f>
        <v>S121</v>
      </c>
      <c r="E1006" s="7" t="str">
        <f>IFERROR(__xludf.DUMMYFUNCTION("""COMPUTED_VALUE"""),"Wide-Column Stores (Apache Cassandra, ScyllaDB)")</f>
        <v>Wide-Column Stores (Apache Cassandra, ScyllaDB)</v>
      </c>
      <c r="F1006" s="7" t="str">
        <f>IFERROR(__xludf.DUMMYFUNCTION("""COMPUTED_VALUE"""),"S109 unlocks S121")</f>
        <v>S109 unlocks S121</v>
      </c>
    </row>
    <row r="1007">
      <c r="A1007" s="7" t="str">
        <f>IFERROR(__xludf.DUMMYFUNCTION("""COMPUTED_VALUE"""),"PE1006")</f>
        <v>PE1006</v>
      </c>
      <c r="B1007" s="7" t="str">
        <f>IFERROR(__xludf.DUMMYFUNCTION("""COMPUTED_VALUE"""),"S109")</f>
        <v>S109</v>
      </c>
      <c r="C1007" s="7" t="str">
        <f>IFERROR(__xludf.DUMMYFUNCTION("""COMPUTED_VALUE"""),"PostgreSQL Administration &amp; Development")</f>
        <v>PostgreSQL Administration &amp; Development</v>
      </c>
      <c r="D1007" s="7" t="str">
        <f>IFERROR(__xludf.DUMMYFUNCTION("""COMPUTED_VALUE"""),"S123")</f>
        <v>S123</v>
      </c>
      <c r="E1007" s="7" t="str">
        <f>IFERROR(__xludf.DUMMYFUNCTION("""COMPUTED_VALUE"""),"Graph Databases &amp; Cypher (Neo4j)")</f>
        <v>Graph Databases &amp; Cypher (Neo4j)</v>
      </c>
      <c r="F1007" s="7" t="str">
        <f>IFERROR(__xludf.DUMMYFUNCTION("""COMPUTED_VALUE"""),"S109 unlocks S123")</f>
        <v>S109 unlocks S123</v>
      </c>
    </row>
    <row r="1008">
      <c r="A1008" s="7" t="str">
        <f>IFERROR(__xludf.DUMMYFUNCTION("""COMPUTED_VALUE"""),"PE1007")</f>
        <v>PE1007</v>
      </c>
      <c r="B1008" s="7" t="str">
        <f>IFERROR(__xludf.DUMMYFUNCTION("""COMPUTED_VALUE"""),"S109")</f>
        <v>S109</v>
      </c>
      <c r="C1008" s="7" t="str">
        <f>IFERROR(__xludf.DUMMYFUNCTION("""COMPUTED_VALUE"""),"PostgreSQL Administration &amp; Development")</f>
        <v>PostgreSQL Administration &amp; Development</v>
      </c>
      <c r="D1008" s="7" t="str">
        <f>IFERROR(__xludf.DUMMYFUNCTION("""COMPUTED_VALUE"""),"S125")</f>
        <v>S125</v>
      </c>
      <c r="E1008" s="7" t="str">
        <f>IFERROR(__xludf.DUMMYFUNCTION("""COMPUTED_VALUE"""),"Vector Databases (Pinecone, Milvus, Weaviate, pgvector)")</f>
        <v>Vector Databases (Pinecone, Milvus, Weaviate, pgvector)</v>
      </c>
      <c r="F1008" s="7" t="str">
        <f>IFERROR(__xludf.DUMMYFUNCTION("""COMPUTED_VALUE"""),"S109 unlocks S125")</f>
        <v>S109 unlocks S125</v>
      </c>
    </row>
    <row r="1009">
      <c r="A1009" s="7" t="str">
        <f>IFERROR(__xludf.DUMMYFUNCTION("""COMPUTED_VALUE"""),"PE1008")</f>
        <v>PE1008</v>
      </c>
      <c r="B1009" s="7" t="str">
        <f>IFERROR(__xludf.DUMMYFUNCTION("""COMPUTED_VALUE"""),"S109")</f>
        <v>S109</v>
      </c>
      <c r="C1009" s="7" t="str">
        <f>IFERROR(__xludf.DUMMYFUNCTION("""COMPUTED_VALUE"""),"PostgreSQL Administration &amp; Development")</f>
        <v>PostgreSQL Administration &amp; Development</v>
      </c>
      <c r="D1009" s="7" t="str">
        <f>IFERROR(__xludf.DUMMYFUNCTION("""COMPUTED_VALUE"""),"S127")</f>
        <v>S127</v>
      </c>
      <c r="E1009" s="7" t="str">
        <f>IFERROR(__xludf.DUMMYFUNCTION("""COMPUTED_VALUE"""),"Workflow Orchestration (Apache Airflow, Prefect, Dagster)")</f>
        <v>Workflow Orchestration (Apache Airflow, Prefect, Dagster)</v>
      </c>
      <c r="F1009" s="7" t="str">
        <f>IFERROR(__xludf.DUMMYFUNCTION("""COMPUTED_VALUE"""),"S109 unlocks S127")</f>
        <v>S109 unlocks S127</v>
      </c>
    </row>
    <row r="1010">
      <c r="A1010" s="7" t="str">
        <f>IFERROR(__xludf.DUMMYFUNCTION("""COMPUTED_VALUE"""),"PE1009")</f>
        <v>PE1009</v>
      </c>
      <c r="B1010" s="7" t="str">
        <f>IFERROR(__xludf.DUMMYFUNCTION("""COMPUTED_VALUE"""),"S109")</f>
        <v>S109</v>
      </c>
      <c r="C1010" s="7" t="str">
        <f>IFERROR(__xludf.DUMMYFUNCTION("""COMPUTED_VALUE"""),"PostgreSQL Administration &amp; Development")</f>
        <v>PostgreSQL Administration &amp; Development</v>
      </c>
      <c r="D1010" s="7" t="str">
        <f>IFERROR(__xludf.DUMMYFUNCTION("""COMPUTED_VALUE"""),"S128")</f>
        <v>S128</v>
      </c>
      <c r="E1010" s="7" t="str">
        <f>IFERROR(__xludf.DUMMYFUNCTION("""COMPUTED_VALUE"""),"Distributed Data Processing (Apache Spark, PySpark)")</f>
        <v>Distributed Data Processing (Apache Spark, PySpark)</v>
      </c>
      <c r="F1010" s="7" t="str">
        <f>IFERROR(__xludf.DUMMYFUNCTION("""COMPUTED_VALUE"""),"S109 unlocks S128")</f>
        <v>S109 unlocks S128</v>
      </c>
    </row>
    <row r="1011">
      <c r="A1011" s="7" t="str">
        <f>IFERROR(__xludf.DUMMYFUNCTION("""COMPUTED_VALUE"""),"PE1010")</f>
        <v>PE1010</v>
      </c>
      <c r="B1011" s="7" t="str">
        <f>IFERROR(__xludf.DUMMYFUNCTION("""COMPUTED_VALUE"""),"S109")</f>
        <v>S109</v>
      </c>
      <c r="C1011" s="7" t="str">
        <f>IFERROR(__xludf.DUMMYFUNCTION("""COMPUTED_VALUE"""),"PostgreSQL Administration &amp; Development")</f>
        <v>PostgreSQL Administration &amp; Development</v>
      </c>
      <c r="D1011" s="7" t="str">
        <f>IFERROR(__xludf.DUMMYFUNCTION("""COMPUTED_VALUE"""),"S129")</f>
        <v>S129</v>
      </c>
      <c r="E1011" s="7" t="str">
        <f>IFERROR(__xludf.DUMMYFUNCTION("""COMPUTED_VALUE"""),"Stream Processing (Apache Flink, Kafka Streams)")</f>
        <v>Stream Processing (Apache Flink, Kafka Streams)</v>
      </c>
      <c r="F1011" s="7" t="str">
        <f>IFERROR(__xludf.DUMMYFUNCTION("""COMPUTED_VALUE"""),"S109 unlocks S129")</f>
        <v>S109 unlocks S129</v>
      </c>
    </row>
    <row r="1012">
      <c r="A1012" s="7" t="str">
        <f>IFERROR(__xludf.DUMMYFUNCTION("""COMPUTED_VALUE"""),"PE1011")</f>
        <v>PE1011</v>
      </c>
      <c r="B1012" s="7" t="str">
        <f>IFERROR(__xludf.DUMMYFUNCTION("""COMPUTED_VALUE"""),"S109")</f>
        <v>S109</v>
      </c>
      <c r="C1012" s="7" t="str">
        <f>IFERROR(__xludf.DUMMYFUNCTION("""COMPUTED_VALUE"""),"PostgreSQL Administration &amp; Development")</f>
        <v>PostgreSQL Administration &amp; Development</v>
      </c>
      <c r="D1012" s="7" t="str">
        <f>IFERROR(__xludf.DUMMYFUNCTION("""COMPUTED_VALUE"""),"S131")</f>
        <v>S131</v>
      </c>
      <c r="E1012" s="7" t="str">
        <f>IFERROR(__xludf.DUMMYFUNCTION("""COMPUTED_VALUE"""),"Cloud Data Warehousing (Snowflake, Google BigQuery, AWS Redshift)")</f>
        <v>Cloud Data Warehousing (Snowflake, Google BigQuery, AWS Redshift)</v>
      </c>
      <c r="F1012" s="7" t="str">
        <f>IFERROR(__xludf.DUMMYFUNCTION("""COMPUTED_VALUE"""),"S109 unlocks S131")</f>
        <v>S109 unlocks S131</v>
      </c>
    </row>
    <row r="1013">
      <c r="A1013" s="7" t="str">
        <f>IFERROR(__xludf.DUMMYFUNCTION("""COMPUTED_VALUE"""),"PE1012")</f>
        <v>PE1012</v>
      </c>
      <c r="B1013" s="7" t="str">
        <f>IFERROR(__xludf.DUMMYFUNCTION("""COMPUTED_VALUE"""),"S109")</f>
        <v>S109</v>
      </c>
      <c r="C1013" s="7" t="str">
        <f>IFERROR(__xludf.DUMMYFUNCTION("""COMPUTED_VALUE"""),"PostgreSQL Administration &amp; Development")</f>
        <v>PostgreSQL Administration &amp; Development</v>
      </c>
      <c r="D1013" s="7" t="str">
        <f>IFERROR(__xludf.DUMMYFUNCTION("""COMPUTED_VALUE"""),"S132")</f>
        <v>S132</v>
      </c>
      <c r="E1013" s="7" t="str">
        <f>IFERROR(__xludf.DUMMYFUNCTION("""COMPUTED_VALUE"""),"Data Lakehouse Architecture (Delta Lake, Apache Iceberg, Databricks)")</f>
        <v>Data Lakehouse Architecture (Delta Lake, Apache Iceberg, Databricks)</v>
      </c>
      <c r="F1013" s="7" t="str">
        <f>IFERROR(__xludf.DUMMYFUNCTION("""COMPUTED_VALUE"""),"S109 unlocks S132")</f>
        <v>S109 unlocks S132</v>
      </c>
    </row>
    <row r="1014">
      <c r="A1014" s="7" t="str">
        <f>IFERROR(__xludf.DUMMYFUNCTION("""COMPUTED_VALUE"""),"PE1013")</f>
        <v>PE1013</v>
      </c>
      <c r="B1014" s="7" t="str">
        <f>IFERROR(__xludf.DUMMYFUNCTION("""COMPUTED_VALUE"""),"S111")</f>
        <v>S111</v>
      </c>
      <c r="C1014" s="7" t="str">
        <f>IFERROR(__xludf.DUMMYFUNCTION("""COMPUTED_VALUE"""),"Microsoft SQL Server (T-SQL)")</f>
        <v>Microsoft SQL Server (T-SQL)</v>
      </c>
      <c r="D1014" s="7" t="str">
        <f>IFERROR(__xludf.DUMMYFUNCTION("""COMPUTED_VALUE"""),"S114")</f>
        <v>S114</v>
      </c>
      <c r="E1014" s="7" t="str">
        <f>IFERROR(__xludf.DUMMYFUNCTION("""COMPUTED_VALUE"""),"Database Indexing, Query Plans &amp; Optimization")</f>
        <v>Database Indexing, Query Plans &amp; Optimization</v>
      </c>
      <c r="F1014" s="7" t="str">
        <f>IFERROR(__xludf.DUMMYFUNCTION("""COMPUTED_VALUE"""),"S111 unlocks S114")</f>
        <v>S111 unlocks S114</v>
      </c>
    </row>
    <row r="1015">
      <c r="A1015" s="7" t="str">
        <f>IFERROR(__xludf.DUMMYFUNCTION("""COMPUTED_VALUE"""),"PE1014")</f>
        <v>PE1014</v>
      </c>
      <c r="B1015" s="7" t="str">
        <f>IFERROR(__xludf.DUMMYFUNCTION("""COMPUTED_VALUE"""),"S111")</f>
        <v>S111</v>
      </c>
      <c r="C1015" s="7" t="str">
        <f>IFERROR(__xludf.DUMMYFUNCTION("""COMPUTED_VALUE"""),"Microsoft SQL Server (T-SQL)")</f>
        <v>Microsoft SQL Server (T-SQL)</v>
      </c>
      <c r="D1015" s="7" t="str">
        <f>IFERROR(__xludf.DUMMYFUNCTION("""COMPUTED_VALUE"""),"S115")</f>
        <v>S115</v>
      </c>
      <c r="E1015" s="7" t="str">
        <f>IFERROR(__xludf.DUMMYFUNCTION("""COMPUTED_VALUE"""),"ACID Transactions, Locking &amp; Isolation Levels")</f>
        <v>ACID Transactions, Locking &amp; Isolation Levels</v>
      </c>
      <c r="F1015" s="7" t="str">
        <f>IFERROR(__xludf.DUMMYFUNCTION("""COMPUTED_VALUE"""),"S111 unlocks S115")</f>
        <v>S111 unlocks S115</v>
      </c>
    </row>
    <row r="1016">
      <c r="A1016" s="7" t="str">
        <f>IFERROR(__xludf.DUMMYFUNCTION("""COMPUTED_VALUE"""),"PE1015")</f>
        <v>PE1015</v>
      </c>
      <c r="B1016" s="7" t="str">
        <f>IFERROR(__xludf.DUMMYFUNCTION("""COMPUTED_VALUE"""),"S111")</f>
        <v>S111</v>
      </c>
      <c r="C1016" s="7" t="str">
        <f>IFERROR(__xludf.DUMMYFUNCTION("""COMPUTED_VALUE"""),"Microsoft SQL Server (T-SQL)")</f>
        <v>Microsoft SQL Server (T-SQL)</v>
      </c>
      <c r="D1016" s="7" t="str">
        <f>IFERROR(__xludf.DUMMYFUNCTION("""COMPUTED_VALUE"""),"S116")</f>
        <v>S116</v>
      </c>
      <c r="E1016" s="7" t="str">
        <f>IFERROR(__xludf.DUMMYFUNCTION("""COMPUTED_VALUE"""),"Database Replication, Sharding &amp; Partitioning")</f>
        <v>Database Replication, Sharding &amp; Partitioning</v>
      </c>
      <c r="F1016" s="7" t="str">
        <f>IFERROR(__xludf.DUMMYFUNCTION("""COMPUTED_VALUE"""),"S111 unlocks S116")</f>
        <v>S111 unlocks S116</v>
      </c>
    </row>
    <row r="1017">
      <c r="A1017" s="7" t="str">
        <f>IFERROR(__xludf.DUMMYFUNCTION("""COMPUTED_VALUE"""),"PE1016")</f>
        <v>PE1016</v>
      </c>
      <c r="B1017" s="7" t="str">
        <f>IFERROR(__xludf.DUMMYFUNCTION("""COMPUTED_VALUE"""),"S111")</f>
        <v>S111</v>
      </c>
      <c r="C1017" s="7" t="str">
        <f>IFERROR(__xludf.DUMMYFUNCTION("""COMPUTED_VALUE"""),"Microsoft SQL Server (T-SQL)")</f>
        <v>Microsoft SQL Server (T-SQL)</v>
      </c>
      <c r="D1017" s="7" t="str">
        <f>IFERROR(__xludf.DUMMYFUNCTION("""COMPUTED_VALUE"""),"S121")</f>
        <v>S121</v>
      </c>
      <c r="E1017" s="7" t="str">
        <f>IFERROR(__xludf.DUMMYFUNCTION("""COMPUTED_VALUE"""),"Wide-Column Stores (Apache Cassandra, ScyllaDB)")</f>
        <v>Wide-Column Stores (Apache Cassandra, ScyllaDB)</v>
      </c>
      <c r="F1017" s="7" t="str">
        <f>IFERROR(__xludf.DUMMYFUNCTION("""COMPUTED_VALUE"""),"S111 unlocks S121")</f>
        <v>S111 unlocks S121</v>
      </c>
    </row>
    <row r="1018">
      <c r="A1018" s="7" t="str">
        <f>IFERROR(__xludf.DUMMYFUNCTION("""COMPUTED_VALUE"""),"PE1017")</f>
        <v>PE1017</v>
      </c>
      <c r="B1018" s="7" t="str">
        <f>IFERROR(__xludf.DUMMYFUNCTION("""COMPUTED_VALUE"""),"S111")</f>
        <v>S111</v>
      </c>
      <c r="C1018" s="7" t="str">
        <f>IFERROR(__xludf.DUMMYFUNCTION("""COMPUTED_VALUE"""),"Microsoft SQL Server (T-SQL)")</f>
        <v>Microsoft SQL Server (T-SQL)</v>
      </c>
      <c r="D1018" s="7" t="str">
        <f>IFERROR(__xludf.DUMMYFUNCTION("""COMPUTED_VALUE"""),"S123")</f>
        <v>S123</v>
      </c>
      <c r="E1018" s="7" t="str">
        <f>IFERROR(__xludf.DUMMYFUNCTION("""COMPUTED_VALUE"""),"Graph Databases &amp; Cypher (Neo4j)")</f>
        <v>Graph Databases &amp; Cypher (Neo4j)</v>
      </c>
      <c r="F1018" s="7" t="str">
        <f>IFERROR(__xludf.DUMMYFUNCTION("""COMPUTED_VALUE"""),"S111 unlocks S123")</f>
        <v>S111 unlocks S123</v>
      </c>
    </row>
    <row r="1019">
      <c r="A1019" s="7" t="str">
        <f>IFERROR(__xludf.DUMMYFUNCTION("""COMPUTED_VALUE"""),"PE1018")</f>
        <v>PE1018</v>
      </c>
      <c r="B1019" s="7" t="str">
        <f>IFERROR(__xludf.DUMMYFUNCTION("""COMPUTED_VALUE"""),"S111")</f>
        <v>S111</v>
      </c>
      <c r="C1019" s="7" t="str">
        <f>IFERROR(__xludf.DUMMYFUNCTION("""COMPUTED_VALUE"""),"Microsoft SQL Server (T-SQL)")</f>
        <v>Microsoft SQL Server (T-SQL)</v>
      </c>
      <c r="D1019" s="7" t="str">
        <f>IFERROR(__xludf.DUMMYFUNCTION("""COMPUTED_VALUE"""),"S125")</f>
        <v>S125</v>
      </c>
      <c r="E1019" s="7" t="str">
        <f>IFERROR(__xludf.DUMMYFUNCTION("""COMPUTED_VALUE"""),"Vector Databases (Pinecone, Milvus, Weaviate, pgvector)")</f>
        <v>Vector Databases (Pinecone, Milvus, Weaviate, pgvector)</v>
      </c>
      <c r="F1019" s="7" t="str">
        <f>IFERROR(__xludf.DUMMYFUNCTION("""COMPUTED_VALUE"""),"S111 unlocks S125")</f>
        <v>S111 unlocks S125</v>
      </c>
    </row>
    <row r="1020">
      <c r="A1020" s="7" t="str">
        <f>IFERROR(__xludf.DUMMYFUNCTION("""COMPUTED_VALUE"""),"PE1019")</f>
        <v>PE1019</v>
      </c>
      <c r="B1020" s="7" t="str">
        <f>IFERROR(__xludf.DUMMYFUNCTION("""COMPUTED_VALUE"""),"S111")</f>
        <v>S111</v>
      </c>
      <c r="C1020" s="7" t="str">
        <f>IFERROR(__xludf.DUMMYFUNCTION("""COMPUTED_VALUE"""),"Microsoft SQL Server (T-SQL)")</f>
        <v>Microsoft SQL Server (T-SQL)</v>
      </c>
      <c r="D1020" s="7" t="str">
        <f>IFERROR(__xludf.DUMMYFUNCTION("""COMPUTED_VALUE"""),"S127")</f>
        <v>S127</v>
      </c>
      <c r="E1020" s="7" t="str">
        <f>IFERROR(__xludf.DUMMYFUNCTION("""COMPUTED_VALUE"""),"Workflow Orchestration (Apache Airflow, Prefect, Dagster)")</f>
        <v>Workflow Orchestration (Apache Airflow, Prefect, Dagster)</v>
      </c>
      <c r="F1020" s="7" t="str">
        <f>IFERROR(__xludf.DUMMYFUNCTION("""COMPUTED_VALUE"""),"S111 unlocks S127")</f>
        <v>S111 unlocks S127</v>
      </c>
    </row>
    <row r="1021">
      <c r="A1021" s="7" t="str">
        <f>IFERROR(__xludf.DUMMYFUNCTION("""COMPUTED_VALUE"""),"PE1020")</f>
        <v>PE1020</v>
      </c>
      <c r="B1021" s="7" t="str">
        <f>IFERROR(__xludf.DUMMYFUNCTION("""COMPUTED_VALUE"""),"S111")</f>
        <v>S111</v>
      </c>
      <c r="C1021" s="7" t="str">
        <f>IFERROR(__xludf.DUMMYFUNCTION("""COMPUTED_VALUE"""),"Microsoft SQL Server (T-SQL)")</f>
        <v>Microsoft SQL Server (T-SQL)</v>
      </c>
      <c r="D1021" s="7" t="str">
        <f>IFERROR(__xludf.DUMMYFUNCTION("""COMPUTED_VALUE"""),"S128")</f>
        <v>S128</v>
      </c>
      <c r="E1021" s="7" t="str">
        <f>IFERROR(__xludf.DUMMYFUNCTION("""COMPUTED_VALUE"""),"Distributed Data Processing (Apache Spark, PySpark)")</f>
        <v>Distributed Data Processing (Apache Spark, PySpark)</v>
      </c>
      <c r="F1021" s="7" t="str">
        <f>IFERROR(__xludf.DUMMYFUNCTION("""COMPUTED_VALUE"""),"S111 unlocks S128")</f>
        <v>S111 unlocks S128</v>
      </c>
    </row>
    <row r="1022">
      <c r="A1022" s="7" t="str">
        <f>IFERROR(__xludf.DUMMYFUNCTION("""COMPUTED_VALUE"""),"PE1021")</f>
        <v>PE1021</v>
      </c>
      <c r="B1022" s="7" t="str">
        <f>IFERROR(__xludf.DUMMYFUNCTION("""COMPUTED_VALUE"""),"S111")</f>
        <v>S111</v>
      </c>
      <c r="C1022" s="7" t="str">
        <f>IFERROR(__xludf.DUMMYFUNCTION("""COMPUTED_VALUE"""),"Microsoft SQL Server (T-SQL)")</f>
        <v>Microsoft SQL Server (T-SQL)</v>
      </c>
      <c r="D1022" s="7" t="str">
        <f>IFERROR(__xludf.DUMMYFUNCTION("""COMPUTED_VALUE"""),"S129")</f>
        <v>S129</v>
      </c>
      <c r="E1022" s="7" t="str">
        <f>IFERROR(__xludf.DUMMYFUNCTION("""COMPUTED_VALUE"""),"Stream Processing (Apache Flink, Kafka Streams)")</f>
        <v>Stream Processing (Apache Flink, Kafka Streams)</v>
      </c>
      <c r="F1022" s="7" t="str">
        <f>IFERROR(__xludf.DUMMYFUNCTION("""COMPUTED_VALUE"""),"S111 unlocks S129")</f>
        <v>S111 unlocks S129</v>
      </c>
    </row>
    <row r="1023">
      <c r="A1023" s="7" t="str">
        <f>IFERROR(__xludf.DUMMYFUNCTION("""COMPUTED_VALUE"""),"PE1022")</f>
        <v>PE1022</v>
      </c>
      <c r="B1023" s="7" t="str">
        <f>IFERROR(__xludf.DUMMYFUNCTION("""COMPUTED_VALUE"""),"S111")</f>
        <v>S111</v>
      </c>
      <c r="C1023" s="7" t="str">
        <f>IFERROR(__xludf.DUMMYFUNCTION("""COMPUTED_VALUE"""),"Microsoft SQL Server (T-SQL)")</f>
        <v>Microsoft SQL Server (T-SQL)</v>
      </c>
      <c r="D1023" s="7" t="str">
        <f>IFERROR(__xludf.DUMMYFUNCTION("""COMPUTED_VALUE"""),"S131")</f>
        <v>S131</v>
      </c>
      <c r="E1023" s="7" t="str">
        <f>IFERROR(__xludf.DUMMYFUNCTION("""COMPUTED_VALUE"""),"Cloud Data Warehousing (Snowflake, Google BigQuery, AWS Redshift)")</f>
        <v>Cloud Data Warehousing (Snowflake, Google BigQuery, AWS Redshift)</v>
      </c>
      <c r="F1023" s="7" t="str">
        <f>IFERROR(__xludf.DUMMYFUNCTION("""COMPUTED_VALUE"""),"S111 unlocks S131")</f>
        <v>S111 unlocks S131</v>
      </c>
    </row>
    <row r="1024">
      <c r="A1024" s="7" t="str">
        <f>IFERROR(__xludf.DUMMYFUNCTION("""COMPUTED_VALUE"""),"PE1023")</f>
        <v>PE1023</v>
      </c>
      <c r="B1024" s="7" t="str">
        <f>IFERROR(__xludf.DUMMYFUNCTION("""COMPUTED_VALUE"""),"S111")</f>
        <v>S111</v>
      </c>
      <c r="C1024" s="7" t="str">
        <f>IFERROR(__xludf.DUMMYFUNCTION("""COMPUTED_VALUE"""),"Microsoft SQL Server (T-SQL)")</f>
        <v>Microsoft SQL Server (T-SQL)</v>
      </c>
      <c r="D1024" s="7" t="str">
        <f>IFERROR(__xludf.DUMMYFUNCTION("""COMPUTED_VALUE"""),"S132")</f>
        <v>S132</v>
      </c>
      <c r="E1024" s="7" t="str">
        <f>IFERROR(__xludf.DUMMYFUNCTION("""COMPUTED_VALUE"""),"Data Lakehouse Architecture (Delta Lake, Apache Iceberg, Databricks)")</f>
        <v>Data Lakehouse Architecture (Delta Lake, Apache Iceberg, Databricks)</v>
      </c>
      <c r="F1024" s="7" t="str">
        <f>IFERROR(__xludf.DUMMYFUNCTION("""COMPUTED_VALUE"""),"S111 unlocks S132")</f>
        <v>S111 unlocks S132</v>
      </c>
    </row>
    <row r="1025">
      <c r="A1025" s="7" t="str">
        <f>IFERROR(__xludf.DUMMYFUNCTION("""COMPUTED_VALUE"""),"PE1024")</f>
        <v>PE1024</v>
      </c>
      <c r="B1025" s="7" t="str">
        <f>IFERROR(__xludf.DUMMYFUNCTION("""COMPUTED_VALUE"""),"S112")</f>
        <v>S112</v>
      </c>
      <c r="C1025" s="7" t="str">
        <f>IFERROR(__xludf.DUMMYFUNCTION("""COMPUTED_VALUE"""),"Oracle Database &amp; PL/SQL")</f>
        <v>Oracle Database &amp; PL/SQL</v>
      </c>
      <c r="D1025" s="7" t="str">
        <f>IFERROR(__xludf.DUMMYFUNCTION("""COMPUTED_VALUE"""),"S114")</f>
        <v>S114</v>
      </c>
      <c r="E1025" s="7" t="str">
        <f>IFERROR(__xludf.DUMMYFUNCTION("""COMPUTED_VALUE"""),"Database Indexing, Query Plans &amp; Optimization")</f>
        <v>Database Indexing, Query Plans &amp; Optimization</v>
      </c>
      <c r="F1025" s="7" t="str">
        <f>IFERROR(__xludf.DUMMYFUNCTION("""COMPUTED_VALUE"""),"S112 unlocks S114")</f>
        <v>S112 unlocks S114</v>
      </c>
    </row>
    <row r="1026">
      <c r="A1026" s="7" t="str">
        <f>IFERROR(__xludf.DUMMYFUNCTION("""COMPUTED_VALUE"""),"PE1025")</f>
        <v>PE1025</v>
      </c>
      <c r="B1026" s="7" t="str">
        <f>IFERROR(__xludf.DUMMYFUNCTION("""COMPUTED_VALUE"""),"S112")</f>
        <v>S112</v>
      </c>
      <c r="C1026" s="7" t="str">
        <f>IFERROR(__xludf.DUMMYFUNCTION("""COMPUTED_VALUE"""),"Oracle Database &amp; PL/SQL")</f>
        <v>Oracle Database &amp; PL/SQL</v>
      </c>
      <c r="D1026" s="7" t="str">
        <f>IFERROR(__xludf.DUMMYFUNCTION("""COMPUTED_VALUE"""),"S115")</f>
        <v>S115</v>
      </c>
      <c r="E1026" s="7" t="str">
        <f>IFERROR(__xludf.DUMMYFUNCTION("""COMPUTED_VALUE"""),"ACID Transactions, Locking &amp; Isolation Levels")</f>
        <v>ACID Transactions, Locking &amp; Isolation Levels</v>
      </c>
      <c r="F1026" s="7" t="str">
        <f>IFERROR(__xludf.DUMMYFUNCTION("""COMPUTED_VALUE"""),"S112 unlocks S115")</f>
        <v>S112 unlocks S115</v>
      </c>
    </row>
    <row r="1027">
      <c r="A1027" s="7" t="str">
        <f>IFERROR(__xludf.DUMMYFUNCTION("""COMPUTED_VALUE"""),"PE1026")</f>
        <v>PE1026</v>
      </c>
      <c r="B1027" s="7" t="str">
        <f>IFERROR(__xludf.DUMMYFUNCTION("""COMPUTED_VALUE"""),"S112")</f>
        <v>S112</v>
      </c>
      <c r="C1027" s="7" t="str">
        <f>IFERROR(__xludf.DUMMYFUNCTION("""COMPUTED_VALUE"""),"Oracle Database &amp; PL/SQL")</f>
        <v>Oracle Database &amp; PL/SQL</v>
      </c>
      <c r="D1027" s="7" t="str">
        <f>IFERROR(__xludf.DUMMYFUNCTION("""COMPUTED_VALUE"""),"S116")</f>
        <v>S116</v>
      </c>
      <c r="E1027" s="7" t="str">
        <f>IFERROR(__xludf.DUMMYFUNCTION("""COMPUTED_VALUE"""),"Database Replication, Sharding &amp; Partitioning")</f>
        <v>Database Replication, Sharding &amp; Partitioning</v>
      </c>
      <c r="F1027" s="7" t="str">
        <f>IFERROR(__xludf.DUMMYFUNCTION("""COMPUTED_VALUE"""),"S112 unlocks S116")</f>
        <v>S112 unlocks S116</v>
      </c>
    </row>
    <row r="1028">
      <c r="A1028" s="7" t="str">
        <f>IFERROR(__xludf.DUMMYFUNCTION("""COMPUTED_VALUE"""),"PE1027")</f>
        <v>PE1027</v>
      </c>
      <c r="B1028" s="7" t="str">
        <f>IFERROR(__xludf.DUMMYFUNCTION("""COMPUTED_VALUE"""),"S112")</f>
        <v>S112</v>
      </c>
      <c r="C1028" s="7" t="str">
        <f>IFERROR(__xludf.DUMMYFUNCTION("""COMPUTED_VALUE"""),"Oracle Database &amp; PL/SQL")</f>
        <v>Oracle Database &amp; PL/SQL</v>
      </c>
      <c r="D1028" s="7" t="str">
        <f>IFERROR(__xludf.DUMMYFUNCTION("""COMPUTED_VALUE"""),"S121")</f>
        <v>S121</v>
      </c>
      <c r="E1028" s="7" t="str">
        <f>IFERROR(__xludf.DUMMYFUNCTION("""COMPUTED_VALUE"""),"Wide-Column Stores (Apache Cassandra, ScyllaDB)")</f>
        <v>Wide-Column Stores (Apache Cassandra, ScyllaDB)</v>
      </c>
      <c r="F1028" s="7" t="str">
        <f>IFERROR(__xludf.DUMMYFUNCTION("""COMPUTED_VALUE"""),"S112 unlocks S121")</f>
        <v>S112 unlocks S121</v>
      </c>
    </row>
    <row r="1029">
      <c r="A1029" s="7" t="str">
        <f>IFERROR(__xludf.DUMMYFUNCTION("""COMPUTED_VALUE"""),"PE1028")</f>
        <v>PE1028</v>
      </c>
      <c r="B1029" s="7" t="str">
        <f>IFERROR(__xludf.DUMMYFUNCTION("""COMPUTED_VALUE"""),"S112")</f>
        <v>S112</v>
      </c>
      <c r="C1029" s="7" t="str">
        <f>IFERROR(__xludf.DUMMYFUNCTION("""COMPUTED_VALUE"""),"Oracle Database &amp; PL/SQL")</f>
        <v>Oracle Database &amp; PL/SQL</v>
      </c>
      <c r="D1029" s="7" t="str">
        <f>IFERROR(__xludf.DUMMYFUNCTION("""COMPUTED_VALUE"""),"S123")</f>
        <v>S123</v>
      </c>
      <c r="E1029" s="7" t="str">
        <f>IFERROR(__xludf.DUMMYFUNCTION("""COMPUTED_VALUE"""),"Graph Databases &amp; Cypher (Neo4j)")</f>
        <v>Graph Databases &amp; Cypher (Neo4j)</v>
      </c>
      <c r="F1029" s="7" t="str">
        <f>IFERROR(__xludf.DUMMYFUNCTION("""COMPUTED_VALUE"""),"S112 unlocks S123")</f>
        <v>S112 unlocks S123</v>
      </c>
    </row>
    <row r="1030">
      <c r="A1030" s="7" t="str">
        <f>IFERROR(__xludf.DUMMYFUNCTION("""COMPUTED_VALUE"""),"PE1029")</f>
        <v>PE1029</v>
      </c>
      <c r="B1030" s="7" t="str">
        <f>IFERROR(__xludf.DUMMYFUNCTION("""COMPUTED_VALUE"""),"S112")</f>
        <v>S112</v>
      </c>
      <c r="C1030" s="7" t="str">
        <f>IFERROR(__xludf.DUMMYFUNCTION("""COMPUTED_VALUE"""),"Oracle Database &amp; PL/SQL")</f>
        <v>Oracle Database &amp; PL/SQL</v>
      </c>
      <c r="D1030" s="7" t="str">
        <f>IFERROR(__xludf.DUMMYFUNCTION("""COMPUTED_VALUE"""),"S125")</f>
        <v>S125</v>
      </c>
      <c r="E1030" s="7" t="str">
        <f>IFERROR(__xludf.DUMMYFUNCTION("""COMPUTED_VALUE"""),"Vector Databases (Pinecone, Milvus, Weaviate, pgvector)")</f>
        <v>Vector Databases (Pinecone, Milvus, Weaviate, pgvector)</v>
      </c>
      <c r="F1030" s="7" t="str">
        <f>IFERROR(__xludf.DUMMYFUNCTION("""COMPUTED_VALUE"""),"S112 unlocks S125")</f>
        <v>S112 unlocks S125</v>
      </c>
    </row>
    <row r="1031">
      <c r="A1031" s="7" t="str">
        <f>IFERROR(__xludf.DUMMYFUNCTION("""COMPUTED_VALUE"""),"PE1030")</f>
        <v>PE1030</v>
      </c>
      <c r="B1031" s="7" t="str">
        <f>IFERROR(__xludf.DUMMYFUNCTION("""COMPUTED_VALUE"""),"S112")</f>
        <v>S112</v>
      </c>
      <c r="C1031" s="7" t="str">
        <f>IFERROR(__xludf.DUMMYFUNCTION("""COMPUTED_VALUE"""),"Oracle Database &amp; PL/SQL")</f>
        <v>Oracle Database &amp; PL/SQL</v>
      </c>
      <c r="D1031" s="7" t="str">
        <f>IFERROR(__xludf.DUMMYFUNCTION("""COMPUTED_VALUE"""),"S127")</f>
        <v>S127</v>
      </c>
      <c r="E1031" s="7" t="str">
        <f>IFERROR(__xludf.DUMMYFUNCTION("""COMPUTED_VALUE"""),"Workflow Orchestration (Apache Airflow, Prefect, Dagster)")</f>
        <v>Workflow Orchestration (Apache Airflow, Prefect, Dagster)</v>
      </c>
      <c r="F1031" s="7" t="str">
        <f>IFERROR(__xludf.DUMMYFUNCTION("""COMPUTED_VALUE"""),"S112 unlocks S127")</f>
        <v>S112 unlocks S127</v>
      </c>
    </row>
    <row r="1032">
      <c r="A1032" s="7" t="str">
        <f>IFERROR(__xludf.DUMMYFUNCTION("""COMPUTED_VALUE"""),"PE1031")</f>
        <v>PE1031</v>
      </c>
      <c r="B1032" s="7" t="str">
        <f>IFERROR(__xludf.DUMMYFUNCTION("""COMPUTED_VALUE"""),"S112")</f>
        <v>S112</v>
      </c>
      <c r="C1032" s="7" t="str">
        <f>IFERROR(__xludf.DUMMYFUNCTION("""COMPUTED_VALUE"""),"Oracle Database &amp; PL/SQL")</f>
        <v>Oracle Database &amp; PL/SQL</v>
      </c>
      <c r="D1032" s="7" t="str">
        <f>IFERROR(__xludf.DUMMYFUNCTION("""COMPUTED_VALUE"""),"S128")</f>
        <v>S128</v>
      </c>
      <c r="E1032" s="7" t="str">
        <f>IFERROR(__xludf.DUMMYFUNCTION("""COMPUTED_VALUE"""),"Distributed Data Processing (Apache Spark, PySpark)")</f>
        <v>Distributed Data Processing (Apache Spark, PySpark)</v>
      </c>
      <c r="F1032" s="7" t="str">
        <f>IFERROR(__xludf.DUMMYFUNCTION("""COMPUTED_VALUE"""),"S112 unlocks S128")</f>
        <v>S112 unlocks S128</v>
      </c>
    </row>
    <row r="1033">
      <c r="A1033" s="7" t="str">
        <f>IFERROR(__xludf.DUMMYFUNCTION("""COMPUTED_VALUE"""),"PE1032")</f>
        <v>PE1032</v>
      </c>
      <c r="B1033" s="7" t="str">
        <f>IFERROR(__xludf.DUMMYFUNCTION("""COMPUTED_VALUE"""),"S112")</f>
        <v>S112</v>
      </c>
      <c r="C1033" s="7" t="str">
        <f>IFERROR(__xludf.DUMMYFUNCTION("""COMPUTED_VALUE"""),"Oracle Database &amp; PL/SQL")</f>
        <v>Oracle Database &amp; PL/SQL</v>
      </c>
      <c r="D1033" s="7" t="str">
        <f>IFERROR(__xludf.DUMMYFUNCTION("""COMPUTED_VALUE"""),"S129")</f>
        <v>S129</v>
      </c>
      <c r="E1033" s="7" t="str">
        <f>IFERROR(__xludf.DUMMYFUNCTION("""COMPUTED_VALUE"""),"Stream Processing (Apache Flink, Kafka Streams)")</f>
        <v>Stream Processing (Apache Flink, Kafka Streams)</v>
      </c>
      <c r="F1033" s="7" t="str">
        <f>IFERROR(__xludf.DUMMYFUNCTION("""COMPUTED_VALUE"""),"S112 unlocks S129")</f>
        <v>S112 unlocks S129</v>
      </c>
    </row>
    <row r="1034">
      <c r="A1034" s="7" t="str">
        <f>IFERROR(__xludf.DUMMYFUNCTION("""COMPUTED_VALUE"""),"PE1033")</f>
        <v>PE1033</v>
      </c>
      <c r="B1034" s="7" t="str">
        <f>IFERROR(__xludf.DUMMYFUNCTION("""COMPUTED_VALUE"""),"S112")</f>
        <v>S112</v>
      </c>
      <c r="C1034" s="7" t="str">
        <f>IFERROR(__xludf.DUMMYFUNCTION("""COMPUTED_VALUE"""),"Oracle Database &amp; PL/SQL")</f>
        <v>Oracle Database &amp; PL/SQL</v>
      </c>
      <c r="D1034" s="7" t="str">
        <f>IFERROR(__xludf.DUMMYFUNCTION("""COMPUTED_VALUE"""),"S131")</f>
        <v>S131</v>
      </c>
      <c r="E1034" s="7" t="str">
        <f>IFERROR(__xludf.DUMMYFUNCTION("""COMPUTED_VALUE"""),"Cloud Data Warehousing (Snowflake, Google BigQuery, AWS Redshift)")</f>
        <v>Cloud Data Warehousing (Snowflake, Google BigQuery, AWS Redshift)</v>
      </c>
      <c r="F1034" s="7" t="str">
        <f>IFERROR(__xludf.DUMMYFUNCTION("""COMPUTED_VALUE"""),"S112 unlocks S131")</f>
        <v>S112 unlocks S131</v>
      </c>
    </row>
    <row r="1035">
      <c r="A1035" s="7" t="str">
        <f>IFERROR(__xludf.DUMMYFUNCTION("""COMPUTED_VALUE"""),"PE1034")</f>
        <v>PE1034</v>
      </c>
      <c r="B1035" s="7" t="str">
        <f>IFERROR(__xludf.DUMMYFUNCTION("""COMPUTED_VALUE"""),"S112")</f>
        <v>S112</v>
      </c>
      <c r="C1035" s="7" t="str">
        <f>IFERROR(__xludf.DUMMYFUNCTION("""COMPUTED_VALUE"""),"Oracle Database &amp; PL/SQL")</f>
        <v>Oracle Database &amp; PL/SQL</v>
      </c>
      <c r="D1035" s="7" t="str">
        <f>IFERROR(__xludf.DUMMYFUNCTION("""COMPUTED_VALUE"""),"S132")</f>
        <v>S132</v>
      </c>
      <c r="E1035" s="7" t="str">
        <f>IFERROR(__xludf.DUMMYFUNCTION("""COMPUTED_VALUE"""),"Data Lakehouse Architecture (Delta Lake, Apache Iceberg, Databricks)")</f>
        <v>Data Lakehouse Architecture (Delta Lake, Apache Iceberg, Databricks)</v>
      </c>
      <c r="F1035" s="7" t="str">
        <f>IFERROR(__xludf.DUMMYFUNCTION("""COMPUTED_VALUE"""),"S112 unlocks S132")</f>
        <v>S112 unlocks S132</v>
      </c>
    </row>
    <row r="1036">
      <c r="A1036" s="7" t="str">
        <f>IFERROR(__xludf.DUMMYFUNCTION("""COMPUTED_VALUE"""),"PE1035")</f>
        <v>PE1035</v>
      </c>
      <c r="B1036" s="7" t="str">
        <f>IFERROR(__xludf.DUMMYFUNCTION("""COMPUTED_VALUE"""),"S117")</f>
        <v>S117</v>
      </c>
      <c r="C1036" s="7" t="str">
        <f>IFERROR(__xludf.DUMMYFUNCTION("""COMPUTED_VALUE"""),"Database Backup, Point-in-Time Recovery &amp; Migration")</f>
        <v>Database Backup, Point-in-Time Recovery &amp; Migration</v>
      </c>
      <c r="D1036" s="7" t="str">
        <f>IFERROR(__xludf.DUMMYFUNCTION("""COMPUTED_VALUE"""),"S114")</f>
        <v>S114</v>
      </c>
      <c r="E1036" s="7" t="str">
        <f>IFERROR(__xludf.DUMMYFUNCTION("""COMPUTED_VALUE"""),"Database Indexing, Query Plans &amp; Optimization")</f>
        <v>Database Indexing, Query Plans &amp; Optimization</v>
      </c>
      <c r="F1036" s="7" t="str">
        <f>IFERROR(__xludf.DUMMYFUNCTION("""COMPUTED_VALUE"""),"S117 unlocks S114")</f>
        <v>S117 unlocks S114</v>
      </c>
    </row>
    <row r="1037">
      <c r="A1037" s="7" t="str">
        <f>IFERROR(__xludf.DUMMYFUNCTION("""COMPUTED_VALUE"""),"PE1036")</f>
        <v>PE1036</v>
      </c>
      <c r="B1037" s="7" t="str">
        <f>IFERROR(__xludf.DUMMYFUNCTION("""COMPUTED_VALUE"""),"S117")</f>
        <v>S117</v>
      </c>
      <c r="C1037" s="7" t="str">
        <f>IFERROR(__xludf.DUMMYFUNCTION("""COMPUTED_VALUE"""),"Database Backup, Point-in-Time Recovery &amp; Migration")</f>
        <v>Database Backup, Point-in-Time Recovery &amp; Migration</v>
      </c>
      <c r="D1037" s="7" t="str">
        <f>IFERROR(__xludf.DUMMYFUNCTION("""COMPUTED_VALUE"""),"S115")</f>
        <v>S115</v>
      </c>
      <c r="E1037" s="7" t="str">
        <f>IFERROR(__xludf.DUMMYFUNCTION("""COMPUTED_VALUE"""),"ACID Transactions, Locking &amp; Isolation Levels")</f>
        <v>ACID Transactions, Locking &amp; Isolation Levels</v>
      </c>
      <c r="F1037" s="7" t="str">
        <f>IFERROR(__xludf.DUMMYFUNCTION("""COMPUTED_VALUE"""),"S117 unlocks S115")</f>
        <v>S117 unlocks S115</v>
      </c>
    </row>
    <row r="1038">
      <c r="A1038" s="7" t="str">
        <f>IFERROR(__xludf.DUMMYFUNCTION("""COMPUTED_VALUE"""),"PE1037")</f>
        <v>PE1037</v>
      </c>
      <c r="B1038" s="7" t="str">
        <f>IFERROR(__xludf.DUMMYFUNCTION("""COMPUTED_VALUE"""),"S117")</f>
        <v>S117</v>
      </c>
      <c r="C1038" s="7" t="str">
        <f>IFERROR(__xludf.DUMMYFUNCTION("""COMPUTED_VALUE"""),"Database Backup, Point-in-Time Recovery &amp; Migration")</f>
        <v>Database Backup, Point-in-Time Recovery &amp; Migration</v>
      </c>
      <c r="D1038" s="7" t="str">
        <f>IFERROR(__xludf.DUMMYFUNCTION("""COMPUTED_VALUE"""),"S116")</f>
        <v>S116</v>
      </c>
      <c r="E1038" s="7" t="str">
        <f>IFERROR(__xludf.DUMMYFUNCTION("""COMPUTED_VALUE"""),"Database Replication, Sharding &amp; Partitioning")</f>
        <v>Database Replication, Sharding &amp; Partitioning</v>
      </c>
      <c r="F1038" s="7" t="str">
        <f>IFERROR(__xludf.DUMMYFUNCTION("""COMPUTED_VALUE"""),"S117 unlocks S116")</f>
        <v>S117 unlocks S116</v>
      </c>
    </row>
    <row r="1039">
      <c r="A1039" s="7" t="str">
        <f>IFERROR(__xludf.DUMMYFUNCTION("""COMPUTED_VALUE"""),"PE1038")</f>
        <v>PE1038</v>
      </c>
      <c r="B1039" s="7" t="str">
        <f>IFERROR(__xludf.DUMMYFUNCTION("""COMPUTED_VALUE"""),"S117")</f>
        <v>S117</v>
      </c>
      <c r="C1039" s="7" t="str">
        <f>IFERROR(__xludf.DUMMYFUNCTION("""COMPUTED_VALUE"""),"Database Backup, Point-in-Time Recovery &amp; Migration")</f>
        <v>Database Backup, Point-in-Time Recovery &amp; Migration</v>
      </c>
      <c r="D1039" s="7" t="str">
        <f>IFERROR(__xludf.DUMMYFUNCTION("""COMPUTED_VALUE"""),"S121")</f>
        <v>S121</v>
      </c>
      <c r="E1039" s="7" t="str">
        <f>IFERROR(__xludf.DUMMYFUNCTION("""COMPUTED_VALUE"""),"Wide-Column Stores (Apache Cassandra, ScyllaDB)")</f>
        <v>Wide-Column Stores (Apache Cassandra, ScyllaDB)</v>
      </c>
      <c r="F1039" s="7" t="str">
        <f>IFERROR(__xludf.DUMMYFUNCTION("""COMPUTED_VALUE"""),"S117 unlocks S121")</f>
        <v>S117 unlocks S121</v>
      </c>
    </row>
    <row r="1040">
      <c r="A1040" s="7" t="str">
        <f>IFERROR(__xludf.DUMMYFUNCTION("""COMPUTED_VALUE"""),"PE1039")</f>
        <v>PE1039</v>
      </c>
      <c r="B1040" s="7" t="str">
        <f>IFERROR(__xludf.DUMMYFUNCTION("""COMPUTED_VALUE"""),"S117")</f>
        <v>S117</v>
      </c>
      <c r="C1040" s="7" t="str">
        <f>IFERROR(__xludf.DUMMYFUNCTION("""COMPUTED_VALUE"""),"Database Backup, Point-in-Time Recovery &amp; Migration")</f>
        <v>Database Backup, Point-in-Time Recovery &amp; Migration</v>
      </c>
      <c r="D1040" s="7" t="str">
        <f>IFERROR(__xludf.DUMMYFUNCTION("""COMPUTED_VALUE"""),"S123")</f>
        <v>S123</v>
      </c>
      <c r="E1040" s="7" t="str">
        <f>IFERROR(__xludf.DUMMYFUNCTION("""COMPUTED_VALUE"""),"Graph Databases &amp; Cypher (Neo4j)")</f>
        <v>Graph Databases &amp; Cypher (Neo4j)</v>
      </c>
      <c r="F1040" s="7" t="str">
        <f>IFERROR(__xludf.DUMMYFUNCTION("""COMPUTED_VALUE"""),"S117 unlocks S123")</f>
        <v>S117 unlocks S123</v>
      </c>
    </row>
    <row r="1041">
      <c r="A1041" s="7" t="str">
        <f>IFERROR(__xludf.DUMMYFUNCTION("""COMPUTED_VALUE"""),"PE1040")</f>
        <v>PE1040</v>
      </c>
      <c r="B1041" s="7" t="str">
        <f>IFERROR(__xludf.DUMMYFUNCTION("""COMPUTED_VALUE"""),"S117")</f>
        <v>S117</v>
      </c>
      <c r="C1041" s="7" t="str">
        <f>IFERROR(__xludf.DUMMYFUNCTION("""COMPUTED_VALUE"""),"Database Backup, Point-in-Time Recovery &amp; Migration")</f>
        <v>Database Backup, Point-in-Time Recovery &amp; Migration</v>
      </c>
      <c r="D1041" s="7" t="str">
        <f>IFERROR(__xludf.DUMMYFUNCTION("""COMPUTED_VALUE"""),"S125")</f>
        <v>S125</v>
      </c>
      <c r="E1041" s="7" t="str">
        <f>IFERROR(__xludf.DUMMYFUNCTION("""COMPUTED_VALUE"""),"Vector Databases (Pinecone, Milvus, Weaviate, pgvector)")</f>
        <v>Vector Databases (Pinecone, Milvus, Weaviate, pgvector)</v>
      </c>
      <c r="F1041" s="7" t="str">
        <f>IFERROR(__xludf.DUMMYFUNCTION("""COMPUTED_VALUE"""),"S117 unlocks S125")</f>
        <v>S117 unlocks S125</v>
      </c>
    </row>
    <row r="1042">
      <c r="A1042" s="7" t="str">
        <f>IFERROR(__xludf.DUMMYFUNCTION("""COMPUTED_VALUE"""),"PE1041")</f>
        <v>PE1041</v>
      </c>
      <c r="B1042" s="7" t="str">
        <f>IFERROR(__xludf.DUMMYFUNCTION("""COMPUTED_VALUE"""),"S117")</f>
        <v>S117</v>
      </c>
      <c r="C1042" s="7" t="str">
        <f>IFERROR(__xludf.DUMMYFUNCTION("""COMPUTED_VALUE"""),"Database Backup, Point-in-Time Recovery &amp; Migration")</f>
        <v>Database Backup, Point-in-Time Recovery &amp; Migration</v>
      </c>
      <c r="D1042" s="7" t="str">
        <f>IFERROR(__xludf.DUMMYFUNCTION("""COMPUTED_VALUE"""),"S127")</f>
        <v>S127</v>
      </c>
      <c r="E1042" s="7" t="str">
        <f>IFERROR(__xludf.DUMMYFUNCTION("""COMPUTED_VALUE"""),"Workflow Orchestration (Apache Airflow, Prefect, Dagster)")</f>
        <v>Workflow Orchestration (Apache Airflow, Prefect, Dagster)</v>
      </c>
      <c r="F1042" s="7" t="str">
        <f>IFERROR(__xludf.DUMMYFUNCTION("""COMPUTED_VALUE"""),"S117 unlocks S127")</f>
        <v>S117 unlocks S127</v>
      </c>
    </row>
    <row r="1043">
      <c r="A1043" s="7" t="str">
        <f>IFERROR(__xludf.DUMMYFUNCTION("""COMPUTED_VALUE"""),"PE1042")</f>
        <v>PE1042</v>
      </c>
      <c r="B1043" s="7" t="str">
        <f>IFERROR(__xludf.DUMMYFUNCTION("""COMPUTED_VALUE"""),"S117")</f>
        <v>S117</v>
      </c>
      <c r="C1043" s="7" t="str">
        <f>IFERROR(__xludf.DUMMYFUNCTION("""COMPUTED_VALUE"""),"Database Backup, Point-in-Time Recovery &amp; Migration")</f>
        <v>Database Backup, Point-in-Time Recovery &amp; Migration</v>
      </c>
      <c r="D1043" s="7" t="str">
        <f>IFERROR(__xludf.DUMMYFUNCTION("""COMPUTED_VALUE"""),"S128")</f>
        <v>S128</v>
      </c>
      <c r="E1043" s="7" t="str">
        <f>IFERROR(__xludf.DUMMYFUNCTION("""COMPUTED_VALUE"""),"Distributed Data Processing (Apache Spark, PySpark)")</f>
        <v>Distributed Data Processing (Apache Spark, PySpark)</v>
      </c>
      <c r="F1043" s="7" t="str">
        <f>IFERROR(__xludf.DUMMYFUNCTION("""COMPUTED_VALUE"""),"S117 unlocks S128")</f>
        <v>S117 unlocks S128</v>
      </c>
    </row>
    <row r="1044">
      <c r="A1044" s="7" t="str">
        <f>IFERROR(__xludf.DUMMYFUNCTION("""COMPUTED_VALUE"""),"PE1043")</f>
        <v>PE1043</v>
      </c>
      <c r="B1044" s="7" t="str">
        <f>IFERROR(__xludf.DUMMYFUNCTION("""COMPUTED_VALUE"""),"S117")</f>
        <v>S117</v>
      </c>
      <c r="C1044" s="7" t="str">
        <f>IFERROR(__xludf.DUMMYFUNCTION("""COMPUTED_VALUE"""),"Database Backup, Point-in-Time Recovery &amp; Migration")</f>
        <v>Database Backup, Point-in-Time Recovery &amp; Migration</v>
      </c>
      <c r="D1044" s="7" t="str">
        <f>IFERROR(__xludf.DUMMYFUNCTION("""COMPUTED_VALUE"""),"S129")</f>
        <v>S129</v>
      </c>
      <c r="E1044" s="7" t="str">
        <f>IFERROR(__xludf.DUMMYFUNCTION("""COMPUTED_VALUE"""),"Stream Processing (Apache Flink, Kafka Streams)")</f>
        <v>Stream Processing (Apache Flink, Kafka Streams)</v>
      </c>
      <c r="F1044" s="7" t="str">
        <f>IFERROR(__xludf.DUMMYFUNCTION("""COMPUTED_VALUE"""),"S117 unlocks S129")</f>
        <v>S117 unlocks S129</v>
      </c>
    </row>
    <row r="1045">
      <c r="A1045" s="7" t="str">
        <f>IFERROR(__xludf.DUMMYFUNCTION("""COMPUTED_VALUE"""),"PE1044")</f>
        <v>PE1044</v>
      </c>
      <c r="B1045" s="7" t="str">
        <f>IFERROR(__xludf.DUMMYFUNCTION("""COMPUTED_VALUE"""),"S117")</f>
        <v>S117</v>
      </c>
      <c r="C1045" s="7" t="str">
        <f>IFERROR(__xludf.DUMMYFUNCTION("""COMPUTED_VALUE"""),"Database Backup, Point-in-Time Recovery &amp; Migration")</f>
        <v>Database Backup, Point-in-Time Recovery &amp; Migration</v>
      </c>
      <c r="D1045" s="7" t="str">
        <f>IFERROR(__xludf.DUMMYFUNCTION("""COMPUTED_VALUE"""),"S131")</f>
        <v>S131</v>
      </c>
      <c r="E1045" s="7" t="str">
        <f>IFERROR(__xludf.DUMMYFUNCTION("""COMPUTED_VALUE"""),"Cloud Data Warehousing (Snowflake, Google BigQuery, AWS Redshift)")</f>
        <v>Cloud Data Warehousing (Snowflake, Google BigQuery, AWS Redshift)</v>
      </c>
      <c r="F1045" s="7" t="str">
        <f>IFERROR(__xludf.DUMMYFUNCTION("""COMPUTED_VALUE"""),"S117 unlocks S131")</f>
        <v>S117 unlocks S131</v>
      </c>
    </row>
    <row r="1046">
      <c r="A1046" s="7" t="str">
        <f>IFERROR(__xludf.DUMMYFUNCTION("""COMPUTED_VALUE"""),"PE1045")</f>
        <v>PE1045</v>
      </c>
      <c r="B1046" s="7" t="str">
        <f>IFERROR(__xludf.DUMMYFUNCTION("""COMPUTED_VALUE"""),"S117")</f>
        <v>S117</v>
      </c>
      <c r="C1046" s="7" t="str">
        <f>IFERROR(__xludf.DUMMYFUNCTION("""COMPUTED_VALUE"""),"Database Backup, Point-in-Time Recovery &amp; Migration")</f>
        <v>Database Backup, Point-in-Time Recovery &amp; Migration</v>
      </c>
      <c r="D1046" s="7" t="str">
        <f>IFERROR(__xludf.DUMMYFUNCTION("""COMPUTED_VALUE"""),"S132")</f>
        <v>S132</v>
      </c>
      <c r="E1046" s="7" t="str">
        <f>IFERROR(__xludf.DUMMYFUNCTION("""COMPUTED_VALUE"""),"Data Lakehouse Architecture (Delta Lake, Apache Iceberg, Databricks)")</f>
        <v>Data Lakehouse Architecture (Delta Lake, Apache Iceberg, Databricks)</v>
      </c>
      <c r="F1046" s="7" t="str">
        <f>IFERROR(__xludf.DUMMYFUNCTION("""COMPUTED_VALUE"""),"S117 unlocks S132")</f>
        <v>S117 unlocks S132</v>
      </c>
    </row>
    <row r="1047">
      <c r="A1047" s="7" t="str">
        <f>IFERROR(__xludf.DUMMYFUNCTION("""COMPUTED_VALUE"""),"PE1046")</f>
        <v>PE1046</v>
      </c>
      <c r="B1047" s="7" t="str">
        <f>IFERROR(__xludf.DUMMYFUNCTION("""COMPUTED_VALUE"""),"S118")</f>
        <v>S118</v>
      </c>
      <c r="C1047" s="7" t="str">
        <f>IFERROR(__xludf.DUMMYFUNCTION("""COMPUTED_VALUE"""),"Object-Relational Mapping (ORM: Hibernate, JPA, Prisma, SQLAlchemy)")</f>
        <v>Object-Relational Mapping (ORM: Hibernate, JPA, Prisma, SQLAlchemy)</v>
      </c>
      <c r="D1047" s="7" t="str">
        <f>IFERROR(__xludf.DUMMYFUNCTION("""COMPUTED_VALUE"""),"S114")</f>
        <v>S114</v>
      </c>
      <c r="E1047" s="7" t="str">
        <f>IFERROR(__xludf.DUMMYFUNCTION("""COMPUTED_VALUE"""),"Database Indexing, Query Plans &amp; Optimization")</f>
        <v>Database Indexing, Query Plans &amp; Optimization</v>
      </c>
      <c r="F1047" s="7" t="str">
        <f>IFERROR(__xludf.DUMMYFUNCTION("""COMPUTED_VALUE"""),"S118 unlocks S114")</f>
        <v>S118 unlocks S114</v>
      </c>
    </row>
    <row r="1048">
      <c r="A1048" s="7" t="str">
        <f>IFERROR(__xludf.DUMMYFUNCTION("""COMPUTED_VALUE"""),"PE1047")</f>
        <v>PE1047</v>
      </c>
      <c r="B1048" s="7" t="str">
        <f>IFERROR(__xludf.DUMMYFUNCTION("""COMPUTED_VALUE"""),"S118")</f>
        <v>S118</v>
      </c>
      <c r="C1048" s="7" t="str">
        <f>IFERROR(__xludf.DUMMYFUNCTION("""COMPUTED_VALUE"""),"Object-Relational Mapping (ORM: Hibernate, JPA, Prisma, SQLAlchemy)")</f>
        <v>Object-Relational Mapping (ORM: Hibernate, JPA, Prisma, SQLAlchemy)</v>
      </c>
      <c r="D1048" s="7" t="str">
        <f>IFERROR(__xludf.DUMMYFUNCTION("""COMPUTED_VALUE"""),"S115")</f>
        <v>S115</v>
      </c>
      <c r="E1048" s="7" t="str">
        <f>IFERROR(__xludf.DUMMYFUNCTION("""COMPUTED_VALUE"""),"ACID Transactions, Locking &amp; Isolation Levels")</f>
        <v>ACID Transactions, Locking &amp; Isolation Levels</v>
      </c>
      <c r="F1048" s="7" t="str">
        <f>IFERROR(__xludf.DUMMYFUNCTION("""COMPUTED_VALUE"""),"S118 unlocks S115")</f>
        <v>S118 unlocks S115</v>
      </c>
    </row>
    <row r="1049">
      <c r="A1049" s="7" t="str">
        <f>IFERROR(__xludf.DUMMYFUNCTION("""COMPUTED_VALUE"""),"PE1048")</f>
        <v>PE1048</v>
      </c>
      <c r="B1049" s="7" t="str">
        <f>IFERROR(__xludf.DUMMYFUNCTION("""COMPUTED_VALUE"""),"S118")</f>
        <v>S118</v>
      </c>
      <c r="C1049" s="7" t="str">
        <f>IFERROR(__xludf.DUMMYFUNCTION("""COMPUTED_VALUE"""),"Object-Relational Mapping (ORM: Hibernate, JPA, Prisma, SQLAlchemy)")</f>
        <v>Object-Relational Mapping (ORM: Hibernate, JPA, Prisma, SQLAlchemy)</v>
      </c>
      <c r="D1049" s="7" t="str">
        <f>IFERROR(__xludf.DUMMYFUNCTION("""COMPUTED_VALUE"""),"S116")</f>
        <v>S116</v>
      </c>
      <c r="E1049" s="7" t="str">
        <f>IFERROR(__xludf.DUMMYFUNCTION("""COMPUTED_VALUE"""),"Database Replication, Sharding &amp; Partitioning")</f>
        <v>Database Replication, Sharding &amp; Partitioning</v>
      </c>
      <c r="F1049" s="7" t="str">
        <f>IFERROR(__xludf.DUMMYFUNCTION("""COMPUTED_VALUE"""),"S118 unlocks S116")</f>
        <v>S118 unlocks S116</v>
      </c>
    </row>
    <row r="1050">
      <c r="A1050" s="7" t="str">
        <f>IFERROR(__xludf.DUMMYFUNCTION("""COMPUTED_VALUE"""),"PE1049")</f>
        <v>PE1049</v>
      </c>
      <c r="B1050" s="7" t="str">
        <f>IFERROR(__xludf.DUMMYFUNCTION("""COMPUTED_VALUE"""),"S118")</f>
        <v>S118</v>
      </c>
      <c r="C1050" s="7" t="str">
        <f>IFERROR(__xludf.DUMMYFUNCTION("""COMPUTED_VALUE"""),"Object-Relational Mapping (ORM: Hibernate, JPA, Prisma, SQLAlchemy)")</f>
        <v>Object-Relational Mapping (ORM: Hibernate, JPA, Prisma, SQLAlchemy)</v>
      </c>
      <c r="D1050" s="7" t="str">
        <f>IFERROR(__xludf.DUMMYFUNCTION("""COMPUTED_VALUE"""),"S121")</f>
        <v>S121</v>
      </c>
      <c r="E1050" s="7" t="str">
        <f>IFERROR(__xludf.DUMMYFUNCTION("""COMPUTED_VALUE"""),"Wide-Column Stores (Apache Cassandra, ScyllaDB)")</f>
        <v>Wide-Column Stores (Apache Cassandra, ScyllaDB)</v>
      </c>
      <c r="F1050" s="7" t="str">
        <f>IFERROR(__xludf.DUMMYFUNCTION("""COMPUTED_VALUE"""),"S118 unlocks S121")</f>
        <v>S118 unlocks S121</v>
      </c>
    </row>
    <row r="1051">
      <c r="A1051" s="7" t="str">
        <f>IFERROR(__xludf.DUMMYFUNCTION("""COMPUTED_VALUE"""),"PE1050")</f>
        <v>PE1050</v>
      </c>
      <c r="B1051" s="7" t="str">
        <f>IFERROR(__xludf.DUMMYFUNCTION("""COMPUTED_VALUE"""),"S118")</f>
        <v>S118</v>
      </c>
      <c r="C1051" s="7" t="str">
        <f>IFERROR(__xludf.DUMMYFUNCTION("""COMPUTED_VALUE"""),"Object-Relational Mapping (ORM: Hibernate, JPA, Prisma, SQLAlchemy)")</f>
        <v>Object-Relational Mapping (ORM: Hibernate, JPA, Prisma, SQLAlchemy)</v>
      </c>
      <c r="D1051" s="7" t="str">
        <f>IFERROR(__xludf.DUMMYFUNCTION("""COMPUTED_VALUE"""),"S123")</f>
        <v>S123</v>
      </c>
      <c r="E1051" s="7" t="str">
        <f>IFERROR(__xludf.DUMMYFUNCTION("""COMPUTED_VALUE"""),"Graph Databases &amp; Cypher (Neo4j)")</f>
        <v>Graph Databases &amp; Cypher (Neo4j)</v>
      </c>
      <c r="F1051" s="7" t="str">
        <f>IFERROR(__xludf.DUMMYFUNCTION("""COMPUTED_VALUE"""),"S118 unlocks S123")</f>
        <v>S118 unlocks S123</v>
      </c>
    </row>
    <row r="1052">
      <c r="A1052" s="7" t="str">
        <f>IFERROR(__xludf.DUMMYFUNCTION("""COMPUTED_VALUE"""),"PE1051")</f>
        <v>PE1051</v>
      </c>
      <c r="B1052" s="7" t="str">
        <f>IFERROR(__xludf.DUMMYFUNCTION("""COMPUTED_VALUE"""),"S118")</f>
        <v>S118</v>
      </c>
      <c r="C1052" s="7" t="str">
        <f>IFERROR(__xludf.DUMMYFUNCTION("""COMPUTED_VALUE"""),"Object-Relational Mapping (ORM: Hibernate, JPA, Prisma, SQLAlchemy)")</f>
        <v>Object-Relational Mapping (ORM: Hibernate, JPA, Prisma, SQLAlchemy)</v>
      </c>
      <c r="D1052" s="7" t="str">
        <f>IFERROR(__xludf.DUMMYFUNCTION("""COMPUTED_VALUE"""),"S125")</f>
        <v>S125</v>
      </c>
      <c r="E1052" s="7" t="str">
        <f>IFERROR(__xludf.DUMMYFUNCTION("""COMPUTED_VALUE"""),"Vector Databases (Pinecone, Milvus, Weaviate, pgvector)")</f>
        <v>Vector Databases (Pinecone, Milvus, Weaviate, pgvector)</v>
      </c>
      <c r="F1052" s="7" t="str">
        <f>IFERROR(__xludf.DUMMYFUNCTION("""COMPUTED_VALUE"""),"S118 unlocks S125")</f>
        <v>S118 unlocks S125</v>
      </c>
    </row>
    <row r="1053">
      <c r="A1053" s="7" t="str">
        <f>IFERROR(__xludf.DUMMYFUNCTION("""COMPUTED_VALUE"""),"PE1052")</f>
        <v>PE1052</v>
      </c>
      <c r="B1053" s="7" t="str">
        <f>IFERROR(__xludf.DUMMYFUNCTION("""COMPUTED_VALUE"""),"S118")</f>
        <v>S118</v>
      </c>
      <c r="C1053" s="7" t="str">
        <f>IFERROR(__xludf.DUMMYFUNCTION("""COMPUTED_VALUE"""),"Object-Relational Mapping (ORM: Hibernate, JPA, Prisma, SQLAlchemy)")</f>
        <v>Object-Relational Mapping (ORM: Hibernate, JPA, Prisma, SQLAlchemy)</v>
      </c>
      <c r="D1053" s="7" t="str">
        <f>IFERROR(__xludf.DUMMYFUNCTION("""COMPUTED_VALUE"""),"S127")</f>
        <v>S127</v>
      </c>
      <c r="E1053" s="7" t="str">
        <f>IFERROR(__xludf.DUMMYFUNCTION("""COMPUTED_VALUE"""),"Workflow Orchestration (Apache Airflow, Prefect, Dagster)")</f>
        <v>Workflow Orchestration (Apache Airflow, Prefect, Dagster)</v>
      </c>
      <c r="F1053" s="7" t="str">
        <f>IFERROR(__xludf.DUMMYFUNCTION("""COMPUTED_VALUE"""),"S118 unlocks S127")</f>
        <v>S118 unlocks S127</v>
      </c>
    </row>
    <row r="1054">
      <c r="A1054" s="7" t="str">
        <f>IFERROR(__xludf.DUMMYFUNCTION("""COMPUTED_VALUE"""),"PE1053")</f>
        <v>PE1053</v>
      </c>
      <c r="B1054" s="7" t="str">
        <f>IFERROR(__xludf.DUMMYFUNCTION("""COMPUTED_VALUE"""),"S118")</f>
        <v>S118</v>
      </c>
      <c r="C1054" s="7" t="str">
        <f>IFERROR(__xludf.DUMMYFUNCTION("""COMPUTED_VALUE"""),"Object-Relational Mapping (ORM: Hibernate, JPA, Prisma, SQLAlchemy)")</f>
        <v>Object-Relational Mapping (ORM: Hibernate, JPA, Prisma, SQLAlchemy)</v>
      </c>
      <c r="D1054" s="7" t="str">
        <f>IFERROR(__xludf.DUMMYFUNCTION("""COMPUTED_VALUE"""),"S128")</f>
        <v>S128</v>
      </c>
      <c r="E1054" s="7" t="str">
        <f>IFERROR(__xludf.DUMMYFUNCTION("""COMPUTED_VALUE"""),"Distributed Data Processing (Apache Spark, PySpark)")</f>
        <v>Distributed Data Processing (Apache Spark, PySpark)</v>
      </c>
      <c r="F1054" s="7" t="str">
        <f>IFERROR(__xludf.DUMMYFUNCTION("""COMPUTED_VALUE"""),"S118 unlocks S128")</f>
        <v>S118 unlocks S128</v>
      </c>
    </row>
    <row r="1055">
      <c r="A1055" s="7" t="str">
        <f>IFERROR(__xludf.DUMMYFUNCTION("""COMPUTED_VALUE"""),"PE1054")</f>
        <v>PE1054</v>
      </c>
      <c r="B1055" s="7" t="str">
        <f>IFERROR(__xludf.DUMMYFUNCTION("""COMPUTED_VALUE"""),"S118")</f>
        <v>S118</v>
      </c>
      <c r="C1055" s="7" t="str">
        <f>IFERROR(__xludf.DUMMYFUNCTION("""COMPUTED_VALUE"""),"Object-Relational Mapping (ORM: Hibernate, JPA, Prisma, SQLAlchemy)")</f>
        <v>Object-Relational Mapping (ORM: Hibernate, JPA, Prisma, SQLAlchemy)</v>
      </c>
      <c r="D1055" s="7" t="str">
        <f>IFERROR(__xludf.DUMMYFUNCTION("""COMPUTED_VALUE"""),"S129")</f>
        <v>S129</v>
      </c>
      <c r="E1055" s="7" t="str">
        <f>IFERROR(__xludf.DUMMYFUNCTION("""COMPUTED_VALUE"""),"Stream Processing (Apache Flink, Kafka Streams)")</f>
        <v>Stream Processing (Apache Flink, Kafka Streams)</v>
      </c>
      <c r="F1055" s="7" t="str">
        <f>IFERROR(__xludf.DUMMYFUNCTION("""COMPUTED_VALUE"""),"S118 unlocks S129")</f>
        <v>S118 unlocks S129</v>
      </c>
    </row>
    <row r="1056">
      <c r="A1056" s="7" t="str">
        <f>IFERROR(__xludf.DUMMYFUNCTION("""COMPUTED_VALUE"""),"PE1055")</f>
        <v>PE1055</v>
      </c>
      <c r="B1056" s="7" t="str">
        <f>IFERROR(__xludf.DUMMYFUNCTION("""COMPUTED_VALUE"""),"S118")</f>
        <v>S118</v>
      </c>
      <c r="C1056" s="7" t="str">
        <f>IFERROR(__xludf.DUMMYFUNCTION("""COMPUTED_VALUE"""),"Object-Relational Mapping (ORM: Hibernate, JPA, Prisma, SQLAlchemy)")</f>
        <v>Object-Relational Mapping (ORM: Hibernate, JPA, Prisma, SQLAlchemy)</v>
      </c>
      <c r="D1056" s="7" t="str">
        <f>IFERROR(__xludf.DUMMYFUNCTION("""COMPUTED_VALUE"""),"S131")</f>
        <v>S131</v>
      </c>
      <c r="E1056" s="7" t="str">
        <f>IFERROR(__xludf.DUMMYFUNCTION("""COMPUTED_VALUE"""),"Cloud Data Warehousing (Snowflake, Google BigQuery, AWS Redshift)")</f>
        <v>Cloud Data Warehousing (Snowflake, Google BigQuery, AWS Redshift)</v>
      </c>
      <c r="F1056" s="7" t="str">
        <f>IFERROR(__xludf.DUMMYFUNCTION("""COMPUTED_VALUE"""),"S118 unlocks S131")</f>
        <v>S118 unlocks S131</v>
      </c>
    </row>
    <row r="1057">
      <c r="A1057" s="7" t="str">
        <f>IFERROR(__xludf.DUMMYFUNCTION("""COMPUTED_VALUE"""),"PE1056")</f>
        <v>PE1056</v>
      </c>
      <c r="B1057" s="7" t="str">
        <f>IFERROR(__xludf.DUMMYFUNCTION("""COMPUTED_VALUE"""),"S118")</f>
        <v>S118</v>
      </c>
      <c r="C1057" s="7" t="str">
        <f>IFERROR(__xludf.DUMMYFUNCTION("""COMPUTED_VALUE"""),"Object-Relational Mapping (ORM: Hibernate, JPA, Prisma, SQLAlchemy)")</f>
        <v>Object-Relational Mapping (ORM: Hibernate, JPA, Prisma, SQLAlchemy)</v>
      </c>
      <c r="D1057" s="7" t="str">
        <f>IFERROR(__xludf.DUMMYFUNCTION("""COMPUTED_VALUE"""),"S132")</f>
        <v>S132</v>
      </c>
      <c r="E1057" s="7" t="str">
        <f>IFERROR(__xludf.DUMMYFUNCTION("""COMPUTED_VALUE"""),"Data Lakehouse Architecture (Delta Lake, Apache Iceberg, Databricks)")</f>
        <v>Data Lakehouse Architecture (Delta Lake, Apache Iceberg, Databricks)</v>
      </c>
      <c r="F1057" s="7" t="str">
        <f>IFERROR(__xludf.DUMMYFUNCTION("""COMPUTED_VALUE"""),"S118 unlocks S132")</f>
        <v>S118 unlocks S132</v>
      </c>
    </row>
    <row r="1058">
      <c r="A1058" s="7" t="str">
        <f>IFERROR(__xludf.DUMMYFUNCTION("""COMPUTED_VALUE"""),"PE1057")</f>
        <v>PE1057</v>
      </c>
      <c r="B1058" s="7" t="str">
        <f>IFERROR(__xludf.DUMMYFUNCTION("""COMPUTED_VALUE"""),"S119")</f>
        <v>S119</v>
      </c>
      <c r="C1058" s="7" t="str">
        <f>IFERROR(__xludf.DUMMYFUNCTION("""COMPUTED_VALUE"""),"Document Databases (MongoDB)")</f>
        <v>Document Databases (MongoDB)</v>
      </c>
      <c r="D1058" s="7" t="str">
        <f>IFERROR(__xludf.DUMMYFUNCTION("""COMPUTED_VALUE"""),"S114")</f>
        <v>S114</v>
      </c>
      <c r="E1058" s="7" t="str">
        <f>IFERROR(__xludf.DUMMYFUNCTION("""COMPUTED_VALUE"""),"Database Indexing, Query Plans &amp; Optimization")</f>
        <v>Database Indexing, Query Plans &amp; Optimization</v>
      </c>
      <c r="F1058" s="7" t="str">
        <f>IFERROR(__xludf.DUMMYFUNCTION("""COMPUTED_VALUE"""),"S119 unlocks S114")</f>
        <v>S119 unlocks S114</v>
      </c>
    </row>
    <row r="1059">
      <c r="A1059" s="7" t="str">
        <f>IFERROR(__xludf.DUMMYFUNCTION("""COMPUTED_VALUE"""),"PE1058")</f>
        <v>PE1058</v>
      </c>
      <c r="B1059" s="7" t="str">
        <f>IFERROR(__xludf.DUMMYFUNCTION("""COMPUTED_VALUE"""),"S119")</f>
        <v>S119</v>
      </c>
      <c r="C1059" s="7" t="str">
        <f>IFERROR(__xludf.DUMMYFUNCTION("""COMPUTED_VALUE"""),"Document Databases (MongoDB)")</f>
        <v>Document Databases (MongoDB)</v>
      </c>
      <c r="D1059" s="7" t="str">
        <f>IFERROR(__xludf.DUMMYFUNCTION("""COMPUTED_VALUE"""),"S115")</f>
        <v>S115</v>
      </c>
      <c r="E1059" s="7" t="str">
        <f>IFERROR(__xludf.DUMMYFUNCTION("""COMPUTED_VALUE"""),"ACID Transactions, Locking &amp; Isolation Levels")</f>
        <v>ACID Transactions, Locking &amp; Isolation Levels</v>
      </c>
      <c r="F1059" s="7" t="str">
        <f>IFERROR(__xludf.DUMMYFUNCTION("""COMPUTED_VALUE"""),"S119 unlocks S115")</f>
        <v>S119 unlocks S115</v>
      </c>
    </row>
    <row r="1060">
      <c r="A1060" s="7" t="str">
        <f>IFERROR(__xludf.DUMMYFUNCTION("""COMPUTED_VALUE"""),"PE1059")</f>
        <v>PE1059</v>
      </c>
      <c r="B1060" s="7" t="str">
        <f>IFERROR(__xludf.DUMMYFUNCTION("""COMPUTED_VALUE"""),"S119")</f>
        <v>S119</v>
      </c>
      <c r="C1060" s="7" t="str">
        <f>IFERROR(__xludf.DUMMYFUNCTION("""COMPUTED_VALUE"""),"Document Databases (MongoDB)")</f>
        <v>Document Databases (MongoDB)</v>
      </c>
      <c r="D1060" s="7" t="str">
        <f>IFERROR(__xludf.DUMMYFUNCTION("""COMPUTED_VALUE"""),"S116")</f>
        <v>S116</v>
      </c>
      <c r="E1060" s="7" t="str">
        <f>IFERROR(__xludf.DUMMYFUNCTION("""COMPUTED_VALUE"""),"Database Replication, Sharding &amp; Partitioning")</f>
        <v>Database Replication, Sharding &amp; Partitioning</v>
      </c>
      <c r="F1060" s="7" t="str">
        <f>IFERROR(__xludf.DUMMYFUNCTION("""COMPUTED_VALUE"""),"S119 unlocks S116")</f>
        <v>S119 unlocks S116</v>
      </c>
    </row>
    <row r="1061">
      <c r="A1061" s="7" t="str">
        <f>IFERROR(__xludf.DUMMYFUNCTION("""COMPUTED_VALUE"""),"PE1060")</f>
        <v>PE1060</v>
      </c>
      <c r="B1061" s="7" t="str">
        <f>IFERROR(__xludf.DUMMYFUNCTION("""COMPUTED_VALUE"""),"S119")</f>
        <v>S119</v>
      </c>
      <c r="C1061" s="7" t="str">
        <f>IFERROR(__xludf.DUMMYFUNCTION("""COMPUTED_VALUE"""),"Document Databases (MongoDB)")</f>
        <v>Document Databases (MongoDB)</v>
      </c>
      <c r="D1061" s="7" t="str">
        <f>IFERROR(__xludf.DUMMYFUNCTION("""COMPUTED_VALUE"""),"S121")</f>
        <v>S121</v>
      </c>
      <c r="E1061" s="7" t="str">
        <f>IFERROR(__xludf.DUMMYFUNCTION("""COMPUTED_VALUE"""),"Wide-Column Stores (Apache Cassandra, ScyllaDB)")</f>
        <v>Wide-Column Stores (Apache Cassandra, ScyllaDB)</v>
      </c>
      <c r="F1061" s="7" t="str">
        <f>IFERROR(__xludf.DUMMYFUNCTION("""COMPUTED_VALUE"""),"S119 unlocks S121")</f>
        <v>S119 unlocks S121</v>
      </c>
    </row>
    <row r="1062">
      <c r="A1062" s="7" t="str">
        <f>IFERROR(__xludf.DUMMYFUNCTION("""COMPUTED_VALUE"""),"PE1061")</f>
        <v>PE1061</v>
      </c>
      <c r="B1062" s="7" t="str">
        <f>IFERROR(__xludf.DUMMYFUNCTION("""COMPUTED_VALUE"""),"S119")</f>
        <v>S119</v>
      </c>
      <c r="C1062" s="7" t="str">
        <f>IFERROR(__xludf.DUMMYFUNCTION("""COMPUTED_VALUE"""),"Document Databases (MongoDB)")</f>
        <v>Document Databases (MongoDB)</v>
      </c>
      <c r="D1062" s="7" t="str">
        <f>IFERROR(__xludf.DUMMYFUNCTION("""COMPUTED_VALUE"""),"S123")</f>
        <v>S123</v>
      </c>
      <c r="E1062" s="7" t="str">
        <f>IFERROR(__xludf.DUMMYFUNCTION("""COMPUTED_VALUE"""),"Graph Databases &amp; Cypher (Neo4j)")</f>
        <v>Graph Databases &amp; Cypher (Neo4j)</v>
      </c>
      <c r="F1062" s="7" t="str">
        <f>IFERROR(__xludf.DUMMYFUNCTION("""COMPUTED_VALUE"""),"S119 unlocks S123")</f>
        <v>S119 unlocks S123</v>
      </c>
    </row>
    <row r="1063">
      <c r="A1063" s="7" t="str">
        <f>IFERROR(__xludf.DUMMYFUNCTION("""COMPUTED_VALUE"""),"PE1062")</f>
        <v>PE1062</v>
      </c>
      <c r="B1063" s="7" t="str">
        <f>IFERROR(__xludf.DUMMYFUNCTION("""COMPUTED_VALUE"""),"S119")</f>
        <v>S119</v>
      </c>
      <c r="C1063" s="7" t="str">
        <f>IFERROR(__xludf.DUMMYFUNCTION("""COMPUTED_VALUE"""),"Document Databases (MongoDB)")</f>
        <v>Document Databases (MongoDB)</v>
      </c>
      <c r="D1063" s="7" t="str">
        <f>IFERROR(__xludf.DUMMYFUNCTION("""COMPUTED_VALUE"""),"S125")</f>
        <v>S125</v>
      </c>
      <c r="E1063" s="7" t="str">
        <f>IFERROR(__xludf.DUMMYFUNCTION("""COMPUTED_VALUE"""),"Vector Databases (Pinecone, Milvus, Weaviate, pgvector)")</f>
        <v>Vector Databases (Pinecone, Milvus, Weaviate, pgvector)</v>
      </c>
      <c r="F1063" s="7" t="str">
        <f>IFERROR(__xludf.DUMMYFUNCTION("""COMPUTED_VALUE"""),"S119 unlocks S125")</f>
        <v>S119 unlocks S125</v>
      </c>
    </row>
    <row r="1064">
      <c r="A1064" s="7" t="str">
        <f>IFERROR(__xludf.DUMMYFUNCTION("""COMPUTED_VALUE"""),"PE1063")</f>
        <v>PE1063</v>
      </c>
      <c r="B1064" s="7" t="str">
        <f>IFERROR(__xludf.DUMMYFUNCTION("""COMPUTED_VALUE"""),"S119")</f>
        <v>S119</v>
      </c>
      <c r="C1064" s="7" t="str">
        <f>IFERROR(__xludf.DUMMYFUNCTION("""COMPUTED_VALUE"""),"Document Databases (MongoDB)")</f>
        <v>Document Databases (MongoDB)</v>
      </c>
      <c r="D1064" s="7" t="str">
        <f>IFERROR(__xludf.DUMMYFUNCTION("""COMPUTED_VALUE"""),"S127")</f>
        <v>S127</v>
      </c>
      <c r="E1064" s="7" t="str">
        <f>IFERROR(__xludf.DUMMYFUNCTION("""COMPUTED_VALUE"""),"Workflow Orchestration (Apache Airflow, Prefect, Dagster)")</f>
        <v>Workflow Orchestration (Apache Airflow, Prefect, Dagster)</v>
      </c>
      <c r="F1064" s="7" t="str">
        <f>IFERROR(__xludf.DUMMYFUNCTION("""COMPUTED_VALUE"""),"S119 unlocks S127")</f>
        <v>S119 unlocks S127</v>
      </c>
    </row>
    <row r="1065">
      <c r="A1065" s="7" t="str">
        <f>IFERROR(__xludf.DUMMYFUNCTION("""COMPUTED_VALUE"""),"PE1064")</f>
        <v>PE1064</v>
      </c>
      <c r="B1065" s="7" t="str">
        <f>IFERROR(__xludf.DUMMYFUNCTION("""COMPUTED_VALUE"""),"S119")</f>
        <v>S119</v>
      </c>
      <c r="C1065" s="7" t="str">
        <f>IFERROR(__xludf.DUMMYFUNCTION("""COMPUTED_VALUE"""),"Document Databases (MongoDB)")</f>
        <v>Document Databases (MongoDB)</v>
      </c>
      <c r="D1065" s="7" t="str">
        <f>IFERROR(__xludf.DUMMYFUNCTION("""COMPUTED_VALUE"""),"S128")</f>
        <v>S128</v>
      </c>
      <c r="E1065" s="7" t="str">
        <f>IFERROR(__xludf.DUMMYFUNCTION("""COMPUTED_VALUE"""),"Distributed Data Processing (Apache Spark, PySpark)")</f>
        <v>Distributed Data Processing (Apache Spark, PySpark)</v>
      </c>
      <c r="F1065" s="7" t="str">
        <f>IFERROR(__xludf.DUMMYFUNCTION("""COMPUTED_VALUE"""),"S119 unlocks S128")</f>
        <v>S119 unlocks S128</v>
      </c>
    </row>
    <row r="1066">
      <c r="A1066" s="7" t="str">
        <f>IFERROR(__xludf.DUMMYFUNCTION("""COMPUTED_VALUE"""),"PE1065")</f>
        <v>PE1065</v>
      </c>
      <c r="B1066" s="7" t="str">
        <f>IFERROR(__xludf.DUMMYFUNCTION("""COMPUTED_VALUE"""),"S119")</f>
        <v>S119</v>
      </c>
      <c r="C1066" s="7" t="str">
        <f>IFERROR(__xludf.DUMMYFUNCTION("""COMPUTED_VALUE"""),"Document Databases (MongoDB)")</f>
        <v>Document Databases (MongoDB)</v>
      </c>
      <c r="D1066" s="7" t="str">
        <f>IFERROR(__xludf.DUMMYFUNCTION("""COMPUTED_VALUE"""),"S129")</f>
        <v>S129</v>
      </c>
      <c r="E1066" s="7" t="str">
        <f>IFERROR(__xludf.DUMMYFUNCTION("""COMPUTED_VALUE"""),"Stream Processing (Apache Flink, Kafka Streams)")</f>
        <v>Stream Processing (Apache Flink, Kafka Streams)</v>
      </c>
      <c r="F1066" s="7" t="str">
        <f>IFERROR(__xludf.DUMMYFUNCTION("""COMPUTED_VALUE"""),"S119 unlocks S129")</f>
        <v>S119 unlocks S129</v>
      </c>
    </row>
    <row r="1067">
      <c r="A1067" s="7" t="str">
        <f>IFERROR(__xludf.DUMMYFUNCTION("""COMPUTED_VALUE"""),"PE1066")</f>
        <v>PE1066</v>
      </c>
      <c r="B1067" s="7" t="str">
        <f>IFERROR(__xludf.DUMMYFUNCTION("""COMPUTED_VALUE"""),"S119")</f>
        <v>S119</v>
      </c>
      <c r="C1067" s="7" t="str">
        <f>IFERROR(__xludf.DUMMYFUNCTION("""COMPUTED_VALUE"""),"Document Databases (MongoDB)")</f>
        <v>Document Databases (MongoDB)</v>
      </c>
      <c r="D1067" s="7" t="str">
        <f>IFERROR(__xludf.DUMMYFUNCTION("""COMPUTED_VALUE"""),"S131")</f>
        <v>S131</v>
      </c>
      <c r="E1067" s="7" t="str">
        <f>IFERROR(__xludf.DUMMYFUNCTION("""COMPUTED_VALUE"""),"Cloud Data Warehousing (Snowflake, Google BigQuery, AWS Redshift)")</f>
        <v>Cloud Data Warehousing (Snowflake, Google BigQuery, AWS Redshift)</v>
      </c>
      <c r="F1067" s="7" t="str">
        <f>IFERROR(__xludf.DUMMYFUNCTION("""COMPUTED_VALUE"""),"S119 unlocks S131")</f>
        <v>S119 unlocks S131</v>
      </c>
    </row>
    <row r="1068">
      <c r="A1068" s="7" t="str">
        <f>IFERROR(__xludf.DUMMYFUNCTION("""COMPUTED_VALUE"""),"PE1067")</f>
        <v>PE1067</v>
      </c>
      <c r="B1068" s="7" t="str">
        <f>IFERROR(__xludf.DUMMYFUNCTION("""COMPUTED_VALUE"""),"S119")</f>
        <v>S119</v>
      </c>
      <c r="C1068" s="7" t="str">
        <f>IFERROR(__xludf.DUMMYFUNCTION("""COMPUTED_VALUE"""),"Document Databases (MongoDB)")</f>
        <v>Document Databases (MongoDB)</v>
      </c>
      <c r="D1068" s="7" t="str">
        <f>IFERROR(__xludf.DUMMYFUNCTION("""COMPUTED_VALUE"""),"S132")</f>
        <v>S132</v>
      </c>
      <c r="E1068" s="7" t="str">
        <f>IFERROR(__xludf.DUMMYFUNCTION("""COMPUTED_VALUE"""),"Data Lakehouse Architecture (Delta Lake, Apache Iceberg, Databricks)")</f>
        <v>Data Lakehouse Architecture (Delta Lake, Apache Iceberg, Databricks)</v>
      </c>
      <c r="F1068" s="7" t="str">
        <f>IFERROR(__xludf.DUMMYFUNCTION("""COMPUTED_VALUE"""),"S119 unlocks S132")</f>
        <v>S119 unlocks S132</v>
      </c>
    </row>
    <row r="1069">
      <c r="A1069" s="7" t="str">
        <f>IFERROR(__xludf.DUMMYFUNCTION("""COMPUTED_VALUE"""),"PE1068")</f>
        <v>PE1068</v>
      </c>
      <c r="B1069" s="7" t="str">
        <f>IFERROR(__xludf.DUMMYFUNCTION("""COMPUTED_VALUE"""),"S120")</f>
        <v>S120</v>
      </c>
      <c r="C1069" s="7" t="str">
        <f>IFERROR(__xludf.DUMMYFUNCTION("""COMPUTED_VALUE"""),"Key-Value Stores &amp; In-Memory DBs (Redis, Memcached)")</f>
        <v>Key-Value Stores &amp; In-Memory DBs (Redis, Memcached)</v>
      </c>
      <c r="D1069" s="7" t="str">
        <f>IFERROR(__xludf.DUMMYFUNCTION("""COMPUTED_VALUE"""),"S114")</f>
        <v>S114</v>
      </c>
      <c r="E1069" s="7" t="str">
        <f>IFERROR(__xludf.DUMMYFUNCTION("""COMPUTED_VALUE"""),"Database Indexing, Query Plans &amp; Optimization")</f>
        <v>Database Indexing, Query Plans &amp; Optimization</v>
      </c>
      <c r="F1069" s="7" t="str">
        <f>IFERROR(__xludf.DUMMYFUNCTION("""COMPUTED_VALUE"""),"S120 unlocks S114")</f>
        <v>S120 unlocks S114</v>
      </c>
    </row>
    <row r="1070">
      <c r="A1070" s="7" t="str">
        <f>IFERROR(__xludf.DUMMYFUNCTION("""COMPUTED_VALUE"""),"PE1069")</f>
        <v>PE1069</v>
      </c>
      <c r="B1070" s="7" t="str">
        <f>IFERROR(__xludf.DUMMYFUNCTION("""COMPUTED_VALUE"""),"S120")</f>
        <v>S120</v>
      </c>
      <c r="C1070" s="7" t="str">
        <f>IFERROR(__xludf.DUMMYFUNCTION("""COMPUTED_VALUE"""),"Key-Value Stores &amp; In-Memory DBs (Redis, Memcached)")</f>
        <v>Key-Value Stores &amp; In-Memory DBs (Redis, Memcached)</v>
      </c>
      <c r="D1070" s="7" t="str">
        <f>IFERROR(__xludf.DUMMYFUNCTION("""COMPUTED_VALUE"""),"S115")</f>
        <v>S115</v>
      </c>
      <c r="E1070" s="7" t="str">
        <f>IFERROR(__xludf.DUMMYFUNCTION("""COMPUTED_VALUE"""),"ACID Transactions, Locking &amp; Isolation Levels")</f>
        <v>ACID Transactions, Locking &amp; Isolation Levels</v>
      </c>
      <c r="F1070" s="7" t="str">
        <f>IFERROR(__xludf.DUMMYFUNCTION("""COMPUTED_VALUE"""),"S120 unlocks S115")</f>
        <v>S120 unlocks S115</v>
      </c>
    </row>
    <row r="1071">
      <c r="A1071" s="7" t="str">
        <f>IFERROR(__xludf.DUMMYFUNCTION("""COMPUTED_VALUE"""),"PE1070")</f>
        <v>PE1070</v>
      </c>
      <c r="B1071" s="7" t="str">
        <f>IFERROR(__xludf.DUMMYFUNCTION("""COMPUTED_VALUE"""),"S120")</f>
        <v>S120</v>
      </c>
      <c r="C1071" s="7" t="str">
        <f>IFERROR(__xludf.DUMMYFUNCTION("""COMPUTED_VALUE"""),"Key-Value Stores &amp; In-Memory DBs (Redis, Memcached)")</f>
        <v>Key-Value Stores &amp; In-Memory DBs (Redis, Memcached)</v>
      </c>
      <c r="D1071" s="7" t="str">
        <f>IFERROR(__xludf.DUMMYFUNCTION("""COMPUTED_VALUE"""),"S116")</f>
        <v>S116</v>
      </c>
      <c r="E1071" s="7" t="str">
        <f>IFERROR(__xludf.DUMMYFUNCTION("""COMPUTED_VALUE"""),"Database Replication, Sharding &amp; Partitioning")</f>
        <v>Database Replication, Sharding &amp; Partitioning</v>
      </c>
      <c r="F1071" s="7" t="str">
        <f>IFERROR(__xludf.DUMMYFUNCTION("""COMPUTED_VALUE"""),"S120 unlocks S116")</f>
        <v>S120 unlocks S116</v>
      </c>
    </row>
    <row r="1072">
      <c r="A1072" s="7" t="str">
        <f>IFERROR(__xludf.DUMMYFUNCTION("""COMPUTED_VALUE"""),"PE1071")</f>
        <v>PE1071</v>
      </c>
      <c r="B1072" s="7" t="str">
        <f>IFERROR(__xludf.DUMMYFUNCTION("""COMPUTED_VALUE"""),"S120")</f>
        <v>S120</v>
      </c>
      <c r="C1072" s="7" t="str">
        <f>IFERROR(__xludf.DUMMYFUNCTION("""COMPUTED_VALUE"""),"Key-Value Stores &amp; In-Memory DBs (Redis, Memcached)")</f>
        <v>Key-Value Stores &amp; In-Memory DBs (Redis, Memcached)</v>
      </c>
      <c r="D1072" s="7" t="str">
        <f>IFERROR(__xludf.DUMMYFUNCTION("""COMPUTED_VALUE"""),"S121")</f>
        <v>S121</v>
      </c>
      <c r="E1072" s="7" t="str">
        <f>IFERROR(__xludf.DUMMYFUNCTION("""COMPUTED_VALUE"""),"Wide-Column Stores (Apache Cassandra, ScyllaDB)")</f>
        <v>Wide-Column Stores (Apache Cassandra, ScyllaDB)</v>
      </c>
      <c r="F1072" s="7" t="str">
        <f>IFERROR(__xludf.DUMMYFUNCTION("""COMPUTED_VALUE"""),"S120 unlocks S121")</f>
        <v>S120 unlocks S121</v>
      </c>
    </row>
    <row r="1073">
      <c r="A1073" s="7" t="str">
        <f>IFERROR(__xludf.DUMMYFUNCTION("""COMPUTED_VALUE"""),"PE1072")</f>
        <v>PE1072</v>
      </c>
      <c r="B1073" s="7" t="str">
        <f>IFERROR(__xludf.DUMMYFUNCTION("""COMPUTED_VALUE"""),"S120")</f>
        <v>S120</v>
      </c>
      <c r="C1073" s="7" t="str">
        <f>IFERROR(__xludf.DUMMYFUNCTION("""COMPUTED_VALUE"""),"Key-Value Stores &amp; In-Memory DBs (Redis, Memcached)")</f>
        <v>Key-Value Stores &amp; In-Memory DBs (Redis, Memcached)</v>
      </c>
      <c r="D1073" s="7" t="str">
        <f>IFERROR(__xludf.DUMMYFUNCTION("""COMPUTED_VALUE"""),"S123")</f>
        <v>S123</v>
      </c>
      <c r="E1073" s="7" t="str">
        <f>IFERROR(__xludf.DUMMYFUNCTION("""COMPUTED_VALUE"""),"Graph Databases &amp; Cypher (Neo4j)")</f>
        <v>Graph Databases &amp; Cypher (Neo4j)</v>
      </c>
      <c r="F1073" s="7" t="str">
        <f>IFERROR(__xludf.DUMMYFUNCTION("""COMPUTED_VALUE"""),"S120 unlocks S123")</f>
        <v>S120 unlocks S123</v>
      </c>
    </row>
    <row r="1074">
      <c r="A1074" s="7" t="str">
        <f>IFERROR(__xludf.DUMMYFUNCTION("""COMPUTED_VALUE"""),"PE1073")</f>
        <v>PE1073</v>
      </c>
      <c r="B1074" s="7" t="str">
        <f>IFERROR(__xludf.DUMMYFUNCTION("""COMPUTED_VALUE"""),"S120")</f>
        <v>S120</v>
      </c>
      <c r="C1074" s="7" t="str">
        <f>IFERROR(__xludf.DUMMYFUNCTION("""COMPUTED_VALUE"""),"Key-Value Stores &amp; In-Memory DBs (Redis, Memcached)")</f>
        <v>Key-Value Stores &amp; In-Memory DBs (Redis, Memcached)</v>
      </c>
      <c r="D1074" s="7" t="str">
        <f>IFERROR(__xludf.DUMMYFUNCTION("""COMPUTED_VALUE"""),"S125")</f>
        <v>S125</v>
      </c>
      <c r="E1074" s="7" t="str">
        <f>IFERROR(__xludf.DUMMYFUNCTION("""COMPUTED_VALUE"""),"Vector Databases (Pinecone, Milvus, Weaviate, pgvector)")</f>
        <v>Vector Databases (Pinecone, Milvus, Weaviate, pgvector)</v>
      </c>
      <c r="F1074" s="7" t="str">
        <f>IFERROR(__xludf.DUMMYFUNCTION("""COMPUTED_VALUE"""),"S120 unlocks S125")</f>
        <v>S120 unlocks S125</v>
      </c>
    </row>
    <row r="1075">
      <c r="A1075" s="7" t="str">
        <f>IFERROR(__xludf.DUMMYFUNCTION("""COMPUTED_VALUE"""),"PE1074")</f>
        <v>PE1074</v>
      </c>
      <c r="B1075" s="7" t="str">
        <f>IFERROR(__xludf.DUMMYFUNCTION("""COMPUTED_VALUE"""),"S120")</f>
        <v>S120</v>
      </c>
      <c r="C1075" s="7" t="str">
        <f>IFERROR(__xludf.DUMMYFUNCTION("""COMPUTED_VALUE"""),"Key-Value Stores &amp; In-Memory DBs (Redis, Memcached)")</f>
        <v>Key-Value Stores &amp; In-Memory DBs (Redis, Memcached)</v>
      </c>
      <c r="D1075" s="7" t="str">
        <f>IFERROR(__xludf.DUMMYFUNCTION("""COMPUTED_VALUE"""),"S127")</f>
        <v>S127</v>
      </c>
      <c r="E1075" s="7" t="str">
        <f>IFERROR(__xludf.DUMMYFUNCTION("""COMPUTED_VALUE"""),"Workflow Orchestration (Apache Airflow, Prefect, Dagster)")</f>
        <v>Workflow Orchestration (Apache Airflow, Prefect, Dagster)</v>
      </c>
      <c r="F1075" s="7" t="str">
        <f>IFERROR(__xludf.DUMMYFUNCTION("""COMPUTED_VALUE"""),"S120 unlocks S127")</f>
        <v>S120 unlocks S127</v>
      </c>
    </row>
    <row r="1076">
      <c r="A1076" s="7" t="str">
        <f>IFERROR(__xludf.DUMMYFUNCTION("""COMPUTED_VALUE"""),"PE1075")</f>
        <v>PE1075</v>
      </c>
      <c r="B1076" s="7" t="str">
        <f>IFERROR(__xludf.DUMMYFUNCTION("""COMPUTED_VALUE"""),"S120")</f>
        <v>S120</v>
      </c>
      <c r="C1076" s="7" t="str">
        <f>IFERROR(__xludf.DUMMYFUNCTION("""COMPUTED_VALUE"""),"Key-Value Stores &amp; In-Memory DBs (Redis, Memcached)")</f>
        <v>Key-Value Stores &amp; In-Memory DBs (Redis, Memcached)</v>
      </c>
      <c r="D1076" s="7" t="str">
        <f>IFERROR(__xludf.DUMMYFUNCTION("""COMPUTED_VALUE"""),"S128")</f>
        <v>S128</v>
      </c>
      <c r="E1076" s="7" t="str">
        <f>IFERROR(__xludf.DUMMYFUNCTION("""COMPUTED_VALUE"""),"Distributed Data Processing (Apache Spark, PySpark)")</f>
        <v>Distributed Data Processing (Apache Spark, PySpark)</v>
      </c>
      <c r="F1076" s="7" t="str">
        <f>IFERROR(__xludf.DUMMYFUNCTION("""COMPUTED_VALUE"""),"S120 unlocks S128")</f>
        <v>S120 unlocks S128</v>
      </c>
    </row>
    <row r="1077">
      <c r="A1077" s="7" t="str">
        <f>IFERROR(__xludf.DUMMYFUNCTION("""COMPUTED_VALUE"""),"PE1076")</f>
        <v>PE1076</v>
      </c>
      <c r="B1077" s="7" t="str">
        <f>IFERROR(__xludf.DUMMYFUNCTION("""COMPUTED_VALUE"""),"S120")</f>
        <v>S120</v>
      </c>
      <c r="C1077" s="7" t="str">
        <f>IFERROR(__xludf.DUMMYFUNCTION("""COMPUTED_VALUE"""),"Key-Value Stores &amp; In-Memory DBs (Redis, Memcached)")</f>
        <v>Key-Value Stores &amp; In-Memory DBs (Redis, Memcached)</v>
      </c>
      <c r="D1077" s="7" t="str">
        <f>IFERROR(__xludf.DUMMYFUNCTION("""COMPUTED_VALUE"""),"S129")</f>
        <v>S129</v>
      </c>
      <c r="E1077" s="7" t="str">
        <f>IFERROR(__xludf.DUMMYFUNCTION("""COMPUTED_VALUE"""),"Stream Processing (Apache Flink, Kafka Streams)")</f>
        <v>Stream Processing (Apache Flink, Kafka Streams)</v>
      </c>
      <c r="F1077" s="7" t="str">
        <f>IFERROR(__xludf.DUMMYFUNCTION("""COMPUTED_VALUE"""),"S120 unlocks S129")</f>
        <v>S120 unlocks S129</v>
      </c>
    </row>
    <row r="1078">
      <c r="A1078" s="7" t="str">
        <f>IFERROR(__xludf.DUMMYFUNCTION("""COMPUTED_VALUE"""),"PE1077")</f>
        <v>PE1077</v>
      </c>
      <c r="B1078" s="7" t="str">
        <f>IFERROR(__xludf.DUMMYFUNCTION("""COMPUTED_VALUE"""),"S120")</f>
        <v>S120</v>
      </c>
      <c r="C1078" s="7" t="str">
        <f>IFERROR(__xludf.DUMMYFUNCTION("""COMPUTED_VALUE"""),"Key-Value Stores &amp; In-Memory DBs (Redis, Memcached)")</f>
        <v>Key-Value Stores &amp; In-Memory DBs (Redis, Memcached)</v>
      </c>
      <c r="D1078" s="7" t="str">
        <f>IFERROR(__xludf.DUMMYFUNCTION("""COMPUTED_VALUE"""),"S131")</f>
        <v>S131</v>
      </c>
      <c r="E1078" s="7" t="str">
        <f>IFERROR(__xludf.DUMMYFUNCTION("""COMPUTED_VALUE"""),"Cloud Data Warehousing (Snowflake, Google BigQuery, AWS Redshift)")</f>
        <v>Cloud Data Warehousing (Snowflake, Google BigQuery, AWS Redshift)</v>
      </c>
      <c r="F1078" s="7" t="str">
        <f>IFERROR(__xludf.DUMMYFUNCTION("""COMPUTED_VALUE"""),"S120 unlocks S131")</f>
        <v>S120 unlocks S131</v>
      </c>
    </row>
    <row r="1079">
      <c r="A1079" s="7" t="str">
        <f>IFERROR(__xludf.DUMMYFUNCTION("""COMPUTED_VALUE"""),"PE1078")</f>
        <v>PE1078</v>
      </c>
      <c r="B1079" s="7" t="str">
        <f>IFERROR(__xludf.DUMMYFUNCTION("""COMPUTED_VALUE"""),"S120")</f>
        <v>S120</v>
      </c>
      <c r="C1079" s="7" t="str">
        <f>IFERROR(__xludf.DUMMYFUNCTION("""COMPUTED_VALUE"""),"Key-Value Stores &amp; In-Memory DBs (Redis, Memcached)")</f>
        <v>Key-Value Stores &amp; In-Memory DBs (Redis, Memcached)</v>
      </c>
      <c r="D1079" s="7" t="str">
        <f>IFERROR(__xludf.DUMMYFUNCTION("""COMPUTED_VALUE"""),"S132")</f>
        <v>S132</v>
      </c>
      <c r="E1079" s="7" t="str">
        <f>IFERROR(__xludf.DUMMYFUNCTION("""COMPUTED_VALUE"""),"Data Lakehouse Architecture (Delta Lake, Apache Iceberg, Databricks)")</f>
        <v>Data Lakehouse Architecture (Delta Lake, Apache Iceberg, Databricks)</v>
      </c>
      <c r="F1079" s="7" t="str">
        <f>IFERROR(__xludf.DUMMYFUNCTION("""COMPUTED_VALUE"""),"S120 unlocks S132")</f>
        <v>S120 unlocks S132</v>
      </c>
    </row>
    <row r="1080">
      <c r="A1080" s="7" t="str">
        <f>IFERROR(__xludf.DUMMYFUNCTION("""COMPUTED_VALUE"""),"PE1079")</f>
        <v>PE1079</v>
      </c>
      <c r="B1080" s="7" t="str">
        <f>IFERROR(__xludf.DUMMYFUNCTION("""COMPUTED_VALUE"""),"S122")</f>
        <v>S122</v>
      </c>
      <c r="C1080" s="7" t="str">
        <f>IFERROR(__xludf.DUMMYFUNCTION("""COMPUTED_VALUE"""),"Cloud NoSQL Databases (AWS DynamoDB, Firestore)")</f>
        <v>Cloud NoSQL Databases (AWS DynamoDB, Firestore)</v>
      </c>
      <c r="D1080" s="7" t="str">
        <f>IFERROR(__xludf.DUMMYFUNCTION("""COMPUTED_VALUE"""),"S114")</f>
        <v>S114</v>
      </c>
      <c r="E1080" s="7" t="str">
        <f>IFERROR(__xludf.DUMMYFUNCTION("""COMPUTED_VALUE"""),"Database Indexing, Query Plans &amp; Optimization")</f>
        <v>Database Indexing, Query Plans &amp; Optimization</v>
      </c>
      <c r="F1080" s="7" t="str">
        <f>IFERROR(__xludf.DUMMYFUNCTION("""COMPUTED_VALUE"""),"S122 unlocks S114")</f>
        <v>S122 unlocks S114</v>
      </c>
    </row>
    <row r="1081">
      <c r="A1081" s="7" t="str">
        <f>IFERROR(__xludf.DUMMYFUNCTION("""COMPUTED_VALUE"""),"PE1080")</f>
        <v>PE1080</v>
      </c>
      <c r="B1081" s="7" t="str">
        <f>IFERROR(__xludf.DUMMYFUNCTION("""COMPUTED_VALUE"""),"S122")</f>
        <v>S122</v>
      </c>
      <c r="C1081" s="7" t="str">
        <f>IFERROR(__xludf.DUMMYFUNCTION("""COMPUTED_VALUE"""),"Cloud NoSQL Databases (AWS DynamoDB, Firestore)")</f>
        <v>Cloud NoSQL Databases (AWS DynamoDB, Firestore)</v>
      </c>
      <c r="D1081" s="7" t="str">
        <f>IFERROR(__xludf.DUMMYFUNCTION("""COMPUTED_VALUE"""),"S115")</f>
        <v>S115</v>
      </c>
      <c r="E1081" s="7" t="str">
        <f>IFERROR(__xludf.DUMMYFUNCTION("""COMPUTED_VALUE"""),"ACID Transactions, Locking &amp; Isolation Levels")</f>
        <v>ACID Transactions, Locking &amp; Isolation Levels</v>
      </c>
      <c r="F1081" s="7" t="str">
        <f>IFERROR(__xludf.DUMMYFUNCTION("""COMPUTED_VALUE"""),"S122 unlocks S115")</f>
        <v>S122 unlocks S115</v>
      </c>
    </row>
    <row r="1082">
      <c r="A1082" s="7" t="str">
        <f>IFERROR(__xludf.DUMMYFUNCTION("""COMPUTED_VALUE"""),"PE1081")</f>
        <v>PE1081</v>
      </c>
      <c r="B1082" s="7" t="str">
        <f>IFERROR(__xludf.DUMMYFUNCTION("""COMPUTED_VALUE"""),"S122")</f>
        <v>S122</v>
      </c>
      <c r="C1082" s="7" t="str">
        <f>IFERROR(__xludf.DUMMYFUNCTION("""COMPUTED_VALUE"""),"Cloud NoSQL Databases (AWS DynamoDB, Firestore)")</f>
        <v>Cloud NoSQL Databases (AWS DynamoDB, Firestore)</v>
      </c>
      <c r="D1082" s="7" t="str">
        <f>IFERROR(__xludf.DUMMYFUNCTION("""COMPUTED_VALUE"""),"S116")</f>
        <v>S116</v>
      </c>
      <c r="E1082" s="7" t="str">
        <f>IFERROR(__xludf.DUMMYFUNCTION("""COMPUTED_VALUE"""),"Database Replication, Sharding &amp; Partitioning")</f>
        <v>Database Replication, Sharding &amp; Partitioning</v>
      </c>
      <c r="F1082" s="7" t="str">
        <f>IFERROR(__xludf.DUMMYFUNCTION("""COMPUTED_VALUE"""),"S122 unlocks S116")</f>
        <v>S122 unlocks S116</v>
      </c>
    </row>
    <row r="1083">
      <c r="A1083" s="7" t="str">
        <f>IFERROR(__xludf.DUMMYFUNCTION("""COMPUTED_VALUE"""),"PE1082")</f>
        <v>PE1082</v>
      </c>
      <c r="B1083" s="7" t="str">
        <f>IFERROR(__xludf.DUMMYFUNCTION("""COMPUTED_VALUE"""),"S122")</f>
        <v>S122</v>
      </c>
      <c r="C1083" s="7" t="str">
        <f>IFERROR(__xludf.DUMMYFUNCTION("""COMPUTED_VALUE"""),"Cloud NoSQL Databases (AWS DynamoDB, Firestore)")</f>
        <v>Cloud NoSQL Databases (AWS DynamoDB, Firestore)</v>
      </c>
      <c r="D1083" s="7" t="str">
        <f>IFERROR(__xludf.DUMMYFUNCTION("""COMPUTED_VALUE"""),"S121")</f>
        <v>S121</v>
      </c>
      <c r="E1083" s="7" t="str">
        <f>IFERROR(__xludf.DUMMYFUNCTION("""COMPUTED_VALUE"""),"Wide-Column Stores (Apache Cassandra, ScyllaDB)")</f>
        <v>Wide-Column Stores (Apache Cassandra, ScyllaDB)</v>
      </c>
      <c r="F1083" s="7" t="str">
        <f>IFERROR(__xludf.DUMMYFUNCTION("""COMPUTED_VALUE"""),"S122 unlocks S121")</f>
        <v>S122 unlocks S121</v>
      </c>
    </row>
    <row r="1084">
      <c r="A1084" s="7" t="str">
        <f>IFERROR(__xludf.DUMMYFUNCTION("""COMPUTED_VALUE"""),"PE1083")</f>
        <v>PE1083</v>
      </c>
      <c r="B1084" s="7" t="str">
        <f>IFERROR(__xludf.DUMMYFUNCTION("""COMPUTED_VALUE"""),"S122")</f>
        <v>S122</v>
      </c>
      <c r="C1084" s="7" t="str">
        <f>IFERROR(__xludf.DUMMYFUNCTION("""COMPUTED_VALUE"""),"Cloud NoSQL Databases (AWS DynamoDB, Firestore)")</f>
        <v>Cloud NoSQL Databases (AWS DynamoDB, Firestore)</v>
      </c>
      <c r="D1084" s="7" t="str">
        <f>IFERROR(__xludf.DUMMYFUNCTION("""COMPUTED_VALUE"""),"S123")</f>
        <v>S123</v>
      </c>
      <c r="E1084" s="7" t="str">
        <f>IFERROR(__xludf.DUMMYFUNCTION("""COMPUTED_VALUE"""),"Graph Databases &amp; Cypher (Neo4j)")</f>
        <v>Graph Databases &amp; Cypher (Neo4j)</v>
      </c>
      <c r="F1084" s="7" t="str">
        <f>IFERROR(__xludf.DUMMYFUNCTION("""COMPUTED_VALUE"""),"S122 unlocks S123")</f>
        <v>S122 unlocks S123</v>
      </c>
    </row>
    <row r="1085">
      <c r="A1085" s="7" t="str">
        <f>IFERROR(__xludf.DUMMYFUNCTION("""COMPUTED_VALUE"""),"PE1084")</f>
        <v>PE1084</v>
      </c>
      <c r="B1085" s="7" t="str">
        <f>IFERROR(__xludf.DUMMYFUNCTION("""COMPUTED_VALUE"""),"S122")</f>
        <v>S122</v>
      </c>
      <c r="C1085" s="7" t="str">
        <f>IFERROR(__xludf.DUMMYFUNCTION("""COMPUTED_VALUE"""),"Cloud NoSQL Databases (AWS DynamoDB, Firestore)")</f>
        <v>Cloud NoSQL Databases (AWS DynamoDB, Firestore)</v>
      </c>
      <c r="D1085" s="7" t="str">
        <f>IFERROR(__xludf.DUMMYFUNCTION("""COMPUTED_VALUE"""),"S125")</f>
        <v>S125</v>
      </c>
      <c r="E1085" s="7" t="str">
        <f>IFERROR(__xludf.DUMMYFUNCTION("""COMPUTED_VALUE"""),"Vector Databases (Pinecone, Milvus, Weaviate, pgvector)")</f>
        <v>Vector Databases (Pinecone, Milvus, Weaviate, pgvector)</v>
      </c>
      <c r="F1085" s="7" t="str">
        <f>IFERROR(__xludf.DUMMYFUNCTION("""COMPUTED_VALUE"""),"S122 unlocks S125")</f>
        <v>S122 unlocks S125</v>
      </c>
    </row>
    <row r="1086">
      <c r="A1086" s="7" t="str">
        <f>IFERROR(__xludf.DUMMYFUNCTION("""COMPUTED_VALUE"""),"PE1085")</f>
        <v>PE1085</v>
      </c>
      <c r="B1086" s="7" t="str">
        <f>IFERROR(__xludf.DUMMYFUNCTION("""COMPUTED_VALUE"""),"S122")</f>
        <v>S122</v>
      </c>
      <c r="C1086" s="7" t="str">
        <f>IFERROR(__xludf.DUMMYFUNCTION("""COMPUTED_VALUE"""),"Cloud NoSQL Databases (AWS DynamoDB, Firestore)")</f>
        <v>Cloud NoSQL Databases (AWS DynamoDB, Firestore)</v>
      </c>
      <c r="D1086" s="7" t="str">
        <f>IFERROR(__xludf.DUMMYFUNCTION("""COMPUTED_VALUE"""),"S127")</f>
        <v>S127</v>
      </c>
      <c r="E1086" s="7" t="str">
        <f>IFERROR(__xludf.DUMMYFUNCTION("""COMPUTED_VALUE"""),"Workflow Orchestration (Apache Airflow, Prefect, Dagster)")</f>
        <v>Workflow Orchestration (Apache Airflow, Prefect, Dagster)</v>
      </c>
      <c r="F1086" s="7" t="str">
        <f>IFERROR(__xludf.DUMMYFUNCTION("""COMPUTED_VALUE"""),"S122 unlocks S127")</f>
        <v>S122 unlocks S127</v>
      </c>
    </row>
    <row r="1087">
      <c r="A1087" s="7" t="str">
        <f>IFERROR(__xludf.DUMMYFUNCTION("""COMPUTED_VALUE"""),"PE1086")</f>
        <v>PE1086</v>
      </c>
      <c r="B1087" s="7" t="str">
        <f>IFERROR(__xludf.DUMMYFUNCTION("""COMPUTED_VALUE"""),"S122")</f>
        <v>S122</v>
      </c>
      <c r="C1087" s="7" t="str">
        <f>IFERROR(__xludf.DUMMYFUNCTION("""COMPUTED_VALUE"""),"Cloud NoSQL Databases (AWS DynamoDB, Firestore)")</f>
        <v>Cloud NoSQL Databases (AWS DynamoDB, Firestore)</v>
      </c>
      <c r="D1087" s="7" t="str">
        <f>IFERROR(__xludf.DUMMYFUNCTION("""COMPUTED_VALUE"""),"S128")</f>
        <v>S128</v>
      </c>
      <c r="E1087" s="7" t="str">
        <f>IFERROR(__xludf.DUMMYFUNCTION("""COMPUTED_VALUE"""),"Distributed Data Processing (Apache Spark, PySpark)")</f>
        <v>Distributed Data Processing (Apache Spark, PySpark)</v>
      </c>
      <c r="F1087" s="7" t="str">
        <f>IFERROR(__xludf.DUMMYFUNCTION("""COMPUTED_VALUE"""),"S122 unlocks S128")</f>
        <v>S122 unlocks S128</v>
      </c>
    </row>
    <row r="1088">
      <c r="A1088" s="7" t="str">
        <f>IFERROR(__xludf.DUMMYFUNCTION("""COMPUTED_VALUE"""),"PE1087")</f>
        <v>PE1087</v>
      </c>
      <c r="B1088" s="7" t="str">
        <f>IFERROR(__xludf.DUMMYFUNCTION("""COMPUTED_VALUE"""),"S122")</f>
        <v>S122</v>
      </c>
      <c r="C1088" s="7" t="str">
        <f>IFERROR(__xludf.DUMMYFUNCTION("""COMPUTED_VALUE"""),"Cloud NoSQL Databases (AWS DynamoDB, Firestore)")</f>
        <v>Cloud NoSQL Databases (AWS DynamoDB, Firestore)</v>
      </c>
      <c r="D1088" s="7" t="str">
        <f>IFERROR(__xludf.DUMMYFUNCTION("""COMPUTED_VALUE"""),"S129")</f>
        <v>S129</v>
      </c>
      <c r="E1088" s="7" t="str">
        <f>IFERROR(__xludf.DUMMYFUNCTION("""COMPUTED_VALUE"""),"Stream Processing (Apache Flink, Kafka Streams)")</f>
        <v>Stream Processing (Apache Flink, Kafka Streams)</v>
      </c>
      <c r="F1088" s="7" t="str">
        <f>IFERROR(__xludf.DUMMYFUNCTION("""COMPUTED_VALUE"""),"S122 unlocks S129")</f>
        <v>S122 unlocks S129</v>
      </c>
    </row>
    <row r="1089">
      <c r="A1089" s="7" t="str">
        <f>IFERROR(__xludf.DUMMYFUNCTION("""COMPUTED_VALUE"""),"PE1088")</f>
        <v>PE1088</v>
      </c>
      <c r="B1089" s="7" t="str">
        <f>IFERROR(__xludf.DUMMYFUNCTION("""COMPUTED_VALUE"""),"S122")</f>
        <v>S122</v>
      </c>
      <c r="C1089" s="7" t="str">
        <f>IFERROR(__xludf.DUMMYFUNCTION("""COMPUTED_VALUE"""),"Cloud NoSQL Databases (AWS DynamoDB, Firestore)")</f>
        <v>Cloud NoSQL Databases (AWS DynamoDB, Firestore)</v>
      </c>
      <c r="D1089" s="7" t="str">
        <f>IFERROR(__xludf.DUMMYFUNCTION("""COMPUTED_VALUE"""),"S131")</f>
        <v>S131</v>
      </c>
      <c r="E1089" s="7" t="str">
        <f>IFERROR(__xludf.DUMMYFUNCTION("""COMPUTED_VALUE"""),"Cloud Data Warehousing (Snowflake, Google BigQuery, AWS Redshift)")</f>
        <v>Cloud Data Warehousing (Snowflake, Google BigQuery, AWS Redshift)</v>
      </c>
      <c r="F1089" s="7" t="str">
        <f>IFERROR(__xludf.DUMMYFUNCTION("""COMPUTED_VALUE"""),"S122 unlocks S131")</f>
        <v>S122 unlocks S131</v>
      </c>
    </row>
    <row r="1090">
      <c r="A1090" s="7" t="str">
        <f>IFERROR(__xludf.DUMMYFUNCTION("""COMPUTED_VALUE"""),"PE1089")</f>
        <v>PE1089</v>
      </c>
      <c r="B1090" s="7" t="str">
        <f>IFERROR(__xludf.DUMMYFUNCTION("""COMPUTED_VALUE"""),"S122")</f>
        <v>S122</v>
      </c>
      <c r="C1090" s="7" t="str">
        <f>IFERROR(__xludf.DUMMYFUNCTION("""COMPUTED_VALUE"""),"Cloud NoSQL Databases (AWS DynamoDB, Firestore)")</f>
        <v>Cloud NoSQL Databases (AWS DynamoDB, Firestore)</v>
      </c>
      <c r="D1090" s="7" t="str">
        <f>IFERROR(__xludf.DUMMYFUNCTION("""COMPUTED_VALUE"""),"S132")</f>
        <v>S132</v>
      </c>
      <c r="E1090" s="7" t="str">
        <f>IFERROR(__xludf.DUMMYFUNCTION("""COMPUTED_VALUE"""),"Data Lakehouse Architecture (Delta Lake, Apache Iceberg, Databricks)")</f>
        <v>Data Lakehouse Architecture (Delta Lake, Apache Iceberg, Databricks)</v>
      </c>
      <c r="F1090" s="7" t="str">
        <f>IFERROR(__xludf.DUMMYFUNCTION("""COMPUTED_VALUE"""),"S122 unlocks S132")</f>
        <v>S122 unlocks S132</v>
      </c>
    </row>
    <row r="1091">
      <c r="A1091" s="7" t="str">
        <f>IFERROR(__xludf.DUMMYFUNCTION("""COMPUTED_VALUE"""),"PE1090")</f>
        <v>PE1090</v>
      </c>
      <c r="B1091" s="7" t="str">
        <f>IFERROR(__xludf.DUMMYFUNCTION("""COMPUTED_VALUE"""),"S124")</f>
        <v>S124</v>
      </c>
      <c r="C1091" s="7" t="str">
        <f>IFERROR(__xludf.DUMMYFUNCTION("""COMPUTED_VALUE"""),"Time-Series Databases (InfluxDB, TimescaleDB)")</f>
        <v>Time-Series Databases (InfluxDB, TimescaleDB)</v>
      </c>
      <c r="D1091" s="7" t="str">
        <f>IFERROR(__xludf.DUMMYFUNCTION("""COMPUTED_VALUE"""),"S114")</f>
        <v>S114</v>
      </c>
      <c r="E1091" s="7" t="str">
        <f>IFERROR(__xludf.DUMMYFUNCTION("""COMPUTED_VALUE"""),"Database Indexing, Query Plans &amp; Optimization")</f>
        <v>Database Indexing, Query Plans &amp; Optimization</v>
      </c>
      <c r="F1091" s="7" t="str">
        <f>IFERROR(__xludf.DUMMYFUNCTION("""COMPUTED_VALUE"""),"S124 unlocks S114")</f>
        <v>S124 unlocks S114</v>
      </c>
    </row>
    <row r="1092">
      <c r="A1092" s="7" t="str">
        <f>IFERROR(__xludf.DUMMYFUNCTION("""COMPUTED_VALUE"""),"PE1091")</f>
        <v>PE1091</v>
      </c>
      <c r="B1092" s="7" t="str">
        <f>IFERROR(__xludf.DUMMYFUNCTION("""COMPUTED_VALUE"""),"S124")</f>
        <v>S124</v>
      </c>
      <c r="C1092" s="7" t="str">
        <f>IFERROR(__xludf.DUMMYFUNCTION("""COMPUTED_VALUE"""),"Time-Series Databases (InfluxDB, TimescaleDB)")</f>
        <v>Time-Series Databases (InfluxDB, TimescaleDB)</v>
      </c>
      <c r="D1092" s="7" t="str">
        <f>IFERROR(__xludf.DUMMYFUNCTION("""COMPUTED_VALUE"""),"S115")</f>
        <v>S115</v>
      </c>
      <c r="E1092" s="7" t="str">
        <f>IFERROR(__xludf.DUMMYFUNCTION("""COMPUTED_VALUE"""),"ACID Transactions, Locking &amp; Isolation Levels")</f>
        <v>ACID Transactions, Locking &amp; Isolation Levels</v>
      </c>
      <c r="F1092" s="7" t="str">
        <f>IFERROR(__xludf.DUMMYFUNCTION("""COMPUTED_VALUE"""),"S124 unlocks S115")</f>
        <v>S124 unlocks S115</v>
      </c>
    </row>
    <row r="1093">
      <c r="A1093" s="7" t="str">
        <f>IFERROR(__xludf.DUMMYFUNCTION("""COMPUTED_VALUE"""),"PE1092")</f>
        <v>PE1092</v>
      </c>
      <c r="B1093" s="7" t="str">
        <f>IFERROR(__xludf.DUMMYFUNCTION("""COMPUTED_VALUE"""),"S124")</f>
        <v>S124</v>
      </c>
      <c r="C1093" s="7" t="str">
        <f>IFERROR(__xludf.DUMMYFUNCTION("""COMPUTED_VALUE"""),"Time-Series Databases (InfluxDB, TimescaleDB)")</f>
        <v>Time-Series Databases (InfluxDB, TimescaleDB)</v>
      </c>
      <c r="D1093" s="7" t="str">
        <f>IFERROR(__xludf.DUMMYFUNCTION("""COMPUTED_VALUE"""),"S116")</f>
        <v>S116</v>
      </c>
      <c r="E1093" s="7" t="str">
        <f>IFERROR(__xludf.DUMMYFUNCTION("""COMPUTED_VALUE"""),"Database Replication, Sharding &amp; Partitioning")</f>
        <v>Database Replication, Sharding &amp; Partitioning</v>
      </c>
      <c r="F1093" s="7" t="str">
        <f>IFERROR(__xludf.DUMMYFUNCTION("""COMPUTED_VALUE"""),"S124 unlocks S116")</f>
        <v>S124 unlocks S116</v>
      </c>
    </row>
    <row r="1094">
      <c r="A1094" s="7" t="str">
        <f>IFERROR(__xludf.DUMMYFUNCTION("""COMPUTED_VALUE"""),"PE1093")</f>
        <v>PE1093</v>
      </c>
      <c r="B1094" s="7" t="str">
        <f>IFERROR(__xludf.DUMMYFUNCTION("""COMPUTED_VALUE"""),"S124")</f>
        <v>S124</v>
      </c>
      <c r="C1094" s="7" t="str">
        <f>IFERROR(__xludf.DUMMYFUNCTION("""COMPUTED_VALUE"""),"Time-Series Databases (InfluxDB, TimescaleDB)")</f>
        <v>Time-Series Databases (InfluxDB, TimescaleDB)</v>
      </c>
      <c r="D1094" s="7" t="str">
        <f>IFERROR(__xludf.DUMMYFUNCTION("""COMPUTED_VALUE"""),"S121")</f>
        <v>S121</v>
      </c>
      <c r="E1094" s="7" t="str">
        <f>IFERROR(__xludf.DUMMYFUNCTION("""COMPUTED_VALUE"""),"Wide-Column Stores (Apache Cassandra, ScyllaDB)")</f>
        <v>Wide-Column Stores (Apache Cassandra, ScyllaDB)</v>
      </c>
      <c r="F1094" s="7" t="str">
        <f>IFERROR(__xludf.DUMMYFUNCTION("""COMPUTED_VALUE"""),"S124 unlocks S121")</f>
        <v>S124 unlocks S121</v>
      </c>
    </row>
    <row r="1095">
      <c r="A1095" s="7" t="str">
        <f>IFERROR(__xludf.DUMMYFUNCTION("""COMPUTED_VALUE"""),"PE1094")</f>
        <v>PE1094</v>
      </c>
      <c r="B1095" s="7" t="str">
        <f>IFERROR(__xludf.DUMMYFUNCTION("""COMPUTED_VALUE"""),"S124")</f>
        <v>S124</v>
      </c>
      <c r="C1095" s="7" t="str">
        <f>IFERROR(__xludf.DUMMYFUNCTION("""COMPUTED_VALUE"""),"Time-Series Databases (InfluxDB, TimescaleDB)")</f>
        <v>Time-Series Databases (InfluxDB, TimescaleDB)</v>
      </c>
      <c r="D1095" s="7" t="str">
        <f>IFERROR(__xludf.DUMMYFUNCTION("""COMPUTED_VALUE"""),"S123")</f>
        <v>S123</v>
      </c>
      <c r="E1095" s="7" t="str">
        <f>IFERROR(__xludf.DUMMYFUNCTION("""COMPUTED_VALUE"""),"Graph Databases &amp; Cypher (Neo4j)")</f>
        <v>Graph Databases &amp; Cypher (Neo4j)</v>
      </c>
      <c r="F1095" s="7" t="str">
        <f>IFERROR(__xludf.DUMMYFUNCTION("""COMPUTED_VALUE"""),"S124 unlocks S123")</f>
        <v>S124 unlocks S123</v>
      </c>
    </row>
    <row r="1096">
      <c r="A1096" s="7" t="str">
        <f>IFERROR(__xludf.DUMMYFUNCTION("""COMPUTED_VALUE"""),"PE1095")</f>
        <v>PE1095</v>
      </c>
      <c r="B1096" s="7" t="str">
        <f>IFERROR(__xludf.DUMMYFUNCTION("""COMPUTED_VALUE"""),"S124")</f>
        <v>S124</v>
      </c>
      <c r="C1096" s="7" t="str">
        <f>IFERROR(__xludf.DUMMYFUNCTION("""COMPUTED_VALUE"""),"Time-Series Databases (InfluxDB, TimescaleDB)")</f>
        <v>Time-Series Databases (InfluxDB, TimescaleDB)</v>
      </c>
      <c r="D1096" s="7" t="str">
        <f>IFERROR(__xludf.DUMMYFUNCTION("""COMPUTED_VALUE"""),"S125")</f>
        <v>S125</v>
      </c>
      <c r="E1096" s="7" t="str">
        <f>IFERROR(__xludf.DUMMYFUNCTION("""COMPUTED_VALUE"""),"Vector Databases (Pinecone, Milvus, Weaviate, pgvector)")</f>
        <v>Vector Databases (Pinecone, Milvus, Weaviate, pgvector)</v>
      </c>
      <c r="F1096" s="7" t="str">
        <f>IFERROR(__xludf.DUMMYFUNCTION("""COMPUTED_VALUE"""),"S124 unlocks S125")</f>
        <v>S124 unlocks S125</v>
      </c>
    </row>
    <row r="1097">
      <c r="A1097" s="7" t="str">
        <f>IFERROR(__xludf.DUMMYFUNCTION("""COMPUTED_VALUE"""),"PE1096")</f>
        <v>PE1096</v>
      </c>
      <c r="B1097" s="7" t="str">
        <f>IFERROR(__xludf.DUMMYFUNCTION("""COMPUTED_VALUE"""),"S124")</f>
        <v>S124</v>
      </c>
      <c r="C1097" s="7" t="str">
        <f>IFERROR(__xludf.DUMMYFUNCTION("""COMPUTED_VALUE"""),"Time-Series Databases (InfluxDB, TimescaleDB)")</f>
        <v>Time-Series Databases (InfluxDB, TimescaleDB)</v>
      </c>
      <c r="D1097" s="7" t="str">
        <f>IFERROR(__xludf.DUMMYFUNCTION("""COMPUTED_VALUE"""),"S127")</f>
        <v>S127</v>
      </c>
      <c r="E1097" s="7" t="str">
        <f>IFERROR(__xludf.DUMMYFUNCTION("""COMPUTED_VALUE"""),"Workflow Orchestration (Apache Airflow, Prefect, Dagster)")</f>
        <v>Workflow Orchestration (Apache Airflow, Prefect, Dagster)</v>
      </c>
      <c r="F1097" s="7" t="str">
        <f>IFERROR(__xludf.DUMMYFUNCTION("""COMPUTED_VALUE"""),"S124 unlocks S127")</f>
        <v>S124 unlocks S127</v>
      </c>
    </row>
    <row r="1098">
      <c r="A1098" s="7" t="str">
        <f>IFERROR(__xludf.DUMMYFUNCTION("""COMPUTED_VALUE"""),"PE1097")</f>
        <v>PE1097</v>
      </c>
      <c r="B1098" s="7" t="str">
        <f>IFERROR(__xludf.DUMMYFUNCTION("""COMPUTED_VALUE"""),"S124")</f>
        <v>S124</v>
      </c>
      <c r="C1098" s="7" t="str">
        <f>IFERROR(__xludf.DUMMYFUNCTION("""COMPUTED_VALUE"""),"Time-Series Databases (InfluxDB, TimescaleDB)")</f>
        <v>Time-Series Databases (InfluxDB, TimescaleDB)</v>
      </c>
      <c r="D1098" s="7" t="str">
        <f>IFERROR(__xludf.DUMMYFUNCTION("""COMPUTED_VALUE"""),"S128")</f>
        <v>S128</v>
      </c>
      <c r="E1098" s="7" t="str">
        <f>IFERROR(__xludf.DUMMYFUNCTION("""COMPUTED_VALUE"""),"Distributed Data Processing (Apache Spark, PySpark)")</f>
        <v>Distributed Data Processing (Apache Spark, PySpark)</v>
      </c>
      <c r="F1098" s="7" t="str">
        <f>IFERROR(__xludf.DUMMYFUNCTION("""COMPUTED_VALUE"""),"S124 unlocks S128")</f>
        <v>S124 unlocks S128</v>
      </c>
    </row>
    <row r="1099">
      <c r="A1099" s="7" t="str">
        <f>IFERROR(__xludf.DUMMYFUNCTION("""COMPUTED_VALUE"""),"PE1098")</f>
        <v>PE1098</v>
      </c>
      <c r="B1099" s="7" t="str">
        <f>IFERROR(__xludf.DUMMYFUNCTION("""COMPUTED_VALUE"""),"S124")</f>
        <v>S124</v>
      </c>
      <c r="C1099" s="7" t="str">
        <f>IFERROR(__xludf.DUMMYFUNCTION("""COMPUTED_VALUE"""),"Time-Series Databases (InfluxDB, TimescaleDB)")</f>
        <v>Time-Series Databases (InfluxDB, TimescaleDB)</v>
      </c>
      <c r="D1099" s="7" t="str">
        <f>IFERROR(__xludf.DUMMYFUNCTION("""COMPUTED_VALUE"""),"S129")</f>
        <v>S129</v>
      </c>
      <c r="E1099" s="7" t="str">
        <f>IFERROR(__xludf.DUMMYFUNCTION("""COMPUTED_VALUE"""),"Stream Processing (Apache Flink, Kafka Streams)")</f>
        <v>Stream Processing (Apache Flink, Kafka Streams)</v>
      </c>
      <c r="F1099" s="7" t="str">
        <f>IFERROR(__xludf.DUMMYFUNCTION("""COMPUTED_VALUE"""),"S124 unlocks S129")</f>
        <v>S124 unlocks S129</v>
      </c>
    </row>
    <row r="1100">
      <c r="A1100" s="7" t="str">
        <f>IFERROR(__xludf.DUMMYFUNCTION("""COMPUTED_VALUE"""),"PE1099")</f>
        <v>PE1099</v>
      </c>
      <c r="B1100" s="7" t="str">
        <f>IFERROR(__xludf.DUMMYFUNCTION("""COMPUTED_VALUE"""),"S124")</f>
        <v>S124</v>
      </c>
      <c r="C1100" s="7" t="str">
        <f>IFERROR(__xludf.DUMMYFUNCTION("""COMPUTED_VALUE"""),"Time-Series Databases (InfluxDB, TimescaleDB)")</f>
        <v>Time-Series Databases (InfluxDB, TimescaleDB)</v>
      </c>
      <c r="D1100" s="7" t="str">
        <f>IFERROR(__xludf.DUMMYFUNCTION("""COMPUTED_VALUE"""),"S131")</f>
        <v>S131</v>
      </c>
      <c r="E1100" s="7" t="str">
        <f>IFERROR(__xludf.DUMMYFUNCTION("""COMPUTED_VALUE"""),"Cloud Data Warehousing (Snowflake, Google BigQuery, AWS Redshift)")</f>
        <v>Cloud Data Warehousing (Snowflake, Google BigQuery, AWS Redshift)</v>
      </c>
      <c r="F1100" s="7" t="str">
        <f>IFERROR(__xludf.DUMMYFUNCTION("""COMPUTED_VALUE"""),"S124 unlocks S131")</f>
        <v>S124 unlocks S131</v>
      </c>
    </row>
    <row r="1101">
      <c r="A1101" s="7" t="str">
        <f>IFERROR(__xludf.DUMMYFUNCTION("""COMPUTED_VALUE"""),"PE1100")</f>
        <v>PE1100</v>
      </c>
      <c r="B1101" s="7" t="str">
        <f>IFERROR(__xludf.DUMMYFUNCTION("""COMPUTED_VALUE"""),"S124")</f>
        <v>S124</v>
      </c>
      <c r="C1101" s="7" t="str">
        <f>IFERROR(__xludf.DUMMYFUNCTION("""COMPUTED_VALUE"""),"Time-Series Databases (InfluxDB, TimescaleDB)")</f>
        <v>Time-Series Databases (InfluxDB, TimescaleDB)</v>
      </c>
      <c r="D1101" s="7" t="str">
        <f>IFERROR(__xludf.DUMMYFUNCTION("""COMPUTED_VALUE"""),"S132")</f>
        <v>S132</v>
      </c>
      <c r="E1101" s="7" t="str">
        <f>IFERROR(__xludf.DUMMYFUNCTION("""COMPUTED_VALUE"""),"Data Lakehouse Architecture (Delta Lake, Apache Iceberg, Databricks)")</f>
        <v>Data Lakehouse Architecture (Delta Lake, Apache Iceberg, Databricks)</v>
      </c>
      <c r="F1101" s="7" t="str">
        <f>IFERROR(__xludf.DUMMYFUNCTION("""COMPUTED_VALUE"""),"S124 unlocks S132")</f>
        <v>S124 unlocks S132</v>
      </c>
    </row>
    <row r="1102">
      <c r="A1102" s="7" t="str">
        <f>IFERROR(__xludf.DUMMYFUNCTION("""COMPUTED_VALUE"""),"PE1101")</f>
        <v>PE1101</v>
      </c>
      <c r="B1102" s="7" t="str">
        <f>IFERROR(__xludf.DUMMYFUNCTION("""COMPUTED_VALUE"""),"S126")</f>
        <v>S126</v>
      </c>
      <c r="C1102" s="7" t="str">
        <f>IFERROR(__xludf.DUMMYFUNCTION("""COMPUTED_VALUE"""),"ETL / ELT Data Pipeline Design")</f>
        <v>ETL / ELT Data Pipeline Design</v>
      </c>
      <c r="D1102" s="7" t="str">
        <f>IFERROR(__xludf.DUMMYFUNCTION("""COMPUTED_VALUE"""),"S114")</f>
        <v>S114</v>
      </c>
      <c r="E1102" s="7" t="str">
        <f>IFERROR(__xludf.DUMMYFUNCTION("""COMPUTED_VALUE"""),"Database Indexing, Query Plans &amp; Optimization")</f>
        <v>Database Indexing, Query Plans &amp; Optimization</v>
      </c>
      <c r="F1102" s="7" t="str">
        <f>IFERROR(__xludf.DUMMYFUNCTION("""COMPUTED_VALUE"""),"S126 unlocks S114")</f>
        <v>S126 unlocks S114</v>
      </c>
    </row>
    <row r="1103">
      <c r="A1103" s="7" t="str">
        <f>IFERROR(__xludf.DUMMYFUNCTION("""COMPUTED_VALUE"""),"PE1102")</f>
        <v>PE1102</v>
      </c>
      <c r="B1103" s="7" t="str">
        <f>IFERROR(__xludf.DUMMYFUNCTION("""COMPUTED_VALUE"""),"S126")</f>
        <v>S126</v>
      </c>
      <c r="C1103" s="7" t="str">
        <f>IFERROR(__xludf.DUMMYFUNCTION("""COMPUTED_VALUE"""),"ETL / ELT Data Pipeline Design")</f>
        <v>ETL / ELT Data Pipeline Design</v>
      </c>
      <c r="D1103" s="7" t="str">
        <f>IFERROR(__xludf.DUMMYFUNCTION("""COMPUTED_VALUE"""),"S115")</f>
        <v>S115</v>
      </c>
      <c r="E1103" s="7" t="str">
        <f>IFERROR(__xludf.DUMMYFUNCTION("""COMPUTED_VALUE"""),"ACID Transactions, Locking &amp; Isolation Levels")</f>
        <v>ACID Transactions, Locking &amp; Isolation Levels</v>
      </c>
      <c r="F1103" s="7" t="str">
        <f>IFERROR(__xludf.DUMMYFUNCTION("""COMPUTED_VALUE"""),"S126 unlocks S115")</f>
        <v>S126 unlocks S115</v>
      </c>
    </row>
    <row r="1104">
      <c r="A1104" s="7" t="str">
        <f>IFERROR(__xludf.DUMMYFUNCTION("""COMPUTED_VALUE"""),"PE1103")</f>
        <v>PE1103</v>
      </c>
      <c r="B1104" s="7" t="str">
        <f>IFERROR(__xludf.DUMMYFUNCTION("""COMPUTED_VALUE"""),"S126")</f>
        <v>S126</v>
      </c>
      <c r="C1104" s="7" t="str">
        <f>IFERROR(__xludf.DUMMYFUNCTION("""COMPUTED_VALUE"""),"ETL / ELT Data Pipeline Design")</f>
        <v>ETL / ELT Data Pipeline Design</v>
      </c>
      <c r="D1104" s="7" t="str">
        <f>IFERROR(__xludf.DUMMYFUNCTION("""COMPUTED_VALUE"""),"S116")</f>
        <v>S116</v>
      </c>
      <c r="E1104" s="7" t="str">
        <f>IFERROR(__xludf.DUMMYFUNCTION("""COMPUTED_VALUE"""),"Database Replication, Sharding &amp; Partitioning")</f>
        <v>Database Replication, Sharding &amp; Partitioning</v>
      </c>
      <c r="F1104" s="7" t="str">
        <f>IFERROR(__xludf.DUMMYFUNCTION("""COMPUTED_VALUE"""),"S126 unlocks S116")</f>
        <v>S126 unlocks S116</v>
      </c>
    </row>
    <row r="1105">
      <c r="A1105" s="7" t="str">
        <f>IFERROR(__xludf.DUMMYFUNCTION("""COMPUTED_VALUE"""),"PE1104")</f>
        <v>PE1104</v>
      </c>
      <c r="B1105" s="7" t="str">
        <f>IFERROR(__xludf.DUMMYFUNCTION("""COMPUTED_VALUE"""),"S126")</f>
        <v>S126</v>
      </c>
      <c r="C1105" s="7" t="str">
        <f>IFERROR(__xludf.DUMMYFUNCTION("""COMPUTED_VALUE"""),"ETL / ELT Data Pipeline Design")</f>
        <v>ETL / ELT Data Pipeline Design</v>
      </c>
      <c r="D1105" s="7" t="str">
        <f>IFERROR(__xludf.DUMMYFUNCTION("""COMPUTED_VALUE"""),"S121")</f>
        <v>S121</v>
      </c>
      <c r="E1105" s="7" t="str">
        <f>IFERROR(__xludf.DUMMYFUNCTION("""COMPUTED_VALUE"""),"Wide-Column Stores (Apache Cassandra, ScyllaDB)")</f>
        <v>Wide-Column Stores (Apache Cassandra, ScyllaDB)</v>
      </c>
      <c r="F1105" s="7" t="str">
        <f>IFERROR(__xludf.DUMMYFUNCTION("""COMPUTED_VALUE"""),"S126 unlocks S121")</f>
        <v>S126 unlocks S121</v>
      </c>
    </row>
    <row r="1106">
      <c r="A1106" s="7" t="str">
        <f>IFERROR(__xludf.DUMMYFUNCTION("""COMPUTED_VALUE"""),"PE1105")</f>
        <v>PE1105</v>
      </c>
      <c r="B1106" s="7" t="str">
        <f>IFERROR(__xludf.DUMMYFUNCTION("""COMPUTED_VALUE"""),"S126")</f>
        <v>S126</v>
      </c>
      <c r="C1106" s="7" t="str">
        <f>IFERROR(__xludf.DUMMYFUNCTION("""COMPUTED_VALUE"""),"ETL / ELT Data Pipeline Design")</f>
        <v>ETL / ELT Data Pipeline Design</v>
      </c>
      <c r="D1106" s="7" t="str">
        <f>IFERROR(__xludf.DUMMYFUNCTION("""COMPUTED_VALUE"""),"S123")</f>
        <v>S123</v>
      </c>
      <c r="E1106" s="7" t="str">
        <f>IFERROR(__xludf.DUMMYFUNCTION("""COMPUTED_VALUE"""),"Graph Databases &amp; Cypher (Neo4j)")</f>
        <v>Graph Databases &amp; Cypher (Neo4j)</v>
      </c>
      <c r="F1106" s="7" t="str">
        <f>IFERROR(__xludf.DUMMYFUNCTION("""COMPUTED_VALUE"""),"S126 unlocks S123")</f>
        <v>S126 unlocks S123</v>
      </c>
    </row>
    <row r="1107">
      <c r="A1107" s="7" t="str">
        <f>IFERROR(__xludf.DUMMYFUNCTION("""COMPUTED_VALUE"""),"PE1106")</f>
        <v>PE1106</v>
      </c>
      <c r="B1107" s="7" t="str">
        <f>IFERROR(__xludf.DUMMYFUNCTION("""COMPUTED_VALUE"""),"S126")</f>
        <v>S126</v>
      </c>
      <c r="C1107" s="7" t="str">
        <f>IFERROR(__xludf.DUMMYFUNCTION("""COMPUTED_VALUE"""),"ETL / ELT Data Pipeline Design")</f>
        <v>ETL / ELT Data Pipeline Design</v>
      </c>
      <c r="D1107" s="7" t="str">
        <f>IFERROR(__xludf.DUMMYFUNCTION("""COMPUTED_VALUE"""),"S125")</f>
        <v>S125</v>
      </c>
      <c r="E1107" s="7" t="str">
        <f>IFERROR(__xludf.DUMMYFUNCTION("""COMPUTED_VALUE"""),"Vector Databases (Pinecone, Milvus, Weaviate, pgvector)")</f>
        <v>Vector Databases (Pinecone, Milvus, Weaviate, pgvector)</v>
      </c>
      <c r="F1107" s="7" t="str">
        <f>IFERROR(__xludf.DUMMYFUNCTION("""COMPUTED_VALUE"""),"S126 unlocks S125")</f>
        <v>S126 unlocks S125</v>
      </c>
    </row>
    <row r="1108">
      <c r="A1108" s="7" t="str">
        <f>IFERROR(__xludf.DUMMYFUNCTION("""COMPUTED_VALUE"""),"PE1107")</f>
        <v>PE1107</v>
      </c>
      <c r="B1108" s="7" t="str">
        <f>IFERROR(__xludf.DUMMYFUNCTION("""COMPUTED_VALUE"""),"S126")</f>
        <v>S126</v>
      </c>
      <c r="C1108" s="7" t="str">
        <f>IFERROR(__xludf.DUMMYFUNCTION("""COMPUTED_VALUE"""),"ETL / ELT Data Pipeline Design")</f>
        <v>ETL / ELT Data Pipeline Design</v>
      </c>
      <c r="D1108" s="7" t="str">
        <f>IFERROR(__xludf.DUMMYFUNCTION("""COMPUTED_VALUE"""),"S127")</f>
        <v>S127</v>
      </c>
      <c r="E1108" s="7" t="str">
        <f>IFERROR(__xludf.DUMMYFUNCTION("""COMPUTED_VALUE"""),"Workflow Orchestration (Apache Airflow, Prefect, Dagster)")</f>
        <v>Workflow Orchestration (Apache Airflow, Prefect, Dagster)</v>
      </c>
      <c r="F1108" s="7" t="str">
        <f>IFERROR(__xludf.DUMMYFUNCTION("""COMPUTED_VALUE"""),"S126 unlocks S127")</f>
        <v>S126 unlocks S127</v>
      </c>
    </row>
    <row r="1109">
      <c r="A1109" s="7" t="str">
        <f>IFERROR(__xludf.DUMMYFUNCTION("""COMPUTED_VALUE"""),"PE1108")</f>
        <v>PE1108</v>
      </c>
      <c r="B1109" s="7" t="str">
        <f>IFERROR(__xludf.DUMMYFUNCTION("""COMPUTED_VALUE"""),"S126")</f>
        <v>S126</v>
      </c>
      <c r="C1109" s="7" t="str">
        <f>IFERROR(__xludf.DUMMYFUNCTION("""COMPUTED_VALUE"""),"ETL / ELT Data Pipeline Design")</f>
        <v>ETL / ELT Data Pipeline Design</v>
      </c>
      <c r="D1109" s="7" t="str">
        <f>IFERROR(__xludf.DUMMYFUNCTION("""COMPUTED_VALUE"""),"S128")</f>
        <v>S128</v>
      </c>
      <c r="E1109" s="7" t="str">
        <f>IFERROR(__xludf.DUMMYFUNCTION("""COMPUTED_VALUE"""),"Distributed Data Processing (Apache Spark, PySpark)")</f>
        <v>Distributed Data Processing (Apache Spark, PySpark)</v>
      </c>
      <c r="F1109" s="7" t="str">
        <f>IFERROR(__xludf.DUMMYFUNCTION("""COMPUTED_VALUE"""),"S126 unlocks S128")</f>
        <v>S126 unlocks S128</v>
      </c>
    </row>
    <row r="1110">
      <c r="A1110" s="7" t="str">
        <f>IFERROR(__xludf.DUMMYFUNCTION("""COMPUTED_VALUE"""),"PE1109")</f>
        <v>PE1109</v>
      </c>
      <c r="B1110" s="7" t="str">
        <f>IFERROR(__xludf.DUMMYFUNCTION("""COMPUTED_VALUE"""),"S126")</f>
        <v>S126</v>
      </c>
      <c r="C1110" s="7" t="str">
        <f>IFERROR(__xludf.DUMMYFUNCTION("""COMPUTED_VALUE"""),"ETL / ELT Data Pipeline Design")</f>
        <v>ETL / ELT Data Pipeline Design</v>
      </c>
      <c r="D1110" s="7" t="str">
        <f>IFERROR(__xludf.DUMMYFUNCTION("""COMPUTED_VALUE"""),"S129")</f>
        <v>S129</v>
      </c>
      <c r="E1110" s="7" t="str">
        <f>IFERROR(__xludf.DUMMYFUNCTION("""COMPUTED_VALUE"""),"Stream Processing (Apache Flink, Kafka Streams)")</f>
        <v>Stream Processing (Apache Flink, Kafka Streams)</v>
      </c>
      <c r="F1110" s="7" t="str">
        <f>IFERROR(__xludf.DUMMYFUNCTION("""COMPUTED_VALUE"""),"S126 unlocks S129")</f>
        <v>S126 unlocks S129</v>
      </c>
    </row>
    <row r="1111">
      <c r="A1111" s="7" t="str">
        <f>IFERROR(__xludf.DUMMYFUNCTION("""COMPUTED_VALUE"""),"PE1110")</f>
        <v>PE1110</v>
      </c>
      <c r="B1111" s="7" t="str">
        <f>IFERROR(__xludf.DUMMYFUNCTION("""COMPUTED_VALUE"""),"S126")</f>
        <v>S126</v>
      </c>
      <c r="C1111" s="7" t="str">
        <f>IFERROR(__xludf.DUMMYFUNCTION("""COMPUTED_VALUE"""),"ETL / ELT Data Pipeline Design")</f>
        <v>ETL / ELT Data Pipeline Design</v>
      </c>
      <c r="D1111" s="7" t="str">
        <f>IFERROR(__xludf.DUMMYFUNCTION("""COMPUTED_VALUE"""),"S131")</f>
        <v>S131</v>
      </c>
      <c r="E1111" s="7" t="str">
        <f>IFERROR(__xludf.DUMMYFUNCTION("""COMPUTED_VALUE"""),"Cloud Data Warehousing (Snowflake, Google BigQuery, AWS Redshift)")</f>
        <v>Cloud Data Warehousing (Snowflake, Google BigQuery, AWS Redshift)</v>
      </c>
      <c r="F1111" s="7" t="str">
        <f>IFERROR(__xludf.DUMMYFUNCTION("""COMPUTED_VALUE"""),"S126 unlocks S131")</f>
        <v>S126 unlocks S131</v>
      </c>
    </row>
    <row r="1112">
      <c r="A1112" s="7" t="str">
        <f>IFERROR(__xludf.DUMMYFUNCTION("""COMPUTED_VALUE"""),"PE1111")</f>
        <v>PE1111</v>
      </c>
      <c r="B1112" s="7" t="str">
        <f>IFERROR(__xludf.DUMMYFUNCTION("""COMPUTED_VALUE"""),"S126")</f>
        <v>S126</v>
      </c>
      <c r="C1112" s="7" t="str">
        <f>IFERROR(__xludf.DUMMYFUNCTION("""COMPUTED_VALUE"""),"ETL / ELT Data Pipeline Design")</f>
        <v>ETL / ELT Data Pipeline Design</v>
      </c>
      <c r="D1112" s="7" t="str">
        <f>IFERROR(__xludf.DUMMYFUNCTION("""COMPUTED_VALUE"""),"S132")</f>
        <v>S132</v>
      </c>
      <c r="E1112" s="7" t="str">
        <f>IFERROR(__xludf.DUMMYFUNCTION("""COMPUTED_VALUE"""),"Data Lakehouse Architecture (Delta Lake, Apache Iceberg, Databricks)")</f>
        <v>Data Lakehouse Architecture (Delta Lake, Apache Iceberg, Databricks)</v>
      </c>
      <c r="F1112" s="7" t="str">
        <f>IFERROR(__xludf.DUMMYFUNCTION("""COMPUTED_VALUE"""),"S126 unlocks S132")</f>
        <v>S126 unlocks S132</v>
      </c>
    </row>
    <row r="1113">
      <c r="A1113" s="7" t="str">
        <f>IFERROR(__xludf.DUMMYFUNCTION("""COMPUTED_VALUE"""),"PE1112")</f>
        <v>PE1112</v>
      </c>
      <c r="B1113" s="7" t="str">
        <f>IFERROR(__xludf.DUMMYFUNCTION("""COMPUTED_VALUE"""),"S130")</f>
        <v>S130</v>
      </c>
      <c r="C1113" s="7" t="str">
        <f>IFERROR(__xludf.DUMMYFUNCTION("""COMPUTED_VALUE"""),"Data Transformation &amp; Analytics Engineering (dbt)")</f>
        <v>Data Transformation &amp; Analytics Engineering (dbt)</v>
      </c>
      <c r="D1113" s="7" t="str">
        <f>IFERROR(__xludf.DUMMYFUNCTION("""COMPUTED_VALUE"""),"S114")</f>
        <v>S114</v>
      </c>
      <c r="E1113" s="7" t="str">
        <f>IFERROR(__xludf.DUMMYFUNCTION("""COMPUTED_VALUE"""),"Database Indexing, Query Plans &amp; Optimization")</f>
        <v>Database Indexing, Query Plans &amp; Optimization</v>
      </c>
      <c r="F1113" s="7" t="str">
        <f>IFERROR(__xludf.DUMMYFUNCTION("""COMPUTED_VALUE"""),"S130 unlocks S114")</f>
        <v>S130 unlocks S114</v>
      </c>
    </row>
    <row r="1114">
      <c r="A1114" s="7" t="str">
        <f>IFERROR(__xludf.DUMMYFUNCTION("""COMPUTED_VALUE"""),"PE1113")</f>
        <v>PE1113</v>
      </c>
      <c r="B1114" s="7" t="str">
        <f>IFERROR(__xludf.DUMMYFUNCTION("""COMPUTED_VALUE"""),"S130")</f>
        <v>S130</v>
      </c>
      <c r="C1114" s="7" t="str">
        <f>IFERROR(__xludf.DUMMYFUNCTION("""COMPUTED_VALUE"""),"Data Transformation &amp; Analytics Engineering (dbt)")</f>
        <v>Data Transformation &amp; Analytics Engineering (dbt)</v>
      </c>
      <c r="D1114" s="7" t="str">
        <f>IFERROR(__xludf.DUMMYFUNCTION("""COMPUTED_VALUE"""),"S115")</f>
        <v>S115</v>
      </c>
      <c r="E1114" s="7" t="str">
        <f>IFERROR(__xludf.DUMMYFUNCTION("""COMPUTED_VALUE"""),"ACID Transactions, Locking &amp; Isolation Levels")</f>
        <v>ACID Transactions, Locking &amp; Isolation Levels</v>
      </c>
      <c r="F1114" s="7" t="str">
        <f>IFERROR(__xludf.DUMMYFUNCTION("""COMPUTED_VALUE"""),"S130 unlocks S115")</f>
        <v>S130 unlocks S115</v>
      </c>
    </row>
    <row r="1115">
      <c r="A1115" s="7" t="str">
        <f>IFERROR(__xludf.DUMMYFUNCTION("""COMPUTED_VALUE"""),"PE1114")</f>
        <v>PE1114</v>
      </c>
      <c r="B1115" s="7" t="str">
        <f>IFERROR(__xludf.DUMMYFUNCTION("""COMPUTED_VALUE"""),"S130")</f>
        <v>S130</v>
      </c>
      <c r="C1115" s="7" t="str">
        <f>IFERROR(__xludf.DUMMYFUNCTION("""COMPUTED_VALUE"""),"Data Transformation &amp; Analytics Engineering (dbt)")</f>
        <v>Data Transformation &amp; Analytics Engineering (dbt)</v>
      </c>
      <c r="D1115" s="7" t="str">
        <f>IFERROR(__xludf.DUMMYFUNCTION("""COMPUTED_VALUE"""),"S116")</f>
        <v>S116</v>
      </c>
      <c r="E1115" s="7" t="str">
        <f>IFERROR(__xludf.DUMMYFUNCTION("""COMPUTED_VALUE"""),"Database Replication, Sharding &amp; Partitioning")</f>
        <v>Database Replication, Sharding &amp; Partitioning</v>
      </c>
      <c r="F1115" s="7" t="str">
        <f>IFERROR(__xludf.DUMMYFUNCTION("""COMPUTED_VALUE"""),"S130 unlocks S116")</f>
        <v>S130 unlocks S116</v>
      </c>
    </row>
    <row r="1116">
      <c r="A1116" s="7" t="str">
        <f>IFERROR(__xludf.DUMMYFUNCTION("""COMPUTED_VALUE"""),"PE1115")</f>
        <v>PE1115</v>
      </c>
      <c r="B1116" s="7" t="str">
        <f>IFERROR(__xludf.DUMMYFUNCTION("""COMPUTED_VALUE"""),"S130")</f>
        <v>S130</v>
      </c>
      <c r="C1116" s="7" t="str">
        <f>IFERROR(__xludf.DUMMYFUNCTION("""COMPUTED_VALUE"""),"Data Transformation &amp; Analytics Engineering (dbt)")</f>
        <v>Data Transformation &amp; Analytics Engineering (dbt)</v>
      </c>
      <c r="D1116" s="7" t="str">
        <f>IFERROR(__xludf.DUMMYFUNCTION("""COMPUTED_VALUE"""),"S121")</f>
        <v>S121</v>
      </c>
      <c r="E1116" s="7" t="str">
        <f>IFERROR(__xludf.DUMMYFUNCTION("""COMPUTED_VALUE"""),"Wide-Column Stores (Apache Cassandra, ScyllaDB)")</f>
        <v>Wide-Column Stores (Apache Cassandra, ScyllaDB)</v>
      </c>
      <c r="F1116" s="7" t="str">
        <f>IFERROR(__xludf.DUMMYFUNCTION("""COMPUTED_VALUE"""),"S130 unlocks S121")</f>
        <v>S130 unlocks S121</v>
      </c>
    </row>
    <row r="1117">
      <c r="A1117" s="7" t="str">
        <f>IFERROR(__xludf.DUMMYFUNCTION("""COMPUTED_VALUE"""),"PE1116")</f>
        <v>PE1116</v>
      </c>
      <c r="B1117" s="7" t="str">
        <f>IFERROR(__xludf.DUMMYFUNCTION("""COMPUTED_VALUE"""),"S130")</f>
        <v>S130</v>
      </c>
      <c r="C1117" s="7" t="str">
        <f>IFERROR(__xludf.DUMMYFUNCTION("""COMPUTED_VALUE"""),"Data Transformation &amp; Analytics Engineering (dbt)")</f>
        <v>Data Transformation &amp; Analytics Engineering (dbt)</v>
      </c>
      <c r="D1117" s="7" t="str">
        <f>IFERROR(__xludf.DUMMYFUNCTION("""COMPUTED_VALUE"""),"S123")</f>
        <v>S123</v>
      </c>
      <c r="E1117" s="7" t="str">
        <f>IFERROR(__xludf.DUMMYFUNCTION("""COMPUTED_VALUE"""),"Graph Databases &amp; Cypher (Neo4j)")</f>
        <v>Graph Databases &amp; Cypher (Neo4j)</v>
      </c>
      <c r="F1117" s="7" t="str">
        <f>IFERROR(__xludf.DUMMYFUNCTION("""COMPUTED_VALUE"""),"S130 unlocks S123")</f>
        <v>S130 unlocks S123</v>
      </c>
    </row>
    <row r="1118">
      <c r="A1118" s="7" t="str">
        <f>IFERROR(__xludf.DUMMYFUNCTION("""COMPUTED_VALUE"""),"PE1117")</f>
        <v>PE1117</v>
      </c>
      <c r="B1118" s="7" t="str">
        <f>IFERROR(__xludf.DUMMYFUNCTION("""COMPUTED_VALUE"""),"S130")</f>
        <v>S130</v>
      </c>
      <c r="C1118" s="7" t="str">
        <f>IFERROR(__xludf.DUMMYFUNCTION("""COMPUTED_VALUE"""),"Data Transformation &amp; Analytics Engineering (dbt)")</f>
        <v>Data Transformation &amp; Analytics Engineering (dbt)</v>
      </c>
      <c r="D1118" s="7" t="str">
        <f>IFERROR(__xludf.DUMMYFUNCTION("""COMPUTED_VALUE"""),"S125")</f>
        <v>S125</v>
      </c>
      <c r="E1118" s="7" t="str">
        <f>IFERROR(__xludf.DUMMYFUNCTION("""COMPUTED_VALUE"""),"Vector Databases (Pinecone, Milvus, Weaviate, pgvector)")</f>
        <v>Vector Databases (Pinecone, Milvus, Weaviate, pgvector)</v>
      </c>
      <c r="F1118" s="7" t="str">
        <f>IFERROR(__xludf.DUMMYFUNCTION("""COMPUTED_VALUE"""),"S130 unlocks S125")</f>
        <v>S130 unlocks S125</v>
      </c>
    </row>
    <row r="1119">
      <c r="A1119" s="7" t="str">
        <f>IFERROR(__xludf.DUMMYFUNCTION("""COMPUTED_VALUE"""),"PE1118")</f>
        <v>PE1118</v>
      </c>
      <c r="B1119" s="7" t="str">
        <f>IFERROR(__xludf.DUMMYFUNCTION("""COMPUTED_VALUE"""),"S130")</f>
        <v>S130</v>
      </c>
      <c r="C1119" s="7" t="str">
        <f>IFERROR(__xludf.DUMMYFUNCTION("""COMPUTED_VALUE"""),"Data Transformation &amp; Analytics Engineering (dbt)")</f>
        <v>Data Transformation &amp; Analytics Engineering (dbt)</v>
      </c>
      <c r="D1119" s="7" t="str">
        <f>IFERROR(__xludf.DUMMYFUNCTION("""COMPUTED_VALUE"""),"S127")</f>
        <v>S127</v>
      </c>
      <c r="E1119" s="7" t="str">
        <f>IFERROR(__xludf.DUMMYFUNCTION("""COMPUTED_VALUE"""),"Workflow Orchestration (Apache Airflow, Prefect, Dagster)")</f>
        <v>Workflow Orchestration (Apache Airflow, Prefect, Dagster)</v>
      </c>
      <c r="F1119" s="7" t="str">
        <f>IFERROR(__xludf.DUMMYFUNCTION("""COMPUTED_VALUE"""),"S130 unlocks S127")</f>
        <v>S130 unlocks S127</v>
      </c>
    </row>
    <row r="1120">
      <c r="A1120" s="7" t="str">
        <f>IFERROR(__xludf.DUMMYFUNCTION("""COMPUTED_VALUE"""),"PE1119")</f>
        <v>PE1119</v>
      </c>
      <c r="B1120" s="7" t="str">
        <f>IFERROR(__xludf.DUMMYFUNCTION("""COMPUTED_VALUE"""),"S130")</f>
        <v>S130</v>
      </c>
      <c r="C1120" s="7" t="str">
        <f>IFERROR(__xludf.DUMMYFUNCTION("""COMPUTED_VALUE"""),"Data Transformation &amp; Analytics Engineering (dbt)")</f>
        <v>Data Transformation &amp; Analytics Engineering (dbt)</v>
      </c>
      <c r="D1120" s="7" t="str">
        <f>IFERROR(__xludf.DUMMYFUNCTION("""COMPUTED_VALUE"""),"S128")</f>
        <v>S128</v>
      </c>
      <c r="E1120" s="7" t="str">
        <f>IFERROR(__xludf.DUMMYFUNCTION("""COMPUTED_VALUE"""),"Distributed Data Processing (Apache Spark, PySpark)")</f>
        <v>Distributed Data Processing (Apache Spark, PySpark)</v>
      </c>
      <c r="F1120" s="7" t="str">
        <f>IFERROR(__xludf.DUMMYFUNCTION("""COMPUTED_VALUE"""),"S130 unlocks S128")</f>
        <v>S130 unlocks S128</v>
      </c>
    </row>
    <row r="1121">
      <c r="A1121" s="7" t="str">
        <f>IFERROR(__xludf.DUMMYFUNCTION("""COMPUTED_VALUE"""),"PE1120")</f>
        <v>PE1120</v>
      </c>
      <c r="B1121" s="7" t="str">
        <f>IFERROR(__xludf.DUMMYFUNCTION("""COMPUTED_VALUE"""),"S130")</f>
        <v>S130</v>
      </c>
      <c r="C1121" s="7" t="str">
        <f>IFERROR(__xludf.DUMMYFUNCTION("""COMPUTED_VALUE"""),"Data Transformation &amp; Analytics Engineering (dbt)")</f>
        <v>Data Transformation &amp; Analytics Engineering (dbt)</v>
      </c>
      <c r="D1121" s="7" t="str">
        <f>IFERROR(__xludf.DUMMYFUNCTION("""COMPUTED_VALUE"""),"S129")</f>
        <v>S129</v>
      </c>
      <c r="E1121" s="7" t="str">
        <f>IFERROR(__xludf.DUMMYFUNCTION("""COMPUTED_VALUE"""),"Stream Processing (Apache Flink, Kafka Streams)")</f>
        <v>Stream Processing (Apache Flink, Kafka Streams)</v>
      </c>
      <c r="F1121" s="7" t="str">
        <f>IFERROR(__xludf.DUMMYFUNCTION("""COMPUTED_VALUE"""),"S130 unlocks S129")</f>
        <v>S130 unlocks S129</v>
      </c>
    </row>
    <row r="1122">
      <c r="A1122" s="7" t="str">
        <f>IFERROR(__xludf.DUMMYFUNCTION("""COMPUTED_VALUE"""),"PE1121")</f>
        <v>PE1121</v>
      </c>
      <c r="B1122" s="7" t="str">
        <f>IFERROR(__xludf.DUMMYFUNCTION("""COMPUTED_VALUE"""),"S130")</f>
        <v>S130</v>
      </c>
      <c r="C1122" s="7" t="str">
        <f>IFERROR(__xludf.DUMMYFUNCTION("""COMPUTED_VALUE"""),"Data Transformation &amp; Analytics Engineering (dbt)")</f>
        <v>Data Transformation &amp; Analytics Engineering (dbt)</v>
      </c>
      <c r="D1122" s="7" t="str">
        <f>IFERROR(__xludf.DUMMYFUNCTION("""COMPUTED_VALUE"""),"S131")</f>
        <v>S131</v>
      </c>
      <c r="E1122" s="7" t="str">
        <f>IFERROR(__xludf.DUMMYFUNCTION("""COMPUTED_VALUE"""),"Cloud Data Warehousing (Snowflake, Google BigQuery, AWS Redshift)")</f>
        <v>Cloud Data Warehousing (Snowflake, Google BigQuery, AWS Redshift)</v>
      </c>
      <c r="F1122" s="7" t="str">
        <f>IFERROR(__xludf.DUMMYFUNCTION("""COMPUTED_VALUE"""),"S130 unlocks S131")</f>
        <v>S130 unlocks S131</v>
      </c>
    </row>
    <row r="1123">
      <c r="A1123" s="7" t="str">
        <f>IFERROR(__xludf.DUMMYFUNCTION("""COMPUTED_VALUE"""),"PE1122")</f>
        <v>PE1122</v>
      </c>
      <c r="B1123" s="7" t="str">
        <f>IFERROR(__xludf.DUMMYFUNCTION("""COMPUTED_VALUE"""),"S130")</f>
        <v>S130</v>
      </c>
      <c r="C1123" s="7" t="str">
        <f>IFERROR(__xludf.DUMMYFUNCTION("""COMPUTED_VALUE"""),"Data Transformation &amp; Analytics Engineering (dbt)")</f>
        <v>Data Transformation &amp; Analytics Engineering (dbt)</v>
      </c>
      <c r="D1123" s="7" t="str">
        <f>IFERROR(__xludf.DUMMYFUNCTION("""COMPUTED_VALUE"""),"S132")</f>
        <v>S132</v>
      </c>
      <c r="E1123" s="7" t="str">
        <f>IFERROR(__xludf.DUMMYFUNCTION("""COMPUTED_VALUE"""),"Data Lakehouse Architecture (Delta Lake, Apache Iceberg, Databricks)")</f>
        <v>Data Lakehouse Architecture (Delta Lake, Apache Iceberg, Databricks)</v>
      </c>
      <c r="F1123" s="7" t="str">
        <f>IFERROR(__xludf.DUMMYFUNCTION("""COMPUTED_VALUE"""),"S130 unlocks S132")</f>
        <v>S130 unlocks S132</v>
      </c>
    </row>
    <row r="1124">
      <c r="A1124" s="7" t="str">
        <f>IFERROR(__xludf.DUMMYFUNCTION("""COMPUTED_VALUE"""),"PE1123")</f>
        <v>PE1123</v>
      </c>
      <c r="B1124" s="7" t="str">
        <f>IFERROR(__xludf.DUMMYFUNCTION("""COMPUTED_VALUE"""),"S133")</f>
        <v>S133</v>
      </c>
      <c r="C1124" s="7" t="str">
        <f>IFERROR(__xludf.DUMMYFUNCTION("""COMPUTED_VALUE"""),"Big Data Storage &amp; Hadoop Ecosystem (HDFS, Parquet, Avro)")</f>
        <v>Big Data Storage &amp; Hadoop Ecosystem (HDFS, Parquet, Avro)</v>
      </c>
      <c r="D1124" s="7" t="str">
        <f>IFERROR(__xludf.DUMMYFUNCTION("""COMPUTED_VALUE"""),"S114")</f>
        <v>S114</v>
      </c>
      <c r="E1124" s="7" t="str">
        <f>IFERROR(__xludf.DUMMYFUNCTION("""COMPUTED_VALUE"""),"Database Indexing, Query Plans &amp; Optimization")</f>
        <v>Database Indexing, Query Plans &amp; Optimization</v>
      </c>
      <c r="F1124" s="7" t="str">
        <f>IFERROR(__xludf.DUMMYFUNCTION("""COMPUTED_VALUE"""),"S133 unlocks S114")</f>
        <v>S133 unlocks S114</v>
      </c>
    </row>
    <row r="1125">
      <c r="A1125" s="7" t="str">
        <f>IFERROR(__xludf.DUMMYFUNCTION("""COMPUTED_VALUE"""),"PE1124")</f>
        <v>PE1124</v>
      </c>
      <c r="B1125" s="7" t="str">
        <f>IFERROR(__xludf.DUMMYFUNCTION("""COMPUTED_VALUE"""),"S133")</f>
        <v>S133</v>
      </c>
      <c r="C1125" s="7" t="str">
        <f>IFERROR(__xludf.DUMMYFUNCTION("""COMPUTED_VALUE"""),"Big Data Storage &amp; Hadoop Ecosystem (HDFS, Parquet, Avro)")</f>
        <v>Big Data Storage &amp; Hadoop Ecosystem (HDFS, Parquet, Avro)</v>
      </c>
      <c r="D1125" s="7" t="str">
        <f>IFERROR(__xludf.DUMMYFUNCTION("""COMPUTED_VALUE"""),"S115")</f>
        <v>S115</v>
      </c>
      <c r="E1125" s="7" t="str">
        <f>IFERROR(__xludf.DUMMYFUNCTION("""COMPUTED_VALUE"""),"ACID Transactions, Locking &amp; Isolation Levels")</f>
        <v>ACID Transactions, Locking &amp; Isolation Levels</v>
      </c>
      <c r="F1125" s="7" t="str">
        <f>IFERROR(__xludf.DUMMYFUNCTION("""COMPUTED_VALUE"""),"S133 unlocks S115")</f>
        <v>S133 unlocks S115</v>
      </c>
    </row>
    <row r="1126">
      <c r="A1126" s="7" t="str">
        <f>IFERROR(__xludf.DUMMYFUNCTION("""COMPUTED_VALUE"""),"PE1125")</f>
        <v>PE1125</v>
      </c>
      <c r="B1126" s="7" t="str">
        <f>IFERROR(__xludf.DUMMYFUNCTION("""COMPUTED_VALUE"""),"S133")</f>
        <v>S133</v>
      </c>
      <c r="C1126" s="7" t="str">
        <f>IFERROR(__xludf.DUMMYFUNCTION("""COMPUTED_VALUE"""),"Big Data Storage &amp; Hadoop Ecosystem (HDFS, Parquet, Avro)")</f>
        <v>Big Data Storage &amp; Hadoop Ecosystem (HDFS, Parquet, Avro)</v>
      </c>
      <c r="D1126" s="7" t="str">
        <f>IFERROR(__xludf.DUMMYFUNCTION("""COMPUTED_VALUE"""),"S116")</f>
        <v>S116</v>
      </c>
      <c r="E1126" s="7" t="str">
        <f>IFERROR(__xludf.DUMMYFUNCTION("""COMPUTED_VALUE"""),"Database Replication, Sharding &amp; Partitioning")</f>
        <v>Database Replication, Sharding &amp; Partitioning</v>
      </c>
      <c r="F1126" s="7" t="str">
        <f>IFERROR(__xludf.DUMMYFUNCTION("""COMPUTED_VALUE"""),"S133 unlocks S116")</f>
        <v>S133 unlocks S116</v>
      </c>
    </row>
    <row r="1127">
      <c r="A1127" s="7" t="str">
        <f>IFERROR(__xludf.DUMMYFUNCTION("""COMPUTED_VALUE"""),"PE1126")</f>
        <v>PE1126</v>
      </c>
      <c r="B1127" s="7" t="str">
        <f>IFERROR(__xludf.DUMMYFUNCTION("""COMPUTED_VALUE"""),"S133")</f>
        <v>S133</v>
      </c>
      <c r="C1127" s="7" t="str">
        <f>IFERROR(__xludf.DUMMYFUNCTION("""COMPUTED_VALUE"""),"Big Data Storage &amp; Hadoop Ecosystem (HDFS, Parquet, Avro)")</f>
        <v>Big Data Storage &amp; Hadoop Ecosystem (HDFS, Parquet, Avro)</v>
      </c>
      <c r="D1127" s="7" t="str">
        <f>IFERROR(__xludf.DUMMYFUNCTION("""COMPUTED_VALUE"""),"S121")</f>
        <v>S121</v>
      </c>
      <c r="E1127" s="7" t="str">
        <f>IFERROR(__xludf.DUMMYFUNCTION("""COMPUTED_VALUE"""),"Wide-Column Stores (Apache Cassandra, ScyllaDB)")</f>
        <v>Wide-Column Stores (Apache Cassandra, ScyllaDB)</v>
      </c>
      <c r="F1127" s="7" t="str">
        <f>IFERROR(__xludf.DUMMYFUNCTION("""COMPUTED_VALUE"""),"S133 unlocks S121")</f>
        <v>S133 unlocks S121</v>
      </c>
    </row>
    <row r="1128">
      <c r="A1128" s="7" t="str">
        <f>IFERROR(__xludf.DUMMYFUNCTION("""COMPUTED_VALUE"""),"PE1127")</f>
        <v>PE1127</v>
      </c>
      <c r="B1128" s="7" t="str">
        <f>IFERROR(__xludf.DUMMYFUNCTION("""COMPUTED_VALUE"""),"S133")</f>
        <v>S133</v>
      </c>
      <c r="C1128" s="7" t="str">
        <f>IFERROR(__xludf.DUMMYFUNCTION("""COMPUTED_VALUE"""),"Big Data Storage &amp; Hadoop Ecosystem (HDFS, Parquet, Avro)")</f>
        <v>Big Data Storage &amp; Hadoop Ecosystem (HDFS, Parquet, Avro)</v>
      </c>
      <c r="D1128" s="7" t="str">
        <f>IFERROR(__xludf.DUMMYFUNCTION("""COMPUTED_VALUE"""),"S123")</f>
        <v>S123</v>
      </c>
      <c r="E1128" s="7" t="str">
        <f>IFERROR(__xludf.DUMMYFUNCTION("""COMPUTED_VALUE"""),"Graph Databases &amp; Cypher (Neo4j)")</f>
        <v>Graph Databases &amp; Cypher (Neo4j)</v>
      </c>
      <c r="F1128" s="7" t="str">
        <f>IFERROR(__xludf.DUMMYFUNCTION("""COMPUTED_VALUE"""),"S133 unlocks S123")</f>
        <v>S133 unlocks S123</v>
      </c>
    </row>
    <row r="1129">
      <c r="A1129" s="7" t="str">
        <f>IFERROR(__xludf.DUMMYFUNCTION("""COMPUTED_VALUE"""),"PE1128")</f>
        <v>PE1128</v>
      </c>
      <c r="B1129" s="7" t="str">
        <f>IFERROR(__xludf.DUMMYFUNCTION("""COMPUTED_VALUE"""),"S133")</f>
        <v>S133</v>
      </c>
      <c r="C1129" s="7" t="str">
        <f>IFERROR(__xludf.DUMMYFUNCTION("""COMPUTED_VALUE"""),"Big Data Storage &amp; Hadoop Ecosystem (HDFS, Parquet, Avro)")</f>
        <v>Big Data Storage &amp; Hadoop Ecosystem (HDFS, Parquet, Avro)</v>
      </c>
      <c r="D1129" s="7" t="str">
        <f>IFERROR(__xludf.DUMMYFUNCTION("""COMPUTED_VALUE"""),"S125")</f>
        <v>S125</v>
      </c>
      <c r="E1129" s="7" t="str">
        <f>IFERROR(__xludf.DUMMYFUNCTION("""COMPUTED_VALUE"""),"Vector Databases (Pinecone, Milvus, Weaviate, pgvector)")</f>
        <v>Vector Databases (Pinecone, Milvus, Weaviate, pgvector)</v>
      </c>
      <c r="F1129" s="7" t="str">
        <f>IFERROR(__xludf.DUMMYFUNCTION("""COMPUTED_VALUE"""),"S133 unlocks S125")</f>
        <v>S133 unlocks S125</v>
      </c>
    </row>
    <row r="1130">
      <c r="A1130" s="7" t="str">
        <f>IFERROR(__xludf.DUMMYFUNCTION("""COMPUTED_VALUE"""),"PE1129")</f>
        <v>PE1129</v>
      </c>
      <c r="B1130" s="7" t="str">
        <f>IFERROR(__xludf.DUMMYFUNCTION("""COMPUTED_VALUE"""),"S133")</f>
        <v>S133</v>
      </c>
      <c r="C1130" s="7" t="str">
        <f>IFERROR(__xludf.DUMMYFUNCTION("""COMPUTED_VALUE"""),"Big Data Storage &amp; Hadoop Ecosystem (HDFS, Parquet, Avro)")</f>
        <v>Big Data Storage &amp; Hadoop Ecosystem (HDFS, Parquet, Avro)</v>
      </c>
      <c r="D1130" s="7" t="str">
        <f>IFERROR(__xludf.DUMMYFUNCTION("""COMPUTED_VALUE"""),"S127")</f>
        <v>S127</v>
      </c>
      <c r="E1130" s="7" t="str">
        <f>IFERROR(__xludf.DUMMYFUNCTION("""COMPUTED_VALUE"""),"Workflow Orchestration (Apache Airflow, Prefect, Dagster)")</f>
        <v>Workflow Orchestration (Apache Airflow, Prefect, Dagster)</v>
      </c>
      <c r="F1130" s="7" t="str">
        <f>IFERROR(__xludf.DUMMYFUNCTION("""COMPUTED_VALUE"""),"S133 unlocks S127")</f>
        <v>S133 unlocks S127</v>
      </c>
    </row>
    <row r="1131">
      <c r="A1131" s="7" t="str">
        <f>IFERROR(__xludf.DUMMYFUNCTION("""COMPUTED_VALUE"""),"PE1130")</f>
        <v>PE1130</v>
      </c>
      <c r="B1131" s="7" t="str">
        <f>IFERROR(__xludf.DUMMYFUNCTION("""COMPUTED_VALUE"""),"S133")</f>
        <v>S133</v>
      </c>
      <c r="C1131" s="7" t="str">
        <f>IFERROR(__xludf.DUMMYFUNCTION("""COMPUTED_VALUE"""),"Big Data Storage &amp; Hadoop Ecosystem (HDFS, Parquet, Avro)")</f>
        <v>Big Data Storage &amp; Hadoop Ecosystem (HDFS, Parquet, Avro)</v>
      </c>
      <c r="D1131" s="7" t="str">
        <f>IFERROR(__xludf.DUMMYFUNCTION("""COMPUTED_VALUE"""),"S128")</f>
        <v>S128</v>
      </c>
      <c r="E1131" s="7" t="str">
        <f>IFERROR(__xludf.DUMMYFUNCTION("""COMPUTED_VALUE"""),"Distributed Data Processing (Apache Spark, PySpark)")</f>
        <v>Distributed Data Processing (Apache Spark, PySpark)</v>
      </c>
      <c r="F1131" s="7" t="str">
        <f>IFERROR(__xludf.DUMMYFUNCTION("""COMPUTED_VALUE"""),"S133 unlocks S128")</f>
        <v>S133 unlocks S128</v>
      </c>
    </row>
    <row r="1132">
      <c r="A1132" s="7" t="str">
        <f>IFERROR(__xludf.DUMMYFUNCTION("""COMPUTED_VALUE"""),"PE1131")</f>
        <v>PE1131</v>
      </c>
      <c r="B1132" s="7" t="str">
        <f>IFERROR(__xludf.DUMMYFUNCTION("""COMPUTED_VALUE"""),"S133")</f>
        <v>S133</v>
      </c>
      <c r="C1132" s="7" t="str">
        <f>IFERROR(__xludf.DUMMYFUNCTION("""COMPUTED_VALUE"""),"Big Data Storage &amp; Hadoop Ecosystem (HDFS, Parquet, Avro)")</f>
        <v>Big Data Storage &amp; Hadoop Ecosystem (HDFS, Parquet, Avro)</v>
      </c>
      <c r="D1132" s="7" t="str">
        <f>IFERROR(__xludf.DUMMYFUNCTION("""COMPUTED_VALUE"""),"S129")</f>
        <v>S129</v>
      </c>
      <c r="E1132" s="7" t="str">
        <f>IFERROR(__xludf.DUMMYFUNCTION("""COMPUTED_VALUE"""),"Stream Processing (Apache Flink, Kafka Streams)")</f>
        <v>Stream Processing (Apache Flink, Kafka Streams)</v>
      </c>
      <c r="F1132" s="7" t="str">
        <f>IFERROR(__xludf.DUMMYFUNCTION("""COMPUTED_VALUE"""),"S133 unlocks S129")</f>
        <v>S133 unlocks S129</v>
      </c>
    </row>
    <row r="1133">
      <c r="A1133" s="7" t="str">
        <f>IFERROR(__xludf.DUMMYFUNCTION("""COMPUTED_VALUE"""),"PE1132")</f>
        <v>PE1132</v>
      </c>
      <c r="B1133" s="7" t="str">
        <f>IFERROR(__xludf.DUMMYFUNCTION("""COMPUTED_VALUE"""),"S133")</f>
        <v>S133</v>
      </c>
      <c r="C1133" s="7" t="str">
        <f>IFERROR(__xludf.DUMMYFUNCTION("""COMPUTED_VALUE"""),"Big Data Storage &amp; Hadoop Ecosystem (HDFS, Parquet, Avro)")</f>
        <v>Big Data Storage &amp; Hadoop Ecosystem (HDFS, Parquet, Avro)</v>
      </c>
      <c r="D1133" s="7" t="str">
        <f>IFERROR(__xludf.DUMMYFUNCTION("""COMPUTED_VALUE"""),"S131")</f>
        <v>S131</v>
      </c>
      <c r="E1133" s="7" t="str">
        <f>IFERROR(__xludf.DUMMYFUNCTION("""COMPUTED_VALUE"""),"Cloud Data Warehousing (Snowflake, Google BigQuery, AWS Redshift)")</f>
        <v>Cloud Data Warehousing (Snowflake, Google BigQuery, AWS Redshift)</v>
      </c>
      <c r="F1133" s="7" t="str">
        <f>IFERROR(__xludf.DUMMYFUNCTION("""COMPUTED_VALUE"""),"S133 unlocks S131")</f>
        <v>S133 unlocks S131</v>
      </c>
    </row>
    <row r="1134">
      <c r="A1134" s="7" t="str">
        <f>IFERROR(__xludf.DUMMYFUNCTION("""COMPUTED_VALUE"""),"PE1133")</f>
        <v>PE1133</v>
      </c>
      <c r="B1134" s="7" t="str">
        <f>IFERROR(__xludf.DUMMYFUNCTION("""COMPUTED_VALUE"""),"S133")</f>
        <v>S133</v>
      </c>
      <c r="C1134" s="7" t="str">
        <f>IFERROR(__xludf.DUMMYFUNCTION("""COMPUTED_VALUE"""),"Big Data Storage &amp; Hadoop Ecosystem (HDFS, Parquet, Avro)")</f>
        <v>Big Data Storage &amp; Hadoop Ecosystem (HDFS, Parquet, Avro)</v>
      </c>
      <c r="D1134" s="7" t="str">
        <f>IFERROR(__xludf.DUMMYFUNCTION("""COMPUTED_VALUE"""),"S132")</f>
        <v>S132</v>
      </c>
      <c r="E1134" s="7" t="str">
        <f>IFERROR(__xludf.DUMMYFUNCTION("""COMPUTED_VALUE"""),"Data Lakehouse Architecture (Delta Lake, Apache Iceberg, Databricks)")</f>
        <v>Data Lakehouse Architecture (Delta Lake, Apache Iceberg, Databricks)</v>
      </c>
      <c r="F1134" s="7" t="str">
        <f>IFERROR(__xludf.DUMMYFUNCTION("""COMPUTED_VALUE"""),"S133 unlocks S132")</f>
        <v>S133 unlocks S132</v>
      </c>
    </row>
    <row r="1135">
      <c r="A1135" s="7" t="str">
        <f>IFERROR(__xludf.DUMMYFUNCTION("""COMPUTED_VALUE"""),"PE1134")</f>
        <v>PE1134</v>
      </c>
      <c r="B1135" s="7" t="str">
        <f>IFERROR(__xludf.DUMMYFUNCTION("""COMPUTED_VALUE"""),"S134")</f>
        <v>S134</v>
      </c>
      <c r="C1135" s="7" t="str">
        <f>IFERROR(__xludf.DUMMYFUNCTION("""COMPUTED_VALUE"""),"Data Modeling (Star Schema, Snowflake Schema, Data Vault)")</f>
        <v>Data Modeling (Star Schema, Snowflake Schema, Data Vault)</v>
      </c>
      <c r="D1135" s="7" t="str">
        <f>IFERROR(__xludf.DUMMYFUNCTION("""COMPUTED_VALUE"""),"S114")</f>
        <v>S114</v>
      </c>
      <c r="E1135" s="7" t="str">
        <f>IFERROR(__xludf.DUMMYFUNCTION("""COMPUTED_VALUE"""),"Database Indexing, Query Plans &amp; Optimization")</f>
        <v>Database Indexing, Query Plans &amp; Optimization</v>
      </c>
      <c r="F1135" s="7" t="str">
        <f>IFERROR(__xludf.DUMMYFUNCTION("""COMPUTED_VALUE"""),"S134 unlocks S114")</f>
        <v>S134 unlocks S114</v>
      </c>
    </row>
    <row r="1136">
      <c r="A1136" s="7" t="str">
        <f>IFERROR(__xludf.DUMMYFUNCTION("""COMPUTED_VALUE"""),"PE1135")</f>
        <v>PE1135</v>
      </c>
      <c r="B1136" s="7" t="str">
        <f>IFERROR(__xludf.DUMMYFUNCTION("""COMPUTED_VALUE"""),"S134")</f>
        <v>S134</v>
      </c>
      <c r="C1136" s="7" t="str">
        <f>IFERROR(__xludf.DUMMYFUNCTION("""COMPUTED_VALUE"""),"Data Modeling (Star Schema, Snowflake Schema, Data Vault)")</f>
        <v>Data Modeling (Star Schema, Snowflake Schema, Data Vault)</v>
      </c>
      <c r="D1136" s="7" t="str">
        <f>IFERROR(__xludf.DUMMYFUNCTION("""COMPUTED_VALUE"""),"S115")</f>
        <v>S115</v>
      </c>
      <c r="E1136" s="7" t="str">
        <f>IFERROR(__xludf.DUMMYFUNCTION("""COMPUTED_VALUE"""),"ACID Transactions, Locking &amp; Isolation Levels")</f>
        <v>ACID Transactions, Locking &amp; Isolation Levels</v>
      </c>
      <c r="F1136" s="7" t="str">
        <f>IFERROR(__xludf.DUMMYFUNCTION("""COMPUTED_VALUE"""),"S134 unlocks S115")</f>
        <v>S134 unlocks S115</v>
      </c>
    </row>
    <row r="1137">
      <c r="A1137" s="7" t="str">
        <f>IFERROR(__xludf.DUMMYFUNCTION("""COMPUTED_VALUE"""),"PE1136")</f>
        <v>PE1136</v>
      </c>
      <c r="B1137" s="7" t="str">
        <f>IFERROR(__xludf.DUMMYFUNCTION("""COMPUTED_VALUE"""),"S134")</f>
        <v>S134</v>
      </c>
      <c r="C1137" s="7" t="str">
        <f>IFERROR(__xludf.DUMMYFUNCTION("""COMPUTED_VALUE"""),"Data Modeling (Star Schema, Snowflake Schema, Data Vault)")</f>
        <v>Data Modeling (Star Schema, Snowflake Schema, Data Vault)</v>
      </c>
      <c r="D1137" s="7" t="str">
        <f>IFERROR(__xludf.DUMMYFUNCTION("""COMPUTED_VALUE"""),"S116")</f>
        <v>S116</v>
      </c>
      <c r="E1137" s="7" t="str">
        <f>IFERROR(__xludf.DUMMYFUNCTION("""COMPUTED_VALUE"""),"Database Replication, Sharding &amp; Partitioning")</f>
        <v>Database Replication, Sharding &amp; Partitioning</v>
      </c>
      <c r="F1137" s="7" t="str">
        <f>IFERROR(__xludf.DUMMYFUNCTION("""COMPUTED_VALUE"""),"S134 unlocks S116")</f>
        <v>S134 unlocks S116</v>
      </c>
    </row>
    <row r="1138">
      <c r="A1138" s="7" t="str">
        <f>IFERROR(__xludf.DUMMYFUNCTION("""COMPUTED_VALUE"""),"PE1137")</f>
        <v>PE1137</v>
      </c>
      <c r="B1138" s="7" t="str">
        <f>IFERROR(__xludf.DUMMYFUNCTION("""COMPUTED_VALUE"""),"S134")</f>
        <v>S134</v>
      </c>
      <c r="C1138" s="7" t="str">
        <f>IFERROR(__xludf.DUMMYFUNCTION("""COMPUTED_VALUE"""),"Data Modeling (Star Schema, Snowflake Schema, Data Vault)")</f>
        <v>Data Modeling (Star Schema, Snowflake Schema, Data Vault)</v>
      </c>
      <c r="D1138" s="7" t="str">
        <f>IFERROR(__xludf.DUMMYFUNCTION("""COMPUTED_VALUE"""),"S121")</f>
        <v>S121</v>
      </c>
      <c r="E1138" s="7" t="str">
        <f>IFERROR(__xludf.DUMMYFUNCTION("""COMPUTED_VALUE"""),"Wide-Column Stores (Apache Cassandra, ScyllaDB)")</f>
        <v>Wide-Column Stores (Apache Cassandra, ScyllaDB)</v>
      </c>
      <c r="F1138" s="7" t="str">
        <f>IFERROR(__xludf.DUMMYFUNCTION("""COMPUTED_VALUE"""),"S134 unlocks S121")</f>
        <v>S134 unlocks S121</v>
      </c>
    </row>
    <row r="1139">
      <c r="A1139" s="7" t="str">
        <f>IFERROR(__xludf.DUMMYFUNCTION("""COMPUTED_VALUE"""),"PE1138")</f>
        <v>PE1138</v>
      </c>
      <c r="B1139" s="7" t="str">
        <f>IFERROR(__xludf.DUMMYFUNCTION("""COMPUTED_VALUE"""),"S134")</f>
        <v>S134</v>
      </c>
      <c r="C1139" s="7" t="str">
        <f>IFERROR(__xludf.DUMMYFUNCTION("""COMPUTED_VALUE"""),"Data Modeling (Star Schema, Snowflake Schema, Data Vault)")</f>
        <v>Data Modeling (Star Schema, Snowflake Schema, Data Vault)</v>
      </c>
      <c r="D1139" s="7" t="str">
        <f>IFERROR(__xludf.DUMMYFUNCTION("""COMPUTED_VALUE"""),"S123")</f>
        <v>S123</v>
      </c>
      <c r="E1139" s="7" t="str">
        <f>IFERROR(__xludf.DUMMYFUNCTION("""COMPUTED_VALUE"""),"Graph Databases &amp; Cypher (Neo4j)")</f>
        <v>Graph Databases &amp; Cypher (Neo4j)</v>
      </c>
      <c r="F1139" s="7" t="str">
        <f>IFERROR(__xludf.DUMMYFUNCTION("""COMPUTED_VALUE"""),"S134 unlocks S123")</f>
        <v>S134 unlocks S123</v>
      </c>
    </row>
    <row r="1140">
      <c r="A1140" s="7" t="str">
        <f>IFERROR(__xludf.DUMMYFUNCTION("""COMPUTED_VALUE"""),"PE1139")</f>
        <v>PE1139</v>
      </c>
      <c r="B1140" s="7" t="str">
        <f>IFERROR(__xludf.DUMMYFUNCTION("""COMPUTED_VALUE"""),"S134")</f>
        <v>S134</v>
      </c>
      <c r="C1140" s="7" t="str">
        <f>IFERROR(__xludf.DUMMYFUNCTION("""COMPUTED_VALUE"""),"Data Modeling (Star Schema, Snowflake Schema, Data Vault)")</f>
        <v>Data Modeling (Star Schema, Snowflake Schema, Data Vault)</v>
      </c>
      <c r="D1140" s="7" t="str">
        <f>IFERROR(__xludf.DUMMYFUNCTION("""COMPUTED_VALUE"""),"S125")</f>
        <v>S125</v>
      </c>
      <c r="E1140" s="7" t="str">
        <f>IFERROR(__xludf.DUMMYFUNCTION("""COMPUTED_VALUE"""),"Vector Databases (Pinecone, Milvus, Weaviate, pgvector)")</f>
        <v>Vector Databases (Pinecone, Milvus, Weaviate, pgvector)</v>
      </c>
      <c r="F1140" s="7" t="str">
        <f>IFERROR(__xludf.DUMMYFUNCTION("""COMPUTED_VALUE"""),"S134 unlocks S125")</f>
        <v>S134 unlocks S125</v>
      </c>
    </row>
    <row r="1141">
      <c r="A1141" s="7" t="str">
        <f>IFERROR(__xludf.DUMMYFUNCTION("""COMPUTED_VALUE"""),"PE1140")</f>
        <v>PE1140</v>
      </c>
      <c r="B1141" s="7" t="str">
        <f>IFERROR(__xludf.DUMMYFUNCTION("""COMPUTED_VALUE"""),"S134")</f>
        <v>S134</v>
      </c>
      <c r="C1141" s="7" t="str">
        <f>IFERROR(__xludf.DUMMYFUNCTION("""COMPUTED_VALUE"""),"Data Modeling (Star Schema, Snowflake Schema, Data Vault)")</f>
        <v>Data Modeling (Star Schema, Snowflake Schema, Data Vault)</v>
      </c>
      <c r="D1141" s="7" t="str">
        <f>IFERROR(__xludf.DUMMYFUNCTION("""COMPUTED_VALUE"""),"S127")</f>
        <v>S127</v>
      </c>
      <c r="E1141" s="7" t="str">
        <f>IFERROR(__xludf.DUMMYFUNCTION("""COMPUTED_VALUE"""),"Workflow Orchestration (Apache Airflow, Prefect, Dagster)")</f>
        <v>Workflow Orchestration (Apache Airflow, Prefect, Dagster)</v>
      </c>
      <c r="F1141" s="7" t="str">
        <f>IFERROR(__xludf.DUMMYFUNCTION("""COMPUTED_VALUE"""),"S134 unlocks S127")</f>
        <v>S134 unlocks S127</v>
      </c>
    </row>
    <row r="1142">
      <c r="A1142" s="7" t="str">
        <f>IFERROR(__xludf.DUMMYFUNCTION("""COMPUTED_VALUE"""),"PE1141")</f>
        <v>PE1141</v>
      </c>
      <c r="B1142" s="7" t="str">
        <f>IFERROR(__xludf.DUMMYFUNCTION("""COMPUTED_VALUE"""),"S134")</f>
        <v>S134</v>
      </c>
      <c r="C1142" s="7" t="str">
        <f>IFERROR(__xludf.DUMMYFUNCTION("""COMPUTED_VALUE"""),"Data Modeling (Star Schema, Snowflake Schema, Data Vault)")</f>
        <v>Data Modeling (Star Schema, Snowflake Schema, Data Vault)</v>
      </c>
      <c r="D1142" s="7" t="str">
        <f>IFERROR(__xludf.DUMMYFUNCTION("""COMPUTED_VALUE"""),"S128")</f>
        <v>S128</v>
      </c>
      <c r="E1142" s="7" t="str">
        <f>IFERROR(__xludf.DUMMYFUNCTION("""COMPUTED_VALUE"""),"Distributed Data Processing (Apache Spark, PySpark)")</f>
        <v>Distributed Data Processing (Apache Spark, PySpark)</v>
      </c>
      <c r="F1142" s="7" t="str">
        <f>IFERROR(__xludf.DUMMYFUNCTION("""COMPUTED_VALUE"""),"S134 unlocks S128")</f>
        <v>S134 unlocks S128</v>
      </c>
    </row>
    <row r="1143">
      <c r="A1143" s="7" t="str">
        <f>IFERROR(__xludf.DUMMYFUNCTION("""COMPUTED_VALUE"""),"PE1142")</f>
        <v>PE1142</v>
      </c>
      <c r="B1143" s="7" t="str">
        <f>IFERROR(__xludf.DUMMYFUNCTION("""COMPUTED_VALUE"""),"S134")</f>
        <v>S134</v>
      </c>
      <c r="C1143" s="7" t="str">
        <f>IFERROR(__xludf.DUMMYFUNCTION("""COMPUTED_VALUE"""),"Data Modeling (Star Schema, Snowflake Schema, Data Vault)")</f>
        <v>Data Modeling (Star Schema, Snowflake Schema, Data Vault)</v>
      </c>
      <c r="D1143" s="7" t="str">
        <f>IFERROR(__xludf.DUMMYFUNCTION("""COMPUTED_VALUE"""),"S129")</f>
        <v>S129</v>
      </c>
      <c r="E1143" s="7" t="str">
        <f>IFERROR(__xludf.DUMMYFUNCTION("""COMPUTED_VALUE"""),"Stream Processing (Apache Flink, Kafka Streams)")</f>
        <v>Stream Processing (Apache Flink, Kafka Streams)</v>
      </c>
      <c r="F1143" s="7" t="str">
        <f>IFERROR(__xludf.DUMMYFUNCTION("""COMPUTED_VALUE"""),"S134 unlocks S129")</f>
        <v>S134 unlocks S129</v>
      </c>
    </row>
    <row r="1144">
      <c r="A1144" s="7" t="str">
        <f>IFERROR(__xludf.DUMMYFUNCTION("""COMPUTED_VALUE"""),"PE1143")</f>
        <v>PE1143</v>
      </c>
      <c r="B1144" s="7" t="str">
        <f>IFERROR(__xludf.DUMMYFUNCTION("""COMPUTED_VALUE"""),"S134")</f>
        <v>S134</v>
      </c>
      <c r="C1144" s="7" t="str">
        <f>IFERROR(__xludf.DUMMYFUNCTION("""COMPUTED_VALUE"""),"Data Modeling (Star Schema, Snowflake Schema, Data Vault)")</f>
        <v>Data Modeling (Star Schema, Snowflake Schema, Data Vault)</v>
      </c>
      <c r="D1144" s="7" t="str">
        <f>IFERROR(__xludf.DUMMYFUNCTION("""COMPUTED_VALUE"""),"S131")</f>
        <v>S131</v>
      </c>
      <c r="E1144" s="7" t="str">
        <f>IFERROR(__xludf.DUMMYFUNCTION("""COMPUTED_VALUE"""),"Cloud Data Warehousing (Snowflake, Google BigQuery, AWS Redshift)")</f>
        <v>Cloud Data Warehousing (Snowflake, Google BigQuery, AWS Redshift)</v>
      </c>
      <c r="F1144" s="7" t="str">
        <f>IFERROR(__xludf.DUMMYFUNCTION("""COMPUTED_VALUE"""),"S134 unlocks S131")</f>
        <v>S134 unlocks S131</v>
      </c>
    </row>
    <row r="1145">
      <c r="A1145" s="7" t="str">
        <f>IFERROR(__xludf.DUMMYFUNCTION("""COMPUTED_VALUE"""),"PE1144")</f>
        <v>PE1144</v>
      </c>
      <c r="B1145" s="7" t="str">
        <f>IFERROR(__xludf.DUMMYFUNCTION("""COMPUTED_VALUE"""),"S134")</f>
        <v>S134</v>
      </c>
      <c r="C1145" s="7" t="str">
        <f>IFERROR(__xludf.DUMMYFUNCTION("""COMPUTED_VALUE"""),"Data Modeling (Star Schema, Snowflake Schema, Data Vault)")</f>
        <v>Data Modeling (Star Schema, Snowflake Schema, Data Vault)</v>
      </c>
      <c r="D1145" s="7" t="str">
        <f>IFERROR(__xludf.DUMMYFUNCTION("""COMPUTED_VALUE"""),"S132")</f>
        <v>S132</v>
      </c>
      <c r="E1145" s="7" t="str">
        <f>IFERROR(__xludf.DUMMYFUNCTION("""COMPUTED_VALUE"""),"Data Lakehouse Architecture (Delta Lake, Apache Iceberg, Databricks)")</f>
        <v>Data Lakehouse Architecture (Delta Lake, Apache Iceberg, Databricks)</v>
      </c>
      <c r="F1145" s="7" t="str">
        <f>IFERROR(__xludf.DUMMYFUNCTION("""COMPUTED_VALUE"""),"S134 unlocks S132")</f>
        <v>S134 unlocks S132</v>
      </c>
    </row>
    <row r="1146">
      <c r="A1146" s="7" t="str">
        <f>IFERROR(__xludf.DUMMYFUNCTION("""COMPUTED_VALUE"""),"PE1145")</f>
        <v>PE1145</v>
      </c>
      <c r="B1146" s="7" t="str">
        <f>IFERROR(__xludf.DUMMYFUNCTION("""COMPUTED_VALUE"""),"S135")</f>
        <v>S135</v>
      </c>
      <c r="C1146" s="7" t="str">
        <f>IFERROR(__xludf.DUMMYFUNCTION("""COMPUTED_VALUE"""),"Data Quality, Lineage &amp; Governance (Great Expectations, Collibra)")</f>
        <v>Data Quality, Lineage &amp; Governance (Great Expectations, Collibra)</v>
      </c>
      <c r="D1146" s="7" t="str">
        <f>IFERROR(__xludf.DUMMYFUNCTION("""COMPUTED_VALUE"""),"S114")</f>
        <v>S114</v>
      </c>
      <c r="E1146" s="7" t="str">
        <f>IFERROR(__xludf.DUMMYFUNCTION("""COMPUTED_VALUE"""),"Database Indexing, Query Plans &amp; Optimization")</f>
        <v>Database Indexing, Query Plans &amp; Optimization</v>
      </c>
      <c r="F1146" s="7" t="str">
        <f>IFERROR(__xludf.DUMMYFUNCTION("""COMPUTED_VALUE"""),"S135 unlocks S114")</f>
        <v>S135 unlocks S114</v>
      </c>
    </row>
    <row r="1147">
      <c r="A1147" s="7" t="str">
        <f>IFERROR(__xludf.DUMMYFUNCTION("""COMPUTED_VALUE"""),"PE1146")</f>
        <v>PE1146</v>
      </c>
      <c r="B1147" s="7" t="str">
        <f>IFERROR(__xludf.DUMMYFUNCTION("""COMPUTED_VALUE"""),"S135")</f>
        <v>S135</v>
      </c>
      <c r="C1147" s="7" t="str">
        <f>IFERROR(__xludf.DUMMYFUNCTION("""COMPUTED_VALUE"""),"Data Quality, Lineage &amp; Governance (Great Expectations, Collibra)")</f>
        <v>Data Quality, Lineage &amp; Governance (Great Expectations, Collibra)</v>
      </c>
      <c r="D1147" s="7" t="str">
        <f>IFERROR(__xludf.DUMMYFUNCTION("""COMPUTED_VALUE"""),"S115")</f>
        <v>S115</v>
      </c>
      <c r="E1147" s="7" t="str">
        <f>IFERROR(__xludf.DUMMYFUNCTION("""COMPUTED_VALUE"""),"ACID Transactions, Locking &amp; Isolation Levels")</f>
        <v>ACID Transactions, Locking &amp; Isolation Levels</v>
      </c>
      <c r="F1147" s="7" t="str">
        <f>IFERROR(__xludf.DUMMYFUNCTION("""COMPUTED_VALUE"""),"S135 unlocks S115")</f>
        <v>S135 unlocks S115</v>
      </c>
    </row>
    <row r="1148">
      <c r="A1148" s="7" t="str">
        <f>IFERROR(__xludf.DUMMYFUNCTION("""COMPUTED_VALUE"""),"PE1147")</f>
        <v>PE1147</v>
      </c>
      <c r="B1148" s="7" t="str">
        <f>IFERROR(__xludf.DUMMYFUNCTION("""COMPUTED_VALUE"""),"S135")</f>
        <v>S135</v>
      </c>
      <c r="C1148" s="7" t="str">
        <f>IFERROR(__xludf.DUMMYFUNCTION("""COMPUTED_VALUE"""),"Data Quality, Lineage &amp; Governance (Great Expectations, Collibra)")</f>
        <v>Data Quality, Lineage &amp; Governance (Great Expectations, Collibra)</v>
      </c>
      <c r="D1148" s="7" t="str">
        <f>IFERROR(__xludf.DUMMYFUNCTION("""COMPUTED_VALUE"""),"S116")</f>
        <v>S116</v>
      </c>
      <c r="E1148" s="7" t="str">
        <f>IFERROR(__xludf.DUMMYFUNCTION("""COMPUTED_VALUE"""),"Database Replication, Sharding &amp; Partitioning")</f>
        <v>Database Replication, Sharding &amp; Partitioning</v>
      </c>
      <c r="F1148" s="7" t="str">
        <f>IFERROR(__xludf.DUMMYFUNCTION("""COMPUTED_VALUE"""),"S135 unlocks S116")</f>
        <v>S135 unlocks S116</v>
      </c>
    </row>
    <row r="1149">
      <c r="A1149" s="7" t="str">
        <f>IFERROR(__xludf.DUMMYFUNCTION("""COMPUTED_VALUE"""),"PE1148")</f>
        <v>PE1148</v>
      </c>
      <c r="B1149" s="7" t="str">
        <f>IFERROR(__xludf.DUMMYFUNCTION("""COMPUTED_VALUE"""),"S135")</f>
        <v>S135</v>
      </c>
      <c r="C1149" s="7" t="str">
        <f>IFERROR(__xludf.DUMMYFUNCTION("""COMPUTED_VALUE"""),"Data Quality, Lineage &amp; Governance (Great Expectations, Collibra)")</f>
        <v>Data Quality, Lineage &amp; Governance (Great Expectations, Collibra)</v>
      </c>
      <c r="D1149" s="7" t="str">
        <f>IFERROR(__xludf.DUMMYFUNCTION("""COMPUTED_VALUE"""),"S121")</f>
        <v>S121</v>
      </c>
      <c r="E1149" s="7" t="str">
        <f>IFERROR(__xludf.DUMMYFUNCTION("""COMPUTED_VALUE"""),"Wide-Column Stores (Apache Cassandra, ScyllaDB)")</f>
        <v>Wide-Column Stores (Apache Cassandra, ScyllaDB)</v>
      </c>
      <c r="F1149" s="7" t="str">
        <f>IFERROR(__xludf.DUMMYFUNCTION("""COMPUTED_VALUE"""),"S135 unlocks S121")</f>
        <v>S135 unlocks S121</v>
      </c>
    </row>
    <row r="1150">
      <c r="A1150" s="7" t="str">
        <f>IFERROR(__xludf.DUMMYFUNCTION("""COMPUTED_VALUE"""),"PE1149")</f>
        <v>PE1149</v>
      </c>
      <c r="B1150" s="7" t="str">
        <f>IFERROR(__xludf.DUMMYFUNCTION("""COMPUTED_VALUE"""),"S135")</f>
        <v>S135</v>
      </c>
      <c r="C1150" s="7" t="str">
        <f>IFERROR(__xludf.DUMMYFUNCTION("""COMPUTED_VALUE"""),"Data Quality, Lineage &amp; Governance (Great Expectations, Collibra)")</f>
        <v>Data Quality, Lineage &amp; Governance (Great Expectations, Collibra)</v>
      </c>
      <c r="D1150" s="7" t="str">
        <f>IFERROR(__xludf.DUMMYFUNCTION("""COMPUTED_VALUE"""),"S123")</f>
        <v>S123</v>
      </c>
      <c r="E1150" s="7" t="str">
        <f>IFERROR(__xludf.DUMMYFUNCTION("""COMPUTED_VALUE"""),"Graph Databases &amp; Cypher (Neo4j)")</f>
        <v>Graph Databases &amp; Cypher (Neo4j)</v>
      </c>
      <c r="F1150" s="7" t="str">
        <f>IFERROR(__xludf.DUMMYFUNCTION("""COMPUTED_VALUE"""),"S135 unlocks S123")</f>
        <v>S135 unlocks S123</v>
      </c>
    </row>
    <row r="1151">
      <c r="A1151" s="7" t="str">
        <f>IFERROR(__xludf.DUMMYFUNCTION("""COMPUTED_VALUE"""),"PE1150")</f>
        <v>PE1150</v>
      </c>
      <c r="B1151" s="7" t="str">
        <f>IFERROR(__xludf.DUMMYFUNCTION("""COMPUTED_VALUE"""),"S135")</f>
        <v>S135</v>
      </c>
      <c r="C1151" s="7" t="str">
        <f>IFERROR(__xludf.DUMMYFUNCTION("""COMPUTED_VALUE"""),"Data Quality, Lineage &amp; Governance (Great Expectations, Collibra)")</f>
        <v>Data Quality, Lineage &amp; Governance (Great Expectations, Collibra)</v>
      </c>
      <c r="D1151" s="7" t="str">
        <f>IFERROR(__xludf.DUMMYFUNCTION("""COMPUTED_VALUE"""),"S125")</f>
        <v>S125</v>
      </c>
      <c r="E1151" s="7" t="str">
        <f>IFERROR(__xludf.DUMMYFUNCTION("""COMPUTED_VALUE"""),"Vector Databases (Pinecone, Milvus, Weaviate, pgvector)")</f>
        <v>Vector Databases (Pinecone, Milvus, Weaviate, pgvector)</v>
      </c>
      <c r="F1151" s="7" t="str">
        <f>IFERROR(__xludf.DUMMYFUNCTION("""COMPUTED_VALUE"""),"S135 unlocks S125")</f>
        <v>S135 unlocks S125</v>
      </c>
    </row>
    <row r="1152">
      <c r="A1152" s="7" t="str">
        <f>IFERROR(__xludf.DUMMYFUNCTION("""COMPUTED_VALUE"""),"PE1151")</f>
        <v>PE1151</v>
      </c>
      <c r="B1152" s="7" t="str">
        <f>IFERROR(__xludf.DUMMYFUNCTION("""COMPUTED_VALUE"""),"S135")</f>
        <v>S135</v>
      </c>
      <c r="C1152" s="7" t="str">
        <f>IFERROR(__xludf.DUMMYFUNCTION("""COMPUTED_VALUE"""),"Data Quality, Lineage &amp; Governance (Great Expectations, Collibra)")</f>
        <v>Data Quality, Lineage &amp; Governance (Great Expectations, Collibra)</v>
      </c>
      <c r="D1152" s="7" t="str">
        <f>IFERROR(__xludf.DUMMYFUNCTION("""COMPUTED_VALUE"""),"S127")</f>
        <v>S127</v>
      </c>
      <c r="E1152" s="7" t="str">
        <f>IFERROR(__xludf.DUMMYFUNCTION("""COMPUTED_VALUE"""),"Workflow Orchestration (Apache Airflow, Prefect, Dagster)")</f>
        <v>Workflow Orchestration (Apache Airflow, Prefect, Dagster)</v>
      </c>
      <c r="F1152" s="7" t="str">
        <f>IFERROR(__xludf.DUMMYFUNCTION("""COMPUTED_VALUE"""),"S135 unlocks S127")</f>
        <v>S135 unlocks S127</v>
      </c>
    </row>
    <row r="1153">
      <c r="A1153" s="7" t="str">
        <f>IFERROR(__xludf.DUMMYFUNCTION("""COMPUTED_VALUE"""),"PE1152")</f>
        <v>PE1152</v>
      </c>
      <c r="B1153" s="7" t="str">
        <f>IFERROR(__xludf.DUMMYFUNCTION("""COMPUTED_VALUE"""),"S135")</f>
        <v>S135</v>
      </c>
      <c r="C1153" s="7" t="str">
        <f>IFERROR(__xludf.DUMMYFUNCTION("""COMPUTED_VALUE"""),"Data Quality, Lineage &amp; Governance (Great Expectations, Collibra)")</f>
        <v>Data Quality, Lineage &amp; Governance (Great Expectations, Collibra)</v>
      </c>
      <c r="D1153" s="7" t="str">
        <f>IFERROR(__xludf.DUMMYFUNCTION("""COMPUTED_VALUE"""),"S128")</f>
        <v>S128</v>
      </c>
      <c r="E1153" s="7" t="str">
        <f>IFERROR(__xludf.DUMMYFUNCTION("""COMPUTED_VALUE"""),"Distributed Data Processing (Apache Spark, PySpark)")</f>
        <v>Distributed Data Processing (Apache Spark, PySpark)</v>
      </c>
      <c r="F1153" s="7" t="str">
        <f>IFERROR(__xludf.DUMMYFUNCTION("""COMPUTED_VALUE"""),"S135 unlocks S128")</f>
        <v>S135 unlocks S128</v>
      </c>
    </row>
    <row r="1154">
      <c r="A1154" s="7" t="str">
        <f>IFERROR(__xludf.DUMMYFUNCTION("""COMPUTED_VALUE"""),"PE1153")</f>
        <v>PE1153</v>
      </c>
      <c r="B1154" s="7" t="str">
        <f>IFERROR(__xludf.DUMMYFUNCTION("""COMPUTED_VALUE"""),"S135")</f>
        <v>S135</v>
      </c>
      <c r="C1154" s="7" t="str">
        <f>IFERROR(__xludf.DUMMYFUNCTION("""COMPUTED_VALUE"""),"Data Quality, Lineage &amp; Governance (Great Expectations, Collibra)")</f>
        <v>Data Quality, Lineage &amp; Governance (Great Expectations, Collibra)</v>
      </c>
      <c r="D1154" s="7" t="str">
        <f>IFERROR(__xludf.DUMMYFUNCTION("""COMPUTED_VALUE"""),"S129")</f>
        <v>S129</v>
      </c>
      <c r="E1154" s="7" t="str">
        <f>IFERROR(__xludf.DUMMYFUNCTION("""COMPUTED_VALUE"""),"Stream Processing (Apache Flink, Kafka Streams)")</f>
        <v>Stream Processing (Apache Flink, Kafka Streams)</v>
      </c>
      <c r="F1154" s="7" t="str">
        <f>IFERROR(__xludf.DUMMYFUNCTION("""COMPUTED_VALUE"""),"S135 unlocks S129")</f>
        <v>S135 unlocks S129</v>
      </c>
    </row>
    <row r="1155">
      <c r="A1155" s="7" t="str">
        <f>IFERROR(__xludf.DUMMYFUNCTION("""COMPUTED_VALUE"""),"PE1154")</f>
        <v>PE1154</v>
      </c>
      <c r="B1155" s="7" t="str">
        <f>IFERROR(__xludf.DUMMYFUNCTION("""COMPUTED_VALUE"""),"S135")</f>
        <v>S135</v>
      </c>
      <c r="C1155" s="7" t="str">
        <f>IFERROR(__xludf.DUMMYFUNCTION("""COMPUTED_VALUE"""),"Data Quality, Lineage &amp; Governance (Great Expectations, Collibra)")</f>
        <v>Data Quality, Lineage &amp; Governance (Great Expectations, Collibra)</v>
      </c>
      <c r="D1155" s="7" t="str">
        <f>IFERROR(__xludf.DUMMYFUNCTION("""COMPUTED_VALUE"""),"S131")</f>
        <v>S131</v>
      </c>
      <c r="E1155" s="7" t="str">
        <f>IFERROR(__xludf.DUMMYFUNCTION("""COMPUTED_VALUE"""),"Cloud Data Warehousing (Snowflake, Google BigQuery, AWS Redshift)")</f>
        <v>Cloud Data Warehousing (Snowflake, Google BigQuery, AWS Redshift)</v>
      </c>
      <c r="F1155" s="7" t="str">
        <f>IFERROR(__xludf.DUMMYFUNCTION("""COMPUTED_VALUE"""),"S135 unlocks S131")</f>
        <v>S135 unlocks S131</v>
      </c>
    </row>
    <row r="1156">
      <c r="A1156" s="7" t="str">
        <f>IFERROR(__xludf.DUMMYFUNCTION("""COMPUTED_VALUE"""),"PE1155")</f>
        <v>PE1155</v>
      </c>
      <c r="B1156" s="7" t="str">
        <f>IFERROR(__xludf.DUMMYFUNCTION("""COMPUTED_VALUE"""),"S135")</f>
        <v>S135</v>
      </c>
      <c r="C1156" s="7" t="str">
        <f>IFERROR(__xludf.DUMMYFUNCTION("""COMPUTED_VALUE"""),"Data Quality, Lineage &amp; Governance (Great Expectations, Collibra)")</f>
        <v>Data Quality, Lineage &amp; Governance (Great Expectations, Collibra)</v>
      </c>
      <c r="D1156" s="7" t="str">
        <f>IFERROR(__xludf.DUMMYFUNCTION("""COMPUTED_VALUE"""),"S132")</f>
        <v>S132</v>
      </c>
      <c r="E1156" s="7" t="str">
        <f>IFERROR(__xludf.DUMMYFUNCTION("""COMPUTED_VALUE"""),"Data Lakehouse Architecture (Delta Lake, Apache Iceberg, Databricks)")</f>
        <v>Data Lakehouse Architecture (Delta Lake, Apache Iceberg, Databricks)</v>
      </c>
      <c r="F1156" s="7" t="str">
        <f>IFERROR(__xludf.DUMMYFUNCTION("""COMPUTED_VALUE"""),"S135 unlocks S132")</f>
        <v>S135 unlocks S132</v>
      </c>
    </row>
    <row r="1157">
      <c r="A1157" s="7" t="str">
        <f>IFERROR(__xludf.DUMMYFUNCTION("""COMPUTED_VALUE"""),"PE1156")</f>
        <v>PE1156</v>
      </c>
      <c r="B1157" s="7" t="str">
        <f>IFERROR(__xludf.DUMMYFUNCTION("""COMPUTED_VALUE"""),"S137")</f>
        <v>S137</v>
      </c>
      <c r="C1157" s="7" t="str">
        <f>IFERROR(__xludf.DUMMYFUNCTION("""COMPUTED_VALUE"""),"Inferential Statistics, Hypothesis Testing &amp; A/B Testing")</f>
        <v>Inferential Statistics, Hypothesis Testing &amp; A/B Testing</v>
      </c>
      <c r="D1157" s="7" t="str">
        <f>IFERROR(__xludf.DUMMYFUNCTION("""COMPUTED_VALUE"""),"S152")</f>
        <v>S152</v>
      </c>
      <c r="E1157" s="7" t="str">
        <f>IFERROR(__xludf.DUMMYFUNCTION("""COMPUTED_VALUE"""),"Time-Series Forecasting (ARIMA, Prophet, LSTM)")</f>
        <v>Time-Series Forecasting (ARIMA, Prophet, LSTM)</v>
      </c>
      <c r="F1157" s="7" t="str">
        <f>IFERROR(__xludf.DUMMYFUNCTION("""COMPUTED_VALUE"""),"S137 unlocks S152")</f>
        <v>S137 unlocks S152</v>
      </c>
    </row>
    <row r="1158">
      <c r="A1158" s="7" t="str">
        <f>IFERROR(__xludf.DUMMYFUNCTION("""COMPUTED_VALUE"""),"PE1157")</f>
        <v>PE1157</v>
      </c>
      <c r="B1158" s="7" t="str">
        <f>IFERROR(__xludf.DUMMYFUNCTION("""COMPUTED_VALUE"""),"S137")</f>
        <v>S137</v>
      </c>
      <c r="C1158" s="7" t="str">
        <f>IFERROR(__xludf.DUMMYFUNCTION("""COMPUTED_VALUE"""),"Inferential Statistics, Hypothesis Testing &amp; A/B Testing")</f>
        <v>Inferential Statistics, Hypothesis Testing &amp; A/B Testing</v>
      </c>
      <c r="D1158" s="7" t="str">
        <f>IFERROR(__xludf.DUMMYFUNCTION("""COMPUTED_VALUE"""),"S153")</f>
        <v>S153</v>
      </c>
      <c r="E1158" s="7" t="str">
        <f>IFERROR(__xludf.DUMMYFUNCTION("""COMPUTED_VALUE"""),"Recommendation Systems (Collaborative &amp; Content-Based Filtering)")</f>
        <v>Recommendation Systems (Collaborative &amp; Content-Based Filtering)</v>
      </c>
      <c r="F1158" s="7" t="str">
        <f>IFERROR(__xludf.DUMMYFUNCTION("""COMPUTED_VALUE"""),"S137 unlocks S153")</f>
        <v>S137 unlocks S153</v>
      </c>
    </row>
    <row r="1159">
      <c r="A1159" s="7" t="str">
        <f>IFERROR(__xludf.DUMMYFUNCTION("""COMPUTED_VALUE"""),"PE1158")</f>
        <v>PE1158</v>
      </c>
      <c r="B1159" s="7" t="str">
        <f>IFERROR(__xludf.DUMMYFUNCTION("""COMPUTED_VALUE"""),"S137")</f>
        <v>S137</v>
      </c>
      <c r="C1159" s="7" t="str">
        <f>IFERROR(__xludf.DUMMYFUNCTION("""COMPUTED_VALUE"""),"Inferential Statistics, Hypothesis Testing &amp; A/B Testing")</f>
        <v>Inferential Statistics, Hypothesis Testing &amp; A/B Testing</v>
      </c>
      <c r="D1159" s="7" t="str">
        <f>IFERROR(__xludf.DUMMYFUNCTION("""COMPUTED_VALUE"""),"S155")</f>
        <v>S155</v>
      </c>
      <c r="E1159" s="7" t="str">
        <f>IFERROR(__xludf.DUMMYFUNCTION("""COMPUTED_VALUE"""),"Deep Learning with PyTorch")</f>
        <v>Deep Learning with PyTorch</v>
      </c>
      <c r="F1159" s="7" t="str">
        <f>IFERROR(__xludf.DUMMYFUNCTION("""COMPUTED_VALUE"""),"S137 unlocks S155")</f>
        <v>S137 unlocks S155</v>
      </c>
    </row>
    <row r="1160">
      <c r="A1160" s="7" t="str">
        <f>IFERROR(__xludf.DUMMYFUNCTION("""COMPUTED_VALUE"""),"PE1159")</f>
        <v>PE1159</v>
      </c>
      <c r="B1160" s="7" t="str">
        <f>IFERROR(__xludf.DUMMYFUNCTION("""COMPUTED_VALUE"""),"S137")</f>
        <v>S137</v>
      </c>
      <c r="C1160" s="7" t="str">
        <f>IFERROR(__xludf.DUMMYFUNCTION("""COMPUTED_VALUE"""),"Inferential Statistics, Hypothesis Testing &amp; A/B Testing")</f>
        <v>Inferential Statistics, Hypothesis Testing &amp; A/B Testing</v>
      </c>
      <c r="D1160" s="7" t="str">
        <f>IFERROR(__xludf.DUMMYFUNCTION("""COMPUTED_VALUE"""),"S156")</f>
        <v>S156</v>
      </c>
      <c r="E1160" s="7" t="str">
        <f>IFERROR(__xludf.DUMMYFUNCTION("""COMPUTED_VALUE"""),"Deep Learning with TensorFlow &amp; Keras")</f>
        <v>Deep Learning with TensorFlow &amp; Keras</v>
      </c>
      <c r="F1160" s="7" t="str">
        <f>IFERROR(__xludf.DUMMYFUNCTION("""COMPUTED_VALUE"""),"S137 unlocks S156")</f>
        <v>S137 unlocks S156</v>
      </c>
    </row>
    <row r="1161">
      <c r="A1161" s="7" t="str">
        <f>IFERROR(__xludf.DUMMYFUNCTION("""COMPUTED_VALUE"""),"PE1160")</f>
        <v>PE1160</v>
      </c>
      <c r="B1161" s="7" t="str">
        <f>IFERROR(__xludf.DUMMYFUNCTION("""COMPUTED_VALUE"""),"S137")</f>
        <v>S137</v>
      </c>
      <c r="C1161" s="7" t="str">
        <f>IFERROR(__xludf.DUMMYFUNCTION("""COMPUTED_VALUE"""),"Inferential Statistics, Hypothesis Testing &amp; A/B Testing")</f>
        <v>Inferential Statistics, Hypothesis Testing &amp; A/B Testing</v>
      </c>
      <c r="D1161" s="7" t="str">
        <f>IFERROR(__xludf.DUMMYFUNCTION("""COMPUTED_VALUE"""),"S158")</f>
        <v>S158</v>
      </c>
      <c r="E1161" s="7" t="str">
        <f>IFERROR(__xludf.DUMMYFUNCTION("""COMPUTED_VALUE"""),"Transformer Architecture &amp; Attention Mechanisms (Hugging Face)")</f>
        <v>Transformer Architecture &amp; Attention Mechanisms (Hugging Face)</v>
      </c>
      <c r="F1161" s="7" t="str">
        <f>IFERROR(__xludf.DUMMYFUNCTION("""COMPUTED_VALUE"""),"S137 unlocks S158")</f>
        <v>S137 unlocks S158</v>
      </c>
    </row>
    <row r="1162">
      <c r="A1162" s="7" t="str">
        <f>IFERROR(__xludf.DUMMYFUNCTION("""COMPUTED_VALUE"""),"PE1161")</f>
        <v>PE1161</v>
      </c>
      <c r="B1162" s="7" t="str">
        <f>IFERROR(__xludf.DUMMYFUNCTION("""COMPUTED_VALUE"""),"S137")</f>
        <v>S137</v>
      </c>
      <c r="C1162" s="7" t="str">
        <f>IFERROR(__xludf.DUMMYFUNCTION("""COMPUTED_VALUE"""),"Inferential Statistics, Hypothesis Testing &amp; A/B Testing")</f>
        <v>Inferential Statistics, Hypothesis Testing &amp; A/B Testing</v>
      </c>
      <c r="D1162" s="7" t="str">
        <f>IFERROR(__xludf.DUMMYFUNCTION("""COMPUTED_VALUE"""),"S159")</f>
        <v>S159</v>
      </c>
      <c r="E1162" s="7" t="str">
        <f>IFERROR(__xludf.DUMMYFUNCTION("""COMPUTED_VALUE"""),"Large Language Models (LLMs), Fine-Tuning (LoRA/QLoRA) &amp; Evaluation")</f>
        <v>Large Language Models (LLMs), Fine-Tuning (LoRA/QLoRA) &amp; Evaluation</v>
      </c>
      <c r="F1162" s="7" t="str">
        <f>IFERROR(__xludf.DUMMYFUNCTION("""COMPUTED_VALUE"""),"S137 unlocks S159")</f>
        <v>S137 unlocks S159</v>
      </c>
    </row>
    <row r="1163">
      <c r="A1163" s="7" t="str">
        <f>IFERROR(__xludf.DUMMYFUNCTION("""COMPUTED_VALUE"""),"PE1162")</f>
        <v>PE1162</v>
      </c>
      <c r="B1163" s="7" t="str">
        <f>IFERROR(__xludf.DUMMYFUNCTION("""COMPUTED_VALUE"""),"S137")</f>
        <v>S137</v>
      </c>
      <c r="C1163" s="7" t="str">
        <f>IFERROR(__xludf.DUMMYFUNCTION("""COMPUTED_VALUE"""),"Inferential Statistics, Hypothesis Testing &amp; A/B Testing")</f>
        <v>Inferential Statistics, Hypothesis Testing &amp; A/B Testing</v>
      </c>
      <c r="D1163" s="7" t="str">
        <f>IFERROR(__xludf.DUMMYFUNCTION("""COMPUTED_VALUE"""),"S160")</f>
        <v>S160</v>
      </c>
      <c r="E1163" s="7" t="str">
        <f>IFERROR(__xludf.DUMMYFUNCTION("""COMPUTED_VALUE"""),"Prompt Engineering, RAG &amp; AI Agents (LangChain, LlamaIndex)")</f>
        <v>Prompt Engineering, RAG &amp; AI Agents (LangChain, LlamaIndex)</v>
      </c>
      <c r="F1163" s="7" t="str">
        <f>IFERROR(__xludf.DUMMYFUNCTION("""COMPUTED_VALUE"""),"S137 unlocks S160")</f>
        <v>S137 unlocks S160</v>
      </c>
    </row>
    <row r="1164">
      <c r="A1164" s="7" t="str">
        <f>IFERROR(__xludf.DUMMYFUNCTION("""COMPUTED_VALUE"""),"PE1163")</f>
        <v>PE1163</v>
      </c>
      <c r="B1164" s="7" t="str">
        <f>IFERROR(__xludf.DUMMYFUNCTION("""COMPUTED_VALUE"""),"S137")</f>
        <v>S137</v>
      </c>
      <c r="C1164" s="7" t="str">
        <f>IFERROR(__xludf.DUMMYFUNCTION("""COMPUTED_VALUE"""),"Inferential Statistics, Hypothesis Testing &amp; A/B Testing")</f>
        <v>Inferential Statistics, Hypothesis Testing &amp; A/B Testing</v>
      </c>
      <c r="D1164" s="7" t="str">
        <f>IFERROR(__xludf.DUMMYFUNCTION("""COMPUTED_VALUE"""),"S162")</f>
        <v>S162</v>
      </c>
      <c r="E1164" s="7" t="str">
        <f>IFERROR(__xludf.DUMMYFUNCTION("""COMPUTED_VALUE"""),"Convolutional Neural Networks (CNNs) &amp; Object Detection (YOLO)")</f>
        <v>Convolutional Neural Networks (CNNs) &amp; Object Detection (YOLO)</v>
      </c>
      <c r="F1164" s="7" t="str">
        <f>IFERROR(__xludf.DUMMYFUNCTION("""COMPUTED_VALUE"""),"S137 unlocks S162")</f>
        <v>S137 unlocks S162</v>
      </c>
    </row>
    <row r="1165">
      <c r="A1165" s="7" t="str">
        <f>IFERROR(__xludf.DUMMYFUNCTION("""COMPUTED_VALUE"""),"PE1164")</f>
        <v>PE1164</v>
      </c>
      <c r="B1165" s="7" t="str">
        <f>IFERROR(__xludf.DUMMYFUNCTION("""COMPUTED_VALUE"""),"S137")</f>
        <v>S137</v>
      </c>
      <c r="C1165" s="7" t="str">
        <f>IFERROR(__xludf.DUMMYFUNCTION("""COMPUTED_VALUE"""),"Inferential Statistics, Hypothesis Testing &amp; A/B Testing")</f>
        <v>Inferential Statistics, Hypothesis Testing &amp; A/B Testing</v>
      </c>
      <c r="D1165" s="7" t="str">
        <f>IFERROR(__xludf.DUMMYFUNCTION("""COMPUTED_VALUE"""),"S163")</f>
        <v>S163</v>
      </c>
      <c r="E1165" s="7" t="str">
        <f>IFERROR(__xludf.DUMMYFUNCTION("""COMPUTED_VALUE"""),"Generative AI &amp; Diffusion Models")</f>
        <v>Generative AI &amp; Diffusion Models</v>
      </c>
      <c r="F1165" s="7" t="str">
        <f>IFERROR(__xludf.DUMMYFUNCTION("""COMPUTED_VALUE"""),"S137 unlocks S163")</f>
        <v>S137 unlocks S163</v>
      </c>
    </row>
    <row r="1166">
      <c r="A1166" s="7" t="str">
        <f>IFERROR(__xludf.DUMMYFUNCTION("""COMPUTED_VALUE"""),"PE1165")</f>
        <v>PE1165</v>
      </c>
      <c r="B1166" s="7" t="str">
        <f>IFERROR(__xludf.DUMMYFUNCTION("""COMPUTED_VALUE"""),"S137")</f>
        <v>S137</v>
      </c>
      <c r="C1166" s="7" t="str">
        <f>IFERROR(__xludf.DUMMYFUNCTION("""COMPUTED_VALUE"""),"Inferential Statistics, Hypothesis Testing &amp; A/B Testing")</f>
        <v>Inferential Statistics, Hypothesis Testing &amp; A/B Testing</v>
      </c>
      <c r="D1166" s="7" t="str">
        <f>IFERROR(__xludf.DUMMYFUNCTION("""COMPUTED_VALUE"""),"S164")</f>
        <v>S164</v>
      </c>
      <c r="E1166" s="7" t="str">
        <f>IFERROR(__xludf.DUMMYFUNCTION("""COMPUTED_VALUE"""),"Reinforcement Learning (Markov Decision Processes, Q-Learning)")</f>
        <v>Reinforcement Learning (Markov Decision Processes, Q-Learning)</v>
      </c>
      <c r="F1166" s="7" t="str">
        <f>IFERROR(__xludf.DUMMYFUNCTION("""COMPUTED_VALUE"""),"S137 unlocks S164")</f>
        <v>S137 unlocks S164</v>
      </c>
    </row>
    <row r="1167">
      <c r="A1167" s="7" t="str">
        <f>IFERROR(__xludf.DUMMYFUNCTION("""COMPUTED_VALUE"""),"PE1166")</f>
        <v>PE1166</v>
      </c>
      <c r="B1167" s="7" t="str">
        <f>IFERROR(__xludf.DUMMYFUNCTION("""COMPUTED_VALUE"""),"S137")</f>
        <v>S137</v>
      </c>
      <c r="C1167" s="7" t="str">
        <f>IFERROR(__xludf.DUMMYFUNCTION("""COMPUTED_VALUE"""),"Inferential Statistics, Hypothesis Testing &amp; A/B Testing")</f>
        <v>Inferential Statistics, Hypothesis Testing &amp; A/B Testing</v>
      </c>
      <c r="D1167" s="7" t="str">
        <f>IFERROR(__xludf.DUMMYFUNCTION("""COMPUTED_VALUE"""),"S165")</f>
        <v>S165</v>
      </c>
      <c r="E1167" s="7" t="str">
        <f>IFERROR(__xludf.DUMMYFUNCTION("""COMPUTED_VALUE"""),"MLOps &amp; Experiment Tracking (MLflow, Weights &amp; Biases, Kubeflow)")</f>
        <v>MLOps &amp; Experiment Tracking (MLflow, Weights &amp; Biases, Kubeflow)</v>
      </c>
      <c r="F1167" s="7" t="str">
        <f>IFERROR(__xludf.DUMMYFUNCTION("""COMPUTED_VALUE"""),"S137 unlocks S165")</f>
        <v>S137 unlocks S165</v>
      </c>
    </row>
    <row r="1168">
      <c r="A1168" s="7" t="str">
        <f>IFERROR(__xludf.DUMMYFUNCTION("""COMPUTED_VALUE"""),"PE1167")</f>
        <v>PE1167</v>
      </c>
      <c r="B1168" s="7" t="str">
        <f>IFERROR(__xludf.DUMMYFUNCTION("""COMPUTED_VALUE"""),"S137")</f>
        <v>S137</v>
      </c>
      <c r="C1168" s="7" t="str">
        <f>IFERROR(__xludf.DUMMYFUNCTION("""COMPUTED_VALUE"""),"Inferential Statistics, Hypothesis Testing &amp; A/B Testing")</f>
        <v>Inferential Statistics, Hypothesis Testing &amp; A/B Testing</v>
      </c>
      <c r="D1168" s="7" t="str">
        <f>IFERROR(__xludf.DUMMYFUNCTION("""COMPUTED_VALUE"""),"S166")</f>
        <v>S166</v>
      </c>
      <c r="E116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168" s="7" t="str">
        <f>IFERROR(__xludf.DUMMYFUNCTION("""COMPUTED_VALUE"""),"S137 unlocks S166")</f>
        <v>S137 unlocks S166</v>
      </c>
    </row>
    <row r="1169">
      <c r="A1169" s="7" t="str">
        <f>IFERROR(__xludf.DUMMYFUNCTION("""COMPUTED_VALUE"""),"PE1168")</f>
        <v>PE1168</v>
      </c>
      <c r="B1169" s="7" t="str">
        <f>IFERROR(__xludf.DUMMYFUNCTION("""COMPUTED_VALUE"""),"S137")</f>
        <v>S137</v>
      </c>
      <c r="C1169" s="7" t="str">
        <f>IFERROR(__xludf.DUMMYFUNCTION("""COMPUTED_VALUE"""),"Inferential Statistics, Hypothesis Testing &amp; A/B Testing")</f>
        <v>Inferential Statistics, Hypothesis Testing &amp; A/B Testing</v>
      </c>
      <c r="D1169" s="7" t="str">
        <f>IFERROR(__xludf.DUMMYFUNCTION("""COMPUTED_VALUE"""),"S168")</f>
        <v>S168</v>
      </c>
      <c r="E1169" s="7" t="str">
        <f>IFERROR(__xludf.DUMMYFUNCTION("""COMPUTED_VALUE"""),"Speech Recognition &amp; Audio Processing (Whisper, Librosa)")</f>
        <v>Speech Recognition &amp; Audio Processing (Whisper, Librosa)</v>
      </c>
      <c r="F1169" s="7" t="str">
        <f>IFERROR(__xludf.DUMMYFUNCTION("""COMPUTED_VALUE"""),"S137 unlocks S168")</f>
        <v>S137 unlocks S168</v>
      </c>
    </row>
    <row r="1170">
      <c r="A1170" s="7" t="str">
        <f>IFERROR(__xludf.DUMMYFUNCTION("""COMPUTED_VALUE"""),"PE1169")</f>
        <v>PE1169</v>
      </c>
      <c r="B1170" s="7" t="str">
        <f>IFERROR(__xludf.DUMMYFUNCTION("""COMPUTED_VALUE"""),"S137")</f>
        <v>S137</v>
      </c>
      <c r="C1170" s="7" t="str">
        <f>IFERROR(__xludf.DUMMYFUNCTION("""COMPUTED_VALUE"""),"Inferential Statistics, Hypothesis Testing &amp; A/B Testing")</f>
        <v>Inferential Statistics, Hypothesis Testing &amp; A/B Testing</v>
      </c>
      <c r="D1170" s="7" t="str">
        <f>IFERROR(__xludf.DUMMYFUNCTION("""COMPUTED_VALUE"""),"S169")</f>
        <v>S169</v>
      </c>
      <c r="E1170" s="7" t="str">
        <f>IFERROR(__xludf.DUMMYFUNCTION("""COMPUTED_VALUE"""),"Graph Neural Networks (GNNs &amp; PyTorch Geometric)")</f>
        <v>Graph Neural Networks (GNNs &amp; PyTorch Geometric)</v>
      </c>
      <c r="F1170" s="7" t="str">
        <f>IFERROR(__xludf.DUMMYFUNCTION("""COMPUTED_VALUE"""),"S137 unlocks S169")</f>
        <v>S137 unlocks S169</v>
      </c>
    </row>
    <row r="1171">
      <c r="A1171" s="7" t="str">
        <f>IFERROR(__xludf.DUMMYFUNCTION("""COMPUTED_VALUE"""),"PE1170")</f>
        <v>PE1170</v>
      </c>
      <c r="B1171" s="7" t="str">
        <f>IFERROR(__xludf.DUMMYFUNCTION("""COMPUTED_VALUE"""),"S137")</f>
        <v>S137</v>
      </c>
      <c r="C1171" s="7" t="str">
        <f>IFERROR(__xludf.DUMMYFUNCTION("""COMPUTED_VALUE"""),"Inferential Statistics, Hypothesis Testing &amp; A/B Testing")</f>
        <v>Inferential Statistics, Hypothesis Testing &amp; A/B Testing</v>
      </c>
      <c r="D1171" s="7" t="str">
        <f>IFERROR(__xludf.DUMMYFUNCTION("""COMPUTED_VALUE"""),"S170")</f>
        <v>S170</v>
      </c>
      <c r="E1171" s="7" t="str">
        <f>IFERROR(__xludf.DUMMYFUNCTION("""COMPUTED_VALUE"""),"Operations Research &amp; Mathematical Optimization (SciPy, OR-Tools)")</f>
        <v>Operations Research &amp; Mathematical Optimization (SciPy, OR-Tools)</v>
      </c>
      <c r="F1171" s="7" t="str">
        <f>IFERROR(__xludf.DUMMYFUNCTION("""COMPUTED_VALUE"""),"S137 unlocks S170")</f>
        <v>S137 unlocks S170</v>
      </c>
    </row>
    <row r="1172">
      <c r="A1172" s="7" t="str">
        <f>IFERROR(__xludf.DUMMYFUNCTION("""COMPUTED_VALUE"""),"PE1171")</f>
        <v>PE1171</v>
      </c>
      <c r="B1172" s="7" t="str">
        <f>IFERROR(__xludf.DUMMYFUNCTION("""COMPUTED_VALUE"""),"S142")</f>
        <v>S142</v>
      </c>
      <c r="C1172" s="7" t="str">
        <f>IFERROR(__xludf.DUMMYFUNCTION("""COMPUTED_VALUE"""),"Statistical Programming in R")</f>
        <v>Statistical Programming in R</v>
      </c>
      <c r="D1172" s="7" t="str">
        <f>IFERROR(__xludf.DUMMYFUNCTION("""COMPUTED_VALUE"""),"S152")</f>
        <v>S152</v>
      </c>
      <c r="E1172" s="7" t="str">
        <f>IFERROR(__xludf.DUMMYFUNCTION("""COMPUTED_VALUE"""),"Time-Series Forecasting (ARIMA, Prophet, LSTM)")</f>
        <v>Time-Series Forecasting (ARIMA, Prophet, LSTM)</v>
      </c>
      <c r="F1172" s="7" t="str">
        <f>IFERROR(__xludf.DUMMYFUNCTION("""COMPUTED_VALUE"""),"S142 unlocks S152")</f>
        <v>S142 unlocks S152</v>
      </c>
    </row>
    <row r="1173">
      <c r="A1173" s="7" t="str">
        <f>IFERROR(__xludf.DUMMYFUNCTION("""COMPUTED_VALUE"""),"PE1172")</f>
        <v>PE1172</v>
      </c>
      <c r="B1173" s="7" t="str">
        <f>IFERROR(__xludf.DUMMYFUNCTION("""COMPUTED_VALUE"""),"S142")</f>
        <v>S142</v>
      </c>
      <c r="C1173" s="7" t="str">
        <f>IFERROR(__xludf.DUMMYFUNCTION("""COMPUTED_VALUE"""),"Statistical Programming in R")</f>
        <v>Statistical Programming in R</v>
      </c>
      <c r="D1173" s="7" t="str">
        <f>IFERROR(__xludf.DUMMYFUNCTION("""COMPUTED_VALUE"""),"S153")</f>
        <v>S153</v>
      </c>
      <c r="E1173" s="7" t="str">
        <f>IFERROR(__xludf.DUMMYFUNCTION("""COMPUTED_VALUE"""),"Recommendation Systems (Collaborative &amp; Content-Based Filtering)")</f>
        <v>Recommendation Systems (Collaborative &amp; Content-Based Filtering)</v>
      </c>
      <c r="F1173" s="7" t="str">
        <f>IFERROR(__xludf.DUMMYFUNCTION("""COMPUTED_VALUE"""),"S142 unlocks S153")</f>
        <v>S142 unlocks S153</v>
      </c>
    </row>
    <row r="1174">
      <c r="A1174" s="7" t="str">
        <f>IFERROR(__xludf.DUMMYFUNCTION("""COMPUTED_VALUE"""),"PE1173")</f>
        <v>PE1173</v>
      </c>
      <c r="B1174" s="7" t="str">
        <f>IFERROR(__xludf.DUMMYFUNCTION("""COMPUTED_VALUE"""),"S142")</f>
        <v>S142</v>
      </c>
      <c r="C1174" s="7" t="str">
        <f>IFERROR(__xludf.DUMMYFUNCTION("""COMPUTED_VALUE"""),"Statistical Programming in R")</f>
        <v>Statistical Programming in R</v>
      </c>
      <c r="D1174" s="7" t="str">
        <f>IFERROR(__xludf.DUMMYFUNCTION("""COMPUTED_VALUE"""),"S155")</f>
        <v>S155</v>
      </c>
      <c r="E1174" s="7" t="str">
        <f>IFERROR(__xludf.DUMMYFUNCTION("""COMPUTED_VALUE"""),"Deep Learning with PyTorch")</f>
        <v>Deep Learning with PyTorch</v>
      </c>
      <c r="F1174" s="7" t="str">
        <f>IFERROR(__xludf.DUMMYFUNCTION("""COMPUTED_VALUE"""),"S142 unlocks S155")</f>
        <v>S142 unlocks S155</v>
      </c>
    </row>
    <row r="1175">
      <c r="A1175" s="7" t="str">
        <f>IFERROR(__xludf.DUMMYFUNCTION("""COMPUTED_VALUE"""),"PE1174")</f>
        <v>PE1174</v>
      </c>
      <c r="B1175" s="7" t="str">
        <f>IFERROR(__xludf.DUMMYFUNCTION("""COMPUTED_VALUE"""),"S142")</f>
        <v>S142</v>
      </c>
      <c r="C1175" s="7" t="str">
        <f>IFERROR(__xludf.DUMMYFUNCTION("""COMPUTED_VALUE"""),"Statistical Programming in R")</f>
        <v>Statistical Programming in R</v>
      </c>
      <c r="D1175" s="7" t="str">
        <f>IFERROR(__xludf.DUMMYFUNCTION("""COMPUTED_VALUE"""),"S156")</f>
        <v>S156</v>
      </c>
      <c r="E1175" s="7" t="str">
        <f>IFERROR(__xludf.DUMMYFUNCTION("""COMPUTED_VALUE"""),"Deep Learning with TensorFlow &amp; Keras")</f>
        <v>Deep Learning with TensorFlow &amp; Keras</v>
      </c>
      <c r="F1175" s="7" t="str">
        <f>IFERROR(__xludf.DUMMYFUNCTION("""COMPUTED_VALUE"""),"S142 unlocks S156")</f>
        <v>S142 unlocks S156</v>
      </c>
    </row>
    <row r="1176">
      <c r="A1176" s="7" t="str">
        <f>IFERROR(__xludf.DUMMYFUNCTION("""COMPUTED_VALUE"""),"PE1175")</f>
        <v>PE1175</v>
      </c>
      <c r="B1176" s="7" t="str">
        <f>IFERROR(__xludf.DUMMYFUNCTION("""COMPUTED_VALUE"""),"S142")</f>
        <v>S142</v>
      </c>
      <c r="C1176" s="7" t="str">
        <f>IFERROR(__xludf.DUMMYFUNCTION("""COMPUTED_VALUE"""),"Statistical Programming in R")</f>
        <v>Statistical Programming in R</v>
      </c>
      <c r="D1176" s="7" t="str">
        <f>IFERROR(__xludf.DUMMYFUNCTION("""COMPUTED_VALUE"""),"S158")</f>
        <v>S158</v>
      </c>
      <c r="E1176" s="7" t="str">
        <f>IFERROR(__xludf.DUMMYFUNCTION("""COMPUTED_VALUE"""),"Transformer Architecture &amp; Attention Mechanisms (Hugging Face)")</f>
        <v>Transformer Architecture &amp; Attention Mechanisms (Hugging Face)</v>
      </c>
      <c r="F1176" s="7" t="str">
        <f>IFERROR(__xludf.DUMMYFUNCTION("""COMPUTED_VALUE"""),"S142 unlocks S158")</f>
        <v>S142 unlocks S158</v>
      </c>
    </row>
    <row r="1177">
      <c r="A1177" s="7" t="str">
        <f>IFERROR(__xludf.DUMMYFUNCTION("""COMPUTED_VALUE"""),"PE1176")</f>
        <v>PE1176</v>
      </c>
      <c r="B1177" s="7" t="str">
        <f>IFERROR(__xludf.DUMMYFUNCTION("""COMPUTED_VALUE"""),"S142")</f>
        <v>S142</v>
      </c>
      <c r="C1177" s="7" t="str">
        <f>IFERROR(__xludf.DUMMYFUNCTION("""COMPUTED_VALUE"""),"Statistical Programming in R")</f>
        <v>Statistical Programming in R</v>
      </c>
      <c r="D1177" s="7" t="str">
        <f>IFERROR(__xludf.DUMMYFUNCTION("""COMPUTED_VALUE"""),"S159")</f>
        <v>S159</v>
      </c>
      <c r="E1177" s="7" t="str">
        <f>IFERROR(__xludf.DUMMYFUNCTION("""COMPUTED_VALUE"""),"Large Language Models (LLMs), Fine-Tuning (LoRA/QLoRA) &amp; Evaluation")</f>
        <v>Large Language Models (LLMs), Fine-Tuning (LoRA/QLoRA) &amp; Evaluation</v>
      </c>
      <c r="F1177" s="7" t="str">
        <f>IFERROR(__xludf.DUMMYFUNCTION("""COMPUTED_VALUE"""),"S142 unlocks S159")</f>
        <v>S142 unlocks S159</v>
      </c>
    </row>
    <row r="1178">
      <c r="A1178" s="7" t="str">
        <f>IFERROR(__xludf.DUMMYFUNCTION("""COMPUTED_VALUE"""),"PE1177")</f>
        <v>PE1177</v>
      </c>
      <c r="B1178" s="7" t="str">
        <f>IFERROR(__xludf.DUMMYFUNCTION("""COMPUTED_VALUE"""),"S142")</f>
        <v>S142</v>
      </c>
      <c r="C1178" s="7" t="str">
        <f>IFERROR(__xludf.DUMMYFUNCTION("""COMPUTED_VALUE"""),"Statistical Programming in R")</f>
        <v>Statistical Programming in R</v>
      </c>
      <c r="D1178" s="7" t="str">
        <f>IFERROR(__xludf.DUMMYFUNCTION("""COMPUTED_VALUE"""),"S160")</f>
        <v>S160</v>
      </c>
      <c r="E1178" s="7" t="str">
        <f>IFERROR(__xludf.DUMMYFUNCTION("""COMPUTED_VALUE"""),"Prompt Engineering, RAG &amp; AI Agents (LangChain, LlamaIndex)")</f>
        <v>Prompt Engineering, RAG &amp; AI Agents (LangChain, LlamaIndex)</v>
      </c>
      <c r="F1178" s="7" t="str">
        <f>IFERROR(__xludf.DUMMYFUNCTION("""COMPUTED_VALUE"""),"S142 unlocks S160")</f>
        <v>S142 unlocks S160</v>
      </c>
    </row>
    <row r="1179">
      <c r="A1179" s="7" t="str">
        <f>IFERROR(__xludf.DUMMYFUNCTION("""COMPUTED_VALUE"""),"PE1178")</f>
        <v>PE1178</v>
      </c>
      <c r="B1179" s="7" t="str">
        <f>IFERROR(__xludf.DUMMYFUNCTION("""COMPUTED_VALUE"""),"S142")</f>
        <v>S142</v>
      </c>
      <c r="C1179" s="7" t="str">
        <f>IFERROR(__xludf.DUMMYFUNCTION("""COMPUTED_VALUE"""),"Statistical Programming in R")</f>
        <v>Statistical Programming in R</v>
      </c>
      <c r="D1179" s="7" t="str">
        <f>IFERROR(__xludf.DUMMYFUNCTION("""COMPUTED_VALUE"""),"S162")</f>
        <v>S162</v>
      </c>
      <c r="E1179" s="7" t="str">
        <f>IFERROR(__xludf.DUMMYFUNCTION("""COMPUTED_VALUE"""),"Convolutional Neural Networks (CNNs) &amp; Object Detection (YOLO)")</f>
        <v>Convolutional Neural Networks (CNNs) &amp; Object Detection (YOLO)</v>
      </c>
      <c r="F1179" s="7" t="str">
        <f>IFERROR(__xludf.DUMMYFUNCTION("""COMPUTED_VALUE"""),"S142 unlocks S162")</f>
        <v>S142 unlocks S162</v>
      </c>
    </row>
    <row r="1180">
      <c r="A1180" s="7" t="str">
        <f>IFERROR(__xludf.DUMMYFUNCTION("""COMPUTED_VALUE"""),"PE1179")</f>
        <v>PE1179</v>
      </c>
      <c r="B1180" s="7" t="str">
        <f>IFERROR(__xludf.DUMMYFUNCTION("""COMPUTED_VALUE"""),"S142")</f>
        <v>S142</v>
      </c>
      <c r="C1180" s="7" t="str">
        <f>IFERROR(__xludf.DUMMYFUNCTION("""COMPUTED_VALUE"""),"Statistical Programming in R")</f>
        <v>Statistical Programming in R</v>
      </c>
      <c r="D1180" s="7" t="str">
        <f>IFERROR(__xludf.DUMMYFUNCTION("""COMPUTED_VALUE"""),"S163")</f>
        <v>S163</v>
      </c>
      <c r="E1180" s="7" t="str">
        <f>IFERROR(__xludf.DUMMYFUNCTION("""COMPUTED_VALUE"""),"Generative AI &amp; Diffusion Models")</f>
        <v>Generative AI &amp; Diffusion Models</v>
      </c>
      <c r="F1180" s="7" t="str">
        <f>IFERROR(__xludf.DUMMYFUNCTION("""COMPUTED_VALUE"""),"S142 unlocks S163")</f>
        <v>S142 unlocks S163</v>
      </c>
    </row>
    <row r="1181">
      <c r="A1181" s="7" t="str">
        <f>IFERROR(__xludf.DUMMYFUNCTION("""COMPUTED_VALUE"""),"PE1180")</f>
        <v>PE1180</v>
      </c>
      <c r="B1181" s="7" t="str">
        <f>IFERROR(__xludf.DUMMYFUNCTION("""COMPUTED_VALUE"""),"S142")</f>
        <v>S142</v>
      </c>
      <c r="C1181" s="7" t="str">
        <f>IFERROR(__xludf.DUMMYFUNCTION("""COMPUTED_VALUE"""),"Statistical Programming in R")</f>
        <v>Statistical Programming in R</v>
      </c>
      <c r="D1181" s="7" t="str">
        <f>IFERROR(__xludf.DUMMYFUNCTION("""COMPUTED_VALUE"""),"S164")</f>
        <v>S164</v>
      </c>
      <c r="E1181" s="7" t="str">
        <f>IFERROR(__xludf.DUMMYFUNCTION("""COMPUTED_VALUE"""),"Reinforcement Learning (Markov Decision Processes, Q-Learning)")</f>
        <v>Reinforcement Learning (Markov Decision Processes, Q-Learning)</v>
      </c>
      <c r="F1181" s="7" t="str">
        <f>IFERROR(__xludf.DUMMYFUNCTION("""COMPUTED_VALUE"""),"S142 unlocks S164")</f>
        <v>S142 unlocks S164</v>
      </c>
    </row>
    <row r="1182">
      <c r="A1182" s="7" t="str">
        <f>IFERROR(__xludf.DUMMYFUNCTION("""COMPUTED_VALUE"""),"PE1181")</f>
        <v>PE1181</v>
      </c>
      <c r="B1182" s="7" t="str">
        <f>IFERROR(__xludf.DUMMYFUNCTION("""COMPUTED_VALUE"""),"S142")</f>
        <v>S142</v>
      </c>
      <c r="C1182" s="7" t="str">
        <f>IFERROR(__xludf.DUMMYFUNCTION("""COMPUTED_VALUE"""),"Statistical Programming in R")</f>
        <v>Statistical Programming in R</v>
      </c>
      <c r="D1182" s="7" t="str">
        <f>IFERROR(__xludf.DUMMYFUNCTION("""COMPUTED_VALUE"""),"S165")</f>
        <v>S165</v>
      </c>
      <c r="E1182" s="7" t="str">
        <f>IFERROR(__xludf.DUMMYFUNCTION("""COMPUTED_VALUE"""),"MLOps &amp; Experiment Tracking (MLflow, Weights &amp; Biases, Kubeflow)")</f>
        <v>MLOps &amp; Experiment Tracking (MLflow, Weights &amp; Biases, Kubeflow)</v>
      </c>
      <c r="F1182" s="7" t="str">
        <f>IFERROR(__xludf.DUMMYFUNCTION("""COMPUTED_VALUE"""),"S142 unlocks S165")</f>
        <v>S142 unlocks S165</v>
      </c>
    </row>
    <row r="1183">
      <c r="A1183" s="7" t="str">
        <f>IFERROR(__xludf.DUMMYFUNCTION("""COMPUTED_VALUE"""),"PE1182")</f>
        <v>PE1182</v>
      </c>
      <c r="B1183" s="7" t="str">
        <f>IFERROR(__xludf.DUMMYFUNCTION("""COMPUTED_VALUE"""),"S142")</f>
        <v>S142</v>
      </c>
      <c r="C1183" s="7" t="str">
        <f>IFERROR(__xludf.DUMMYFUNCTION("""COMPUTED_VALUE"""),"Statistical Programming in R")</f>
        <v>Statistical Programming in R</v>
      </c>
      <c r="D1183" s="7" t="str">
        <f>IFERROR(__xludf.DUMMYFUNCTION("""COMPUTED_VALUE"""),"S166")</f>
        <v>S166</v>
      </c>
      <c r="E1183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183" s="7" t="str">
        <f>IFERROR(__xludf.DUMMYFUNCTION("""COMPUTED_VALUE"""),"S142 unlocks S166")</f>
        <v>S142 unlocks S166</v>
      </c>
    </row>
    <row r="1184">
      <c r="A1184" s="7" t="str">
        <f>IFERROR(__xludf.DUMMYFUNCTION("""COMPUTED_VALUE"""),"PE1183")</f>
        <v>PE1183</v>
      </c>
      <c r="B1184" s="7" t="str">
        <f>IFERROR(__xludf.DUMMYFUNCTION("""COMPUTED_VALUE"""),"S142")</f>
        <v>S142</v>
      </c>
      <c r="C1184" s="7" t="str">
        <f>IFERROR(__xludf.DUMMYFUNCTION("""COMPUTED_VALUE"""),"Statistical Programming in R")</f>
        <v>Statistical Programming in R</v>
      </c>
      <c r="D1184" s="7" t="str">
        <f>IFERROR(__xludf.DUMMYFUNCTION("""COMPUTED_VALUE"""),"S168")</f>
        <v>S168</v>
      </c>
      <c r="E1184" s="7" t="str">
        <f>IFERROR(__xludf.DUMMYFUNCTION("""COMPUTED_VALUE"""),"Speech Recognition &amp; Audio Processing (Whisper, Librosa)")</f>
        <v>Speech Recognition &amp; Audio Processing (Whisper, Librosa)</v>
      </c>
      <c r="F1184" s="7" t="str">
        <f>IFERROR(__xludf.DUMMYFUNCTION("""COMPUTED_VALUE"""),"S142 unlocks S168")</f>
        <v>S142 unlocks S168</v>
      </c>
    </row>
    <row r="1185">
      <c r="A1185" s="7" t="str">
        <f>IFERROR(__xludf.DUMMYFUNCTION("""COMPUTED_VALUE"""),"PE1184")</f>
        <v>PE1184</v>
      </c>
      <c r="B1185" s="7" t="str">
        <f>IFERROR(__xludf.DUMMYFUNCTION("""COMPUTED_VALUE"""),"S142")</f>
        <v>S142</v>
      </c>
      <c r="C1185" s="7" t="str">
        <f>IFERROR(__xludf.DUMMYFUNCTION("""COMPUTED_VALUE"""),"Statistical Programming in R")</f>
        <v>Statistical Programming in R</v>
      </c>
      <c r="D1185" s="7" t="str">
        <f>IFERROR(__xludf.DUMMYFUNCTION("""COMPUTED_VALUE"""),"S169")</f>
        <v>S169</v>
      </c>
      <c r="E1185" s="7" t="str">
        <f>IFERROR(__xludf.DUMMYFUNCTION("""COMPUTED_VALUE"""),"Graph Neural Networks (GNNs &amp; PyTorch Geometric)")</f>
        <v>Graph Neural Networks (GNNs &amp; PyTorch Geometric)</v>
      </c>
      <c r="F1185" s="7" t="str">
        <f>IFERROR(__xludf.DUMMYFUNCTION("""COMPUTED_VALUE"""),"S142 unlocks S169")</f>
        <v>S142 unlocks S169</v>
      </c>
    </row>
    <row r="1186">
      <c r="A1186" s="7" t="str">
        <f>IFERROR(__xludf.DUMMYFUNCTION("""COMPUTED_VALUE"""),"PE1185")</f>
        <v>PE1185</v>
      </c>
      <c r="B1186" s="7" t="str">
        <f>IFERROR(__xludf.DUMMYFUNCTION("""COMPUTED_VALUE"""),"S142")</f>
        <v>S142</v>
      </c>
      <c r="C1186" s="7" t="str">
        <f>IFERROR(__xludf.DUMMYFUNCTION("""COMPUTED_VALUE"""),"Statistical Programming in R")</f>
        <v>Statistical Programming in R</v>
      </c>
      <c r="D1186" s="7" t="str">
        <f>IFERROR(__xludf.DUMMYFUNCTION("""COMPUTED_VALUE"""),"S170")</f>
        <v>S170</v>
      </c>
      <c r="E1186" s="7" t="str">
        <f>IFERROR(__xludf.DUMMYFUNCTION("""COMPUTED_VALUE"""),"Operations Research &amp; Mathematical Optimization (SciPy, OR-Tools)")</f>
        <v>Operations Research &amp; Mathematical Optimization (SciPy, OR-Tools)</v>
      </c>
      <c r="F1186" s="7" t="str">
        <f>IFERROR(__xludf.DUMMYFUNCTION("""COMPUTED_VALUE"""),"S142 unlocks S170")</f>
        <v>S142 unlocks S170</v>
      </c>
    </row>
    <row r="1187">
      <c r="A1187" s="7" t="str">
        <f>IFERROR(__xludf.DUMMYFUNCTION("""COMPUTED_VALUE"""),"PE1186")</f>
        <v>PE1186</v>
      </c>
      <c r="B1187" s="7" t="str">
        <f>IFERROR(__xludf.DUMMYFUNCTION("""COMPUTED_VALUE"""),"S147")</f>
        <v>S147</v>
      </c>
      <c r="C1187" s="7" t="str">
        <f>IFERROR(__xludf.DUMMYFUNCTION("""COMPUTED_VALUE"""),"Feature Engineering, Selection &amp; Dimensionality Reduction (PCA)")</f>
        <v>Feature Engineering, Selection &amp; Dimensionality Reduction (PCA)</v>
      </c>
      <c r="D1187" s="7" t="str">
        <f>IFERROR(__xludf.DUMMYFUNCTION("""COMPUTED_VALUE"""),"S152")</f>
        <v>S152</v>
      </c>
      <c r="E1187" s="7" t="str">
        <f>IFERROR(__xludf.DUMMYFUNCTION("""COMPUTED_VALUE"""),"Time-Series Forecasting (ARIMA, Prophet, LSTM)")</f>
        <v>Time-Series Forecasting (ARIMA, Prophet, LSTM)</v>
      </c>
      <c r="F1187" s="7" t="str">
        <f>IFERROR(__xludf.DUMMYFUNCTION("""COMPUTED_VALUE"""),"S147 unlocks S152")</f>
        <v>S147 unlocks S152</v>
      </c>
    </row>
    <row r="1188">
      <c r="A1188" s="7" t="str">
        <f>IFERROR(__xludf.DUMMYFUNCTION("""COMPUTED_VALUE"""),"PE1187")</f>
        <v>PE1187</v>
      </c>
      <c r="B1188" s="7" t="str">
        <f>IFERROR(__xludf.DUMMYFUNCTION("""COMPUTED_VALUE"""),"S147")</f>
        <v>S147</v>
      </c>
      <c r="C1188" s="7" t="str">
        <f>IFERROR(__xludf.DUMMYFUNCTION("""COMPUTED_VALUE"""),"Feature Engineering, Selection &amp; Dimensionality Reduction (PCA)")</f>
        <v>Feature Engineering, Selection &amp; Dimensionality Reduction (PCA)</v>
      </c>
      <c r="D1188" s="7" t="str">
        <f>IFERROR(__xludf.DUMMYFUNCTION("""COMPUTED_VALUE"""),"S153")</f>
        <v>S153</v>
      </c>
      <c r="E1188" s="7" t="str">
        <f>IFERROR(__xludf.DUMMYFUNCTION("""COMPUTED_VALUE"""),"Recommendation Systems (Collaborative &amp; Content-Based Filtering)")</f>
        <v>Recommendation Systems (Collaborative &amp; Content-Based Filtering)</v>
      </c>
      <c r="F1188" s="7" t="str">
        <f>IFERROR(__xludf.DUMMYFUNCTION("""COMPUTED_VALUE"""),"S147 unlocks S153")</f>
        <v>S147 unlocks S153</v>
      </c>
    </row>
    <row r="1189">
      <c r="A1189" s="7" t="str">
        <f>IFERROR(__xludf.DUMMYFUNCTION("""COMPUTED_VALUE"""),"PE1188")</f>
        <v>PE1188</v>
      </c>
      <c r="B1189" s="7" t="str">
        <f>IFERROR(__xludf.DUMMYFUNCTION("""COMPUTED_VALUE"""),"S147")</f>
        <v>S147</v>
      </c>
      <c r="C1189" s="7" t="str">
        <f>IFERROR(__xludf.DUMMYFUNCTION("""COMPUTED_VALUE"""),"Feature Engineering, Selection &amp; Dimensionality Reduction (PCA)")</f>
        <v>Feature Engineering, Selection &amp; Dimensionality Reduction (PCA)</v>
      </c>
      <c r="D1189" s="7" t="str">
        <f>IFERROR(__xludf.DUMMYFUNCTION("""COMPUTED_VALUE"""),"S155")</f>
        <v>S155</v>
      </c>
      <c r="E1189" s="7" t="str">
        <f>IFERROR(__xludf.DUMMYFUNCTION("""COMPUTED_VALUE"""),"Deep Learning with PyTorch")</f>
        <v>Deep Learning with PyTorch</v>
      </c>
      <c r="F1189" s="7" t="str">
        <f>IFERROR(__xludf.DUMMYFUNCTION("""COMPUTED_VALUE"""),"S147 unlocks S155")</f>
        <v>S147 unlocks S155</v>
      </c>
    </row>
    <row r="1190">
      <c r="A1190" s="7" t="str">
        <f>IFERROR(__xludf.DUMMYFUNCTION("""COMPUTED_VALUE"""),"PE1189")</f>
        <v>PE1189</v>
      </c>
      <c r="B1190" s="7" t="str">
        <f>IFERROR(__xludf.DUMMYFUNCTION("""COMPUTED_VALUE"""),"S147")</f>
        <v>S147</v>
      </c>
      <c r="C1190" s="7" t="str">
        <f>IFERROR(__xludf.DUMMYFUNCTION("""COMPUTED_VALUE"""),"Feature Engineering, Selection &amp; Dimensionality Reduction (PCA)")</f>
        <v>Feature Engineering, Selection &amp; Dimensionality Reduction (PCA)</v>
      </c>
      <c r="D1190" s="7" t="str">
        <f>IFERROR(__xludf.DUMMYFUNCTION("""COMPUTED_VALUE"""),"S156")</f>
        <v>S156</v>
      </c>
      <c r="E1190" s="7" t="str">
        <f>IFERROR(__xludf.DUMMYFUNCTION("""COMPUTED_VALUE"""),"Deep Learning with TensorFlow &amp; Keras")</f>
        <v>Deep Learning with TensorFlow &amp; Keras</v>
      </c>
      <c r="F1190" s="7" t="str">
        <f>IFERROR(__xludf.DUMMYFUNCTION("""COMPUTED_VALUE"""),"S147 unlocks S156")</f>
        <v>S147 unlocks S156</v>
      </c>
    </row>
    <row r="1191">
      <c r="A1191" s="7" t="str">
        <f>IFERROR(__xludf.DUMMYFUNCTION("""COMPUTED_VALUE"""),"PE1190")</f>
        <v>PE1190</v>
      </c>
      <c r="B1191" s="7" t="str">
        <f>IFERROR(__xludf.DUMMYFUNCTION("""COMPUTED_VALUE"""),"S147")</f>
        <v>S147</v>
      </c>
      <c r="C1191" s="7" t="str">
        <f>IFERROR(__xludf.DUMMYFUNCTION("""COMPUTED_VALUE"""),"Feature Engineering, Selection &amp; Dimensionality Reduction (PCA)")</f>
        <v>Feature Engineering, Selection &amp; Dimensionality Reduction (PCA)</v>
      </c>
      <c r="D1191" s="7" t="str">
        <f>IFERROR(__xludf.DUMMYFUNCTION("""COMPUTED_VALUE"""),"S158")</f>
        <v>S158</v>
      </c>
      <c r="E1191" s="7" t="str">
        <f>IFERROR(__xludf.DUMMYFUNCTION("""COMPUTED_VALUE"""),"Transformer Architecture &amp; Attention Mechanisms (Hugging Face)")</f>
        <v>Transformer Architecture &amp; Attention Mechanisms (Hugging Face)</v>
      </c>
      <c r="F1191" s="7" t="str">
        <f>IFERROR(__xludf.DUMMYFUNCTION("""COMPUTED_VALUE"""),"S147 unlocks S158")</f>
        <v>S147 unlocks S158</v>
      </c>
    </row>
    <row r="1192">
      <c r="A1192" s="7" t="str">
        <f>IFERROR(__xludf.DUMMYFUNCTION("""COMPUTED_VALUE"""),"PE1191")</f>
        <v>PE1191</v>
      </c>
      <c r="B1192" s="7" t="str">
        <f>IFERROR(__xludf.DUMMYFUNCTION("""COMPUTED_VALUE"""),"S147")</f>
        <v>S147</v>
      </c>
      <c r="C1192" s="7" t="str">
        <f>IFERROR(__xludf.DUMMYFUNCTION("""COMPUTED_VALUE"""),"Feature Engineering, Selection &amp; Dimensionality Reduction (PCA)")</f>
        <v>Feature Engineering, Selection &amp; Dimensionality Reduction (PCA)</v>
      </c>
      <c r="D1192" s="7" t="str">
        <f>IFERROR(__xludf.DUMMYFUNCTION("""COMPUTED_VALUE"""),"S159")</f>
        <v>S159</v>
      </c>
      <c r="E1192" s="7" t="str">
        <f>IFERROR(__xludf.DUMMYFUNCTION("""COMPUTED_VALUE"""),"Large Language Models (LLMs), Fine-Tuning (LoRA/QLoRA) &amp; Evaluation")</f>
        <v>Large Language Models (LLMs), Fine-Tuning (LoRA/QLoRA) &amp; Evaluation</v>
      </c>
      <c r="F1192" s="7" t="str">
        <f>IFERROR(__xludf.DUMMYFUNCTION("""COMPUTED_VALUE"""),"S147 unlocks S159")</f>
        <v>S147 unlocks S159</v>
      </c>
    </row>
    <row r="1193">
      <c r="A1193" s="7" t="str">
        <f>IFERROR(__xludf.DUMMYFUNCTION("""COMPUTED_VALUE"""),"PE1192")</f>
        <v>PE1192</v>
      </c>
      <c r="B1193" s="7" t="str">
        <f>IFERROR(__xludf.DUMMYFUNCTION("""COMPUTED_VALUE"""),"S147")</f>
        <v>S147</v>
      </c>
      <c r="C1193" s="7" t="str">
        <f>IFERROR(__xludf.DUMMYFUNCTION("""COMPUTED_VALUE"""),"Feature Engineering, Selection &amp; Dimensionality Reduction (PCA)")</f>
        <v>Feature Engineering, Selection &amp; Dimensionality Reduction (PCA)</v>
      </c>
      <c r="D1193" s="7" t="str">
        <f>IFERROR(__xludf.DUMMYFUNCTION("""COMPUTED_VALUE"""),"S160")</f>
        <v>S160</v>
      </c>
      <c r="E1193" s="7" t="str">
        <f>IFERROR(__xludf.DUMMYFUNCTION("""COMPUTED_VALUE"""),"Prompt Engineering, RAG &amp; AI Agents (LangChain, LlamaIndex)")</f>
        <v>Prompt Engineering, RAG &amp; AI Agents (LangChain, LlamaIndex)</v>
      </c>
      <c r="F1193" s="7" t="str">
        <f>IFERROR(__xludf.DUMMYFUNCTION("""COMPUTED_VALUE"""),"S147 unlocks S160")</f>
        <v>S147 unlocks S160</v>
      </c>
    </row>
    <row r="1194">
      <c r="A1194" s="7" t="str">
        <f>IFERROR(__xludf.DUMMYFUNCTION("""COMPUTED_VALUE"""),"PE1193")</f>
        <v>PE1193</v>
      </c>
      <c r="B1194" s="7" t="str">
        <f>IFERROR(__xludf.DUMMYFUNCTION("""COMPUTED_VALUE"""),"S147")</f>
        <v>S147</v>
      </c>
      <c r="C1194" s="7" t="str">
        <f>IFERROR(__xludf.DUMMYFUNCTION("""COMPUTED_VALUE"""),"Feature Engineering, Selection &amp; Dimensionality Reduction (PCA)")</f>
        <v>Feature Engineering, Selection &amp; Dimensionality Reduction (PCA)</v>
      </c>
      <c r="D1194" s="7" t="str">
        <f>IFERROR(__xludf.DUMMYFUNCTION("""COMPUTED_VALUE"""),"S162")</f>
        <v>S162</v>
      </c>
      <c r="E1194" s="7" t="str">
        <f>IFERROR(__xludf.DUMMYFUNCTION("""COMPUTED_VALUE"""),"Convolutional Neural Networks (CNNs) &amp; Object Detection (YOLO)")</f>
        <v>Convolutional Neural Networks (CNNs) &amp; Object Detection (YOLO)</v>
      </c>
      <c r="F1194" s="7" t="str">
        <f>IFERROR(__xludf.DUMMYFUNCTION("""COMPUTED_VALUE"""),"S147 unlocks S162")</f>
        <v>S147 unlocks S162</v>
      </c>
    </row>
    <row r="1195">
      <c r="A1195" s="7" t="str">
        <f>IFERROR(__xludf.DUMMYFUNCTION("""COMPUTED_VALUE"""),"PE1194")</f>
        <v>PE1194</v>
      </c>
      <c r="B1195" s="7" t="str">
        <f>IFERROR(__xludf.DUMMYFUNCTION("""COMPUTED_VALUE"""),"S147")</f>
        <v>S147</v>
      </c>
      <c r="C1195" s="7" t="str">
        <f>IFERROR(__xludf.DUMMYFUNCTION("""COMPUTED_VALUE"""),"Feature Engineering, Selection &amp; Dimensionality Reduction (PCA)")</f>
        <v>Feature Engineering, Selection &amp; Dimensionality Reduction (PCA)</v>
      </c>
      <c r="D1195" s="7" t="str">
        <f>IFERROR(__xludf.DUMMYFUNCTION("""COMPUTED_VALUE"""),"S163")</f>
        <v>S163</v>
      </c>
      <c r="E1195" s="7" t="str">
        <f>IFERROR(__xludf.DUMMYFUNCTION("""COMPUTED_VALUE"""),"Generative AI &amp; Diffusion Models")</f>
        <v>Generative AI &amp; Diffusion Models</v>
      </c>
      <c r="F1195" s="7" t="str">
        <f>IFERROR(__xludf.DUMMYFUNCTION("""COMPUTED_VALUE"""),"S147 unlocks S163")</f>
        <v>S147 unlocks S163</v>
      </c>
    </row>
    <row r="1196">
      <c r="A1196" s="7" t="str">
        <f>IFERROR(__xludf.DUMMYFUNCTION("""COMPUTED_VALUE"""),"PE1195")</f>
        <v>PE1195</v>
      </c>
      <c r="B1196" s="7" t="str">
        <f>IFERROR(__xludf.DUMMYFUNCTION("""COMPUTED_VALUE"""),"S147")</f>
        <v>S147</v>
      </c>
      <c r="C1196" s="7" t="str">
        <f>IFERROR(__xludf.DUMMYFUNCTION("""COMPUTED_VALUE"""),"Feature Engineering, Selection &amp; Dimensionality Reduction (PCA)")</f>
        <v>Feature Engineering, Selection &amp; Dimensionality Reduction (PCA)</v>
      </c>
      <c r="D1196" s="7" t="str">
        <f>IFERROR(__xludf.DUMMYFUNCTION("""COMPUTED_VALUE"""),"S164")</f>
        <v>S164</v>
      </c>
      <c r="E1196" s="7" t="str">
        <f>IFERROR(__xludf.DUMMYFUNCTION("""COMPUTED_VALUE"""),"Reinforcement Learning (Markov Decision Processes, Q-Learning)")</f>
        <v>Reinforcement Learning (Markov Decision Processes, Q-Learning)</v>
      </c>
      <c r="F1196" s="7" t="str">
        <f>IFERROR(__xludf.DUMMYFUNCTION("""COMPUTED_VALUE"""),"S147 unlocks S164")</f>
        <v>S147 unlocks S164</v>
      </c>
    </row>
    <row r="1197">
      <c r="A1197" s="7" t="str">
        <f>IFERROR(__xludf.DUMMYFUNCTION("""COMPUTED_VALUE"""),"PE1196")</f>
        <v>PE1196</v>
      </c>
      <c r="B1197" s="7" t="str">
        <f>IFERROR(__xludf.DUMMYFUNCTION("""COMPUTED_VALUE"""),"S147")</f>
        <v>S147</v>
      </c>
      <c r="C1197" s="7" t="str">
        <f>IFERROR(__xludf.DUMMYFUNCTION("""COMPUTED_VALUE"""),"Feature Engineering, Selection &amp; Dimensionality Reduction (PCA)")</f>
        <v>Feature Engineering, Selection &amp; Dimensionality Reduction (PCA)</v>
      </c>
      <c r="D1197" s="7" t="str">
        <f>IFERROR(__xludf.DUMMYFUNCTION("""COMPUTED_VALUE"""),"S165")</f>
        <v>S165</v>
      </c>
      <c r="E1197" s="7" t="str">
        <f>IFERROR(__xludf.DUMMYFUNCTION("""COMPUTED_VALUE"""),"MLOps &amp; Experiment Tracking (MLflow, Weights &amp; Biases, Kubeflow)")</f>
        <v>MLOps &amp; Experiment Tracking (MLflow, Weights &amp; Biases, Kubeflow)</v>
      </c>
      <c r="F1197" s="7" t="str">
        <f>IFERROR(__xludf.DUMMYFUNCTION("""COMPUTED_VALUE"""),"S147 unlocks S165")</f>
        <v>S147 unlocks S165</v>
      </c>
    </row>
    <row r="1198">
      <c r="A1198" s="7" t="str">
        <f>IFERROR(__xludf.DUMMYFUNCTION("""COMPUTED_VALUE"""),"PE1197")</f>
        <v>PE1197</v>
      </c>
      <c r="B1198" s="7" t="str">
        <f>IFERROR(__xludf.DUMMYFUNCTION("""COMPUTED_VALUE"""),"S147")</f>
        <v>S147</v>
      </c>
      <c r="C1198" s="7" t="str">
        <f>IFERROR(__xludf.DUMMYFUNCTION("""COMPUTED_VALUE"""),"Feature Engineering, Selection &amp; Dimensionality Reduction (PCA)")</f>
        <v>Feature Engineering, Selection &amp; Dimensionality Reduction (PCA)</v>
      </c>
      <c r="D1198" s="7" t="str">
        <f>IFERROR(__xludf.DUMMYFUNCTION("""COMPUTED_VALUE"""),"S166")</f>
        <v>S166</v>
      </c>
      <c r="E119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198" s="7" t="str">
        <f>IFERROR(__xludf.DUMMYFUNCTION("""COMPUTED_VALUE"""),"S147 unlocks S166")</f>
        <v>S147 unlocks S166</v>
      </c>
    </row>
    <row r="1199">
      <c r="A1199" s="7" t="str">
        <f>IFERROR(__xludf.DUMMYFUNCTION("""COMPUTED_VALUE"""),"PE1198")</f>
        <v>PE1198</v>
      </c>
      <c r="B1199" s="7" t="str">
        <f>IFERROR(__xludf.DUMMYFUNCTION("""COMPUTED_VALUE"""),"S147")</f>
        <v>S147</v>
      </c>
      <c r="C1199" s="7" t="str">
        <f>IFERROR(__xludf.DUMMYFUNCTION("""COMPUTED_VALUE"""),"Feature Engineering, Selection &amp; Dimensionality Reduction (PCA)")</f>
        <v>Feature Engineering, Selection &amp; Dimensionality Reduction (PCA)</v>
      </c>
      <c r="D1199" s="7" t="str">
        <f>IFERROR(__xludf.DUMMYFUNCTION("""COMPUTED_VALUE"""),"S168")</f>
        <v>S168</v>
      </c>
      <c r="E1199" s="7" t="str">
        <f>IFERROR(__xludf.DUMMYFUNCTION("""COMPUTED_VALUE"""),"Speech Recognition &amp; Audio Processing (Whisper, Librosa)")</f>
        <v>Speech Recognition &amp; Audio Processing (Whisper, Librosa)</v>
      </c>
      <c r="F1199" s="7" t="str">
        <f>IFERROR(__xludf.DUMMYFUNCTION("""COMPUTED_VALUE"""),"S147 unlocks S168")</f>
        <v>S147 unlocks S168</v>
      </c>
    </row>
    <row r="1200">
      <c r="A1200" s="7" t="str">
        <f>IFERROR(__xludf.DUMMYFUNCTION("""COMPUTED_VALUE"""),"PE1199")</f>
        <v>PE1199</v>
      </c>
      <c r="B1200" s="7" t="str">
        <f>IFERROR(__xludf.DUMMYFUNCTION("""COMPUTED_VALUE"""),"S147")</f>
        <v>S147</v>
      </c>
      <c r="C1200" s="7" t="str">
        <f>IFERROR(__xludf.DUMMYFUNCTION("""COMPUTED_VALUE"""),"Feature Engineering, Selection &amp; Dimensionality Reduction (PCA)")</f>
        <v>Feature Engineering, Selection &amp; Dimensionality Reduction (PCA)</v>
      </c>
      <c r="D1200" s="7" t="str">
        <f>IFERROR(__xludf.DUMMYFUNCTION("""COMPUTED_VALUE"""),"S169")</f>
        <v>S169</v>
      </c>
      <c r="E1200" s="7" t="str">
        <f>IFERROR(__xludf.DUMMYFUNCTION("""COMPUTED_VALUE"""),"Graph Neural Networks (GNNs &amp; PyTorch Geometric)")</f>
        <v>Graph Neural Networks (GNNs &amp; PyTorch Geometric)</v>
      </c>
      <c r="F1200" s="7" t="str">
        <f>IFERROR(__xludf.DUMMYFUNCTION("""COMPUTED_VALUE"""),"S147 unlocks S169")</f>
        <v>S147 unlocks S169</v>
      </c>
    </row>
    <row r="1201">
      <c r="A1201" s="7" t="str">
        <f>IFERROR(__xludf.DUMMYFUNCTION("""COMPUTED_VALUE"""),"PE1200")</f>
        <v>PE1200</v>
      </c>
      <c r="B1201" s="7" t="str">
        <f>IFERROR(__xludf.DUMMYFUNCTION("""COMPUTED_VALUE"""),"S147")</f>
        <v>S147</v>
      </c>
      <c r="C1201" s="7" t="str">
        <f>IFERROR(__xludf.DUMMYFUNCTION("""COMPUTED_VALUE"""),"Feature Engineering, Selection &amp; Dimensionality Reduction (PCA)")</f>
        <v>Feature Engineering, Selection &amp; Dimensionality Reduction (PCA)</v>
      </c>
      <c r="D1201" s="7" t="str">
        <f>IFERROR(__xludf.DUMMYFUNCTION("""COMPUTED_VALUE"""),"S170")</f>
        <v>S170</v>
      </c>
      <c r="E1201" s="7" t="str">
        <f>IFERROR(__xludf.DUMMYFUNCTION("""COMPUTED_VALUE"""),"Operations Research &amp; Mathematical Optimization (SciPy, OR-Tools)")</f>
        <v>Operations Research &amp; Mathematical Optimization (SciPy, OR-Tools)</v>
      </c>
      <c r="F1201" s="7" t="str">
        <f>IFERROR(__xludf.DUMMYFUNCTION("""COMPUTED_VALUE"""),"S147 unlocks S170")</f>
        <v>S147 unlocks S170</v>
      </c>
    </row>
    <row r="1202">
      <c r="A1202" s="7" t="str">
        <f>IFERROR(__xludf.DUMMYFUNCTION("""COMPUTED_VALUE"""),"PE1201")</f>
        <v>PE1201</v>
      </c>
      <c r="B1202" s="7" t="str">
        <f>IFERROR(__xludf.DUMMYFUNCTION("""COMPUTED_VALUE"""),"S148")</f>
        <v>S148</v>
      </c>
      <c r="C1202" s="7" t="str">
        <f>IFERROR(__xludf.DUMMYFUNCTION("""COMPUTED_VALUE"""),"Supervised Machine Learning (Regression, Classification, SVM)")</f>
        <v>Supervised Machine Learning (Regression, Classification, SVM)</v>
      </c>
      <c r="D1202" s="7" t="str">
        <f>IFERROR(__xludf.DUMMYFUNCTION("""COMPUTED_VALUE"""),"S152")</f>
        <v>S152</v>
      </c>
      <c r="E1202" s="7" t="str">
        <f>IFERROR(__xludf.DUMMYFUNCTION("""COMPUTED_VALUE"""),"Time-Series Forecasting (ARIMA, Prophet, LSTM)")</f>
        <v>Time-Series Forecasting (ARIMA, Prophet, LSTM)</v>
      </c>
      <c r="F1202" s="7" t="str">
        <f>IFERROR(__xludf.DUMMYFUNCTION("""COMPUTED_VALUE"""),"S148 unlocks S152")</f>
        <v>S148 unlocks S152</v>
      </c>
    </row>
    <row r="1203">
      <c r="A1203" s="7" t="str">
        <f>IFERROR(__xludf.DUMMYFUNCTION("""COMPUTED_VALUE"""),"PE1202")</f>
        <v>PE1202</v>
      </c>
      <c r="B1203" s="7" t="str">
        <f>IFERROR(__xludf.DUMMYFUNCTION("""COMPUTED_VALUE"""),"S148")</f>
        <v>S148</v>
      </c>
      <c r="C1203" s="7" t="str">
        <f>IFERROR(__xludf.DUMMYFUNCTION("""COMPUTED_VALUE"""),"Supervised Machine Learning (Regression, Classification, SVM)")</f>
        <v>Supervised Machine Learning (Regression, Classification, SVM)</v>
      </c>
      <c r="D1203" s="7" t="str">
        <f>IFERROR(__xludf.DUMMYFUNCTION("""COMPUTED_VALUE"""),"S153")</f>
        <v>S153</v>
      </c>
      <c r="E1203" s="7" t="str">
        <f>IFERROR(__xludf.DUMMYFUNCTION("""COMPUTED_VALUE"""),"Recommendation Systems (Collaborative &amp; Content-Based Filtering)")</f>
        <v>Recommendation Systems (Collaborative &amp; Content-Based Filtering)</v>
      </c>
      <c r="F1203" s="7" t="str">
        <f>IFERROR(__xludf.DUMMYFUNCTION("""COMPUTED_VALUE"""),"S148 unlocks S153")</f>
        <v>S148 unlocks S153</v>
      </c>
    </row>
    <row r="1204">
      <c r="A1204" s="7" t="str">
        <f>IFERROR(__xludf.DUMMYFUNCTION("""COMPUTED_VALUE"""),"PE1203")</f>
        <v>PE1203</v>
      </c>
      <c r="B1204" s="7" t="str">
        <f>IFERROR(__xludf.DUMMYFUNCTION("""COMPUTED_VALUE"""),"S148")</f>
        <v>S148</v>
      </c>
      <c r="C1204" s="7" t="str">
        <f>IFERROR(__xludf.DUMMYFUNCTION("""COMPUTED_VALUE"""),"Supervised Machine Learning (Regression, Classification, SVM)")</f>
        <v>Supervised Machine Learning (Regression, Classification, SVM)</v>
      </c>
      <c r="D1204" s="7" t="str">
        <f>IFERROR(__xludf.DUMMYFUNCTION("""COMPUTED_VALUE"""),"S155")</f>
        <v>S155</v>
      </c>
      <c r="E1204" s="7" t="str">
        <f>IFERROR(__xludf.DUMMYFUNCTION("""COMPUTED_VALUE"""),"Deep Learning with PyTorch")</f>
        <v>Deep Learning with PyTorch</v>
      </c>
      <c r="F1204" s="7" t="str">
        <f>IFERROR(__xludf.DUMMYFUNCTION("""COMPUTED_VALUE"""),"S148 unlocks S155")</f>
        <v>S148 unlocks S155</v>
      </c>
    </row>
    <row r="1205">
      <c r="A1205" s="7" t="str">
        <f>IFERROR(__xludf.DUMMYFUNCTION("""COMPUTED_VALUE"""),"PE1204")</f>
        <v>PE1204</v>
      </c>
      <c r="B1205" s="7" t="str">
        <f>IFERROR(__xludf.DUMMYFUNCTION("""COMPUTED_VALUE"""),"S148")</f>
        <v>S148</v>
      </c>
      <c r="C1205" s="7" t="str">
        <f>IFERROR(__xludf.DUMMYFUNCTION("""COMPUTED_VALUE"""),"Supervised Machine Learning (Regression, Classification, SVM)")</f>
        <v>Supervised Machine Learning (Regression, Classification, SVM)</v>
      </c>
      <c r="D1205" s="7" t="str">
        <f>IFERROR(__xludf.DUMMYFUNCTION("""COMPUTED_VALUE"""),"S156")</f>
        <v>S156</v>
      </c>
      <c r="E1205" s="7" t="str">
        <f>IFERROR(__xludf.DUMMYFUNCTION("""COMPUTED_VALUE"""),"Deep Learning with TensorFlow &amp; Keras")</f>
        <v>Deep Learning with TensorFlow &amp; Keras</v>
      </c>
      <c r="F1205" s="7" t="str">
        <f>IFERROR(__xludf.DUMMYFUNCTION("""COMPUTED_VALUE"""),"S148 unlocks S156")</f>
        <v>S148 unlocks S156</v>
      </c>
    </row>
    <row r="1206">
      <c r="A1206" s="7" t="str">
        <f>IFERROR(__xludf.DUMMYFUNCTION("""COMPUTED_VALUE"""),"PE1205")</f>
        <v>PE1205</v>
      </c>
      <c r="B1206" s="7" t="str">
        <f>IFERROR(__xludf.DUMMYFUNCTION("""COMPUTED_VALUE"""),"S148")</f>
        <v>S148</v>
      </c>
      <c r="C1206" s="7" t="str">
        <f>IFERROR(__xludf.DUMMYFUNCTION("""COMPUTED_VALUE"""),"Supervised Machine Learning (Regression, Classification, SVM)")</f>
        <v>Supervised Machine Learning (Regression, Classification, SVM)</v>
      </c>
      <c r="D1206" s="7" t="str">
        <f>IFERROR(__xludf.DUMMYFUNCTION("""COMPUTED_VALUE"""),"S158")</f>
        <v>S158</v>
      </c>
      <c r="E1206" s="7" t="str">
        <f>IFERROR(__xludf.DUMMYFUNCTION("""COMPUTED_VALUE"""),"Transformer Architecture &amp; Attention Mechanisms (Hugging Face)")</f>
        <v>Transformer Architecture &amp; Attention Mechanisms (Hugging Face)</v>
      </c>
      <c r="F1206" s="7" t="str">
        <f>IFERROR(__xludf.DUMMYFUNCTION("""COMPUTED_VALUE"""),"S148 unlocks S158")</f>
        <v>S148 unlocks S158</v>
      </c>
    </row>
    <row r="1207">
      <c r="A1207" s="7" t="str">
        <f>IFERROR(__xludf.DUMMYFUNCTION("""COMPUTED_VALUE"""),"PE1206")</f>
        <v>PE1206</v>
      </c>
      <c r="B1207" s="7" t="str">
        <f>IFERROR(__xludf.DUMMYFUNCTION("""COMPUTED_VALUE"""),"S148")</f>
        <v>S148</v>
      </c>
      <c r="C1207" s="7" t="str">
        <f>IFERROR(__xludf.DUMMYFUNCTION("""COMPUTED_VALUE"""),"Supervised Machine Learning (Regression, Classification, SVM)")</f>
        <v>Supervised Machine Learning (Regression, Classification, SVM)</v>
      </c>
      <c r="D1207" s="7" t="str">
        <f>IFERROR(__xludf.DUMMYFUNCTION("""COMPUTED_VALUE"""),"S159")</f>
        <v>S159</v>
      </c>
      <c r="E1207" s="7" t="str">
        <f>IFERROR(__xludf.DUMMYFUNCTION("""COMPUTED_VALUE"""),"Large Language Models (LLMs), Fine-Tuning (LoRA/QLoRA) &amp; Evaluation")</f>
        <v>Large Language Models (LLMs), Fine-Tuning (LoRA/QLoRA) &amp; Evaluation</v>
      </c>
      <c r="F1207" s="7" t="str">
        <f>IFERROR(__xludf.DUMMYFUNCTION("""COMPUTED_VALUE"""),"S148 unlocks S159")</f>
        <v>S148 unlocks S159</v>
      </c>
    </row>
    <row r="1208">
      <c r="A1208" s="7" t="str">
        <f>IFERROR(__xludf.DUMMYFUNCTION("""COMPUTED_VALUE"""),"PE1207")</f>
        <v>PE1207</v>
      </c>
      <c r="B1208" s="7" t="str">
        <f>IFERROR(__xludf.DUMMYFUNCTION("""COMPUTED_VALUE"""),"S148")</f>
        <v>S148</v>
      </c>
      <c r="C1208" s="7" t="str">
        <f>IFERROR(__xludf.DUMMYFUNCTION("""COMPUTED_VALUE"""),"Supervised Machine Learning (Regression, Classification, SVM)")</f>
        <v>Supervised Machine Learning (Regression, Classification, SVM)</v>
      </c>
      <c r="D1208" s="7" t="str">
        <f>IFERROR(__xludf.DUMMYFUNCTION("""COMPUTED_VALUE"""),"S160")</f>
        <v>S160</v>
      </c>
      <c r="E1208" s="7" t="str">
        <f>IFERROR(__xludf.DUMMYFUNCTION("""COMPUTED_VALUE"""),"Prompt Engineering, RAG &amp; AI Agents (LangChain, LlamaIndex)")</f>
        <v>Prompt Engineering, RAG &amp; AI Agents (LangChain, LlamaIndex)</v>
      </c>
      <c r="F1208" s="7" t="str">
        <f>IFERROR(__xludf.DUMMYFUNCTION("""COMPUTED_VALUE"""),"S148 unlocks S160")</f>
        <v>S148 unlocks S160</v>
      </c>
    </row>
    <row r="1209">
      <c r="A1209" s="7" t="str">
        <f>IFERROR(__xludf.DUMMYFUNCTION("""COMPUTED_VALUE"""),"PE1208")</f>
        <v>PE1208</v>
      </c>
      <c r="B1209" s="7" t="str">
        <f>IFERROR(__xludf.DUMMYFUNCTION("""COMPUTED_VALUE"""),"S148")</f>
        <v>S148</v>
      </c>
      <c r="C1209" s="7" t="str">
        <f>IFERROR(__xludf.DUMMYFUNCTION("""COMPUTED_VALUE"""),"Supervised Machine Learning (Regression, Classification, SVM)")</f>
        <v>Supervised Machine Learning (Regression, Classification, SVM)</v>
      </c>
      <c r="D1209" s="7" t="str">
        <f>IFERROR(__xludf.DUMMYFUNCTION("""COMPUTED_VALUE"""),"S162")</f>
        <v>S162</v>
      </c>
      <c r="E1209" s="7" t="str">
        <f>IFERROR(__xludf.DUMMYFUNCTION("""COMPUTED_VALUE"""),"Convolutional Neural Networks (CNNs) &amp; Object Detection (YOLO)")</f>
        <v>Convolutional Neural Networks (CNNs) &amp; Object Detection (YOLO)</v>
      </c>
      <c r="F1209" s="7" t="str">
        <f>IFERROR(__xludf.DUMMYFUNCTION("""COMPUTED_VALUE"""),"S148 unlocks S162")</f>
        <v>S148 unlocks S162</v>
      </c>
    </row>
    <row r="1210">
      <c r="A1210" s="7" t="str">
        <f>IFERROR(__xludf.DUMMYFUNCTION("""COMPUTED_VALUE"""),"PE1209")</f>
        <v>PE1209</v>
      </c>
      <c r="B1210" s="7" t="str">
        <f>IFERROR(__xludf.DUMMYFUNCTION("""COMPUTED_VALUE"""),"S148")</f>
        <v>S148</v>
      </c>
      <c r="C1210" s="7" t="str">
        <f>IFERROR(__xludf.DUMMYFUNCTION("""COMPUTED_VALUE"""),"Supervised Machine Learning (Regression, Classification, SVM)")</f>
        <v>Supervised Machine Learning (Regression, Classification, SVM)</v>
      </c>
      <c r="D1210" s="7" t="str">
        <f>IFERROR(__xludf.DUMMYFUNCTION("""COMPUTED_VALUE"""),"S163")</f>
        <v>S163</v>
      </c>
      <c r="E1210" s="7" t="str">
        <f>IFERROR(__xludf.DUMMYFUNCTION("""COMPUTED_VALUE"""),"Generative AI &amp; Diffusion Models")</f>
        <v>Generative AI &amp; Diffusion Models</v>
      </c>
      <c r="F1210" s="7" t="str">
        <f>IFERROR(__xludf.DUMMYFUNCTION("""COMPUTED_VALUE"""),"S148 unlocks S163")</f>
        <v>S148 unlocks S163</v>
      </c>
    </row>
    <row r="1211">
      <c r="A1211" s="7" t="str">
        <f>IFERROR(__xludf.DUMMYFUNCTION("""COMPUTED_VALUE"""),"PE1210")</f>
        <v>PE1210</v>
      </c>
      <c r="B1211" s="7" t="str">
        <f>IFERROR(__xludf.DUMMYFUNCTION("""COMPUTED_VALUE"""),"S148")</f>
        <v>S148</v>
      </c>
      <c r="C1211" s="7" t="str">
        <f>IFERROR(__xludf.DUMMYFUNCTION("""COMPUTED_VALUE"""),"Supervised Machine Learning (Regression, Classification, SVM)")</f>
        <v>Supervised Machine Learning (Regression, Classification, SVM)</v>
      </c>
      <c r="D1211" s="7" t="str">
        <f>IFERROR(__xludf.DUMMYFUNCTION("""COMPUTED_VALUE"""),"S164")</f>
        <v>S164</v>
      </c>
      <c r="E1211" s="7" t="str">
        <f>IFERROR(__xludf.DUMMYFUNCTION("""COMPUTED_VALUE"""),"Reinforcement Learning (Markov Decision Processes, Q-Learning)")</f>
        <v>Reinforcement Learning (Markov Decision Processes, Q-Learning)</v>
      </c>
      <c r="F1211" s="7" t="str">
        <f>IFERROR(__xludf.DUMMYFUNCTION("""COMPUTED_VALUE"""),"S148 unlocks S164")</f>
        <v>S148 unlocks S164</v>
      </c>
    </row>
    <row r="1212">
      <c r="A1212" s="7" t="str">
        <f>IFERROR(__xludf.DUMMYFUNCTION("""COMPUTED_VALUE"""),"PE1211")</f>
        <v>PE1211</v>
      </c>
      <c r="B1212" s="7" t="str">
        <f>IFERROR(__xludf.DUMMYFUNCTION("""COMPUTED_VALUE"""),"S148")</f>
        <v>S148</v>
      </c>
      <c r="C1212" s="7" t="str">
        <f>IFERROR(__xludf.DUMMYFUNCTION("""COMPUTED_VALUE"""),"Supervised Machine Learning (Regression, Classification, SVM)")</f>
        <v>Supervised Machine Learning (Regression, Classification, SVM)</v>
      </c>
      <c r="D1212" s="7" t="str">
        <f>IFERROR(__xludf.DUMMYFUNCTION("""COMPUTED_VALUE"""),"S165")</f>
        <v>S165</v>
      </c>
      <c r="E1212" s="7" t="str">
        <f>IFERROR(__xludf.DUMMYFUNCTION("""COMPUTED_VALUE"""),"MLOps &amp; Experiment Tracking (MLflow, Weights &amp; Biases, Kubeflow)")</f>
        <v>MLOps &amp; Experiment Tracking (MLflow, Weights &amp; Biases, Kubeflow)</v>
      </c>
      <c r="F1212" s="7" t="str">
        <f>IFERROR(__xludf.DUMMYFUNCTION("""COMPUTED_VALUE"""),"S148 unlocks S165")</f>
        <v>S148 unlocks S165</v>
      </c>
    </row>
    <row r="1213">
      <c r="A1213" s="7" t="str">
        <f>IFERROR(__xludf.DUMMYFUNCTION("""COMPUTED_VALUE"""),"PE1212")</f>
        <v>PE1212</v>
      </c>
      <c r="B1213" s="7" t="str">
        <f>IFERROR(__xludf.DUMMYFUNCTION("""COMPUTED_VALUE"""),"S148")</f>
        <v>S148</v>
      </c>
      <c r="C1213" s="7" t="str">
        <f>IFERROR(__xludf.DUMMYFUNCTION("""COMPUTED_VALUE"""),"Supervised Machine Learning (Regression, Classification, SVM)")</f>
        <v>Supervised Machine Learning (Regression, Classification, SVM)</v>
      </c>
      <c r="D1213" s="7" t="str">
        <f>IFERROR(__xludf.DUMMYFUNCTION("""COMPUTED_VALUE"""),"S166")</f>
        <v>S166</v>
      </c>
      <c r="E1213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13" s="7" t="str">
        <f>IFERROR(__xludf.DUMMYFUNCTION("""COMPUTED_VALUE"""),"S148 unlocks S166")</f>
        <v>S148 unlocks S166</v>
      </c>
    </row>
    <row r="1214">
      <c r="A1214" s="7" t="str">
        <f>IFERROR(__xludf.DUMMYFUNCTION("""COMPUTED_VALUE"""),"PE1213")</f>
        <v>PE1213</v>
      </c>
      <c r="B1214" s="7" t="str">
        <f>IFERROR(__xludf.DUMMYFUNCTION("""COMPUTED_VALUE"""),"S148")</f>
        <v>S148</v>
      </c>
      <c r="C1214" s="7" t="str">
        <f>IFERROR(__xludf.DUMMYFUNCTION("""COMPUTED_VALUE"""),"Supervised Machine Learning (Regression, Classification, SVM)")</f>
        <v>Supervised Machine Learning (Regression, Classification, SVM)</v>
      </c>
      <c r="D1214" s="7" t="str">
        <f>IFERROR(__xludf.DUMMYFUNCTION("""COMPUTED_VALUE"""),"S168")</f>
        <v>S168</v>
      </c>
      <c r="E1214" s="7" t="str">
        <f>IFERROR(__xludf.DUMMYFUNCTION("""COMPUTED_VALUE"""),"Speech Recognition &amp; Audio Processing (Whisper, Librosa)")</f>
        <v>Speech Recognition &amp; Audio Processing (Whisper, Librosa)</v>
      </c>
      <c r="F1214" s="7" t="str">
        <f>IFERROR(__xludf.DUMMYFUNCTION("""COMPUTED_VALUE"""),"S148 unlocks S168")</f>
        <v>S148 unlocks S168</v>
      </c>
    </row>
    <row r="1215">
      <c r="A1215" s="7" t="str">
        <f>IFERROR(__xludf.DUMMYFUNCTION("""COMPUTED_VALUE"""),"PE1214")</f>
        <v>PE1214</v>
      </c>
      <c r="B1215" s="7" t="str">
        <f>IFERROR(__xludf.DUMMYFUNCTION("""COMPUTED_VALUE"""),"S148")</f>
        <v>S148</v>
      </c>
      <c r="C1215" s="7" t="str">
        <f>IFERROR(__xludf.DUMMYFUNCTION("""COMPUTED_VALUE"""),"Supervised Machine Learning (Regression, Classification, SVM)")</f>
        <v>Supervised Machine Learning (Regression, Classification, SVM)</v>
      </c>
      <c r="D1215" s="7" t="str">
        <f>IFERROR(__xludf.DUMMYFUNCTION("""COMPUTED_VALUE"""),"S169")</f>
        <v>S169</v>
      </c>
      <c r="E1215" s="7" t="str">
        <f>IFERROR(__xludf.DUMMYFUNCTION("""COMPUTED_VALUE"""),"Graph Neural Networks (GNNs &amp; PyTorch Geometric)")</f>
        <v>Graph Neural Networks (GNNs &amp; PyTorch Geometric)</v>
      </c>
      <c r="F1215" s="7" t="str">
        <f>IFERROR(__xludf.DUMMYFUNCTION("""COMPUTED_VALUE"""),"S148 unlocks S169")</f>
        <v>S148 unlocks S169</v>
      </c>
    </row>
    <row r="1216">
      <c r="A1216" s="7" t="str">
        <f>IFERROR(__xludf.DUMMYFUNCTION("""COMPUTED_VALUE"""),"PE1215")</f>
        <v>PE1215</v>
      </c>
      <c r="B1216" s="7" t="str">
        <f>IFERROR(__xludf.DUMMYFUNCTION("""COMPUTED_VALUE"""),"S148")</f>
        <v>S148</v>
      </c>
      <c r="C1216" s="7" t="str">
        <f>IFERROR(__xludf.DUMMYFUNCTION("""COMPUTED_VALUE"""),"Supervised Machine Learning (Regression, Classification, SVM)")</f>
        <v>Supervised Machine Learning (Regression, Classification, SVM)</v>
      </c>
      <c r="D1216" s="7" t="str">
        <f>IFERROR(__xludf.DUMMYFUNCTION("""COMPUTED_VALUE"""),"S170")</f>
        <v>S170</v>
      </c>
      <c r="E1216" s="7" t="str">
        <f>IFERROR(__xludf.DUMMYFUNCTION("""COMPUTED_VALUE"""),"Operations Research &amp; Mathematical Optimization (SciPy, OR-Tools)")</f>
        <v>Operations Research &amp; Mathematical Optimization (SciPy, OR-Tools)</v>
      </c>
      <c r="F1216" s="7" t="str">
        <f>IFERROR(__xludf.DUMMYFUNCTION("""COMPUTED_VALUE"""),"S148 unlocks S170")</f>
        <v>S148 unlocks S170</v>
      </c>
    </row>
    <row r="1217">
      <c r="A1217" s="7" t="str">
        <f>IFERROR(__xludf.DUMMYFUNCTION("""COMPUTED_VALUE"""),"PE1216")</f>
        <v>PE1216</v>
      </c>
      <c r="B1217" s="7" t="str">
        <f>IFERROR(__xludf.DUMMYFUNCTION("""COMPUTED_VALUE"""),"S149")</f>
        <v>S149</v>
      </c>
      <c r="C1217" s="7" t="str">
        <f>IFERROR(__xludf.DUMMYFUNCTION("""COMPUTED_VALUE"""),"Ensemble Methods (Random Forests, XGBoost, LightGBM)")</f>
        <v>Ensemble Methods (Random Forests, XGBoost, LightGBM)</v>
      </c>
      <c r="D1217" s="7" t="str">
        <f>IFERROR(__xludf.DUMMYFUNCTION("""COMPUTED_VALUE"""),"S152")</f>
        <v>S152</v>
      </c>
      <c r="E1217" s="7" t="str">
        <f>IFERROR(__xludf.DUMMYFUNCTION("""COMPUTED_VALUE"""),"Time-Series Forecasting (ARIMA, Prophet, LSTM)")</f>
        <v>Time-Series Forecasting (ARIMA, Prophet, LSTM)</v>
      </c>
      <c r="F1217" s="7" t="str">
        <f>IFERROR(__xludf.DUMMYFUNCTION("""COMPUTED_VALUE"""),"S149 unlocks S152")</f>
        <v>S149 unlocks S152</v>
      </c>
    </row>
    <row r="1218">
      <c r="A1218" s="7" t="str">
        <f>IFERROR(__xludf.DUMMYFUNCTION("""COMPUTED_VALUE"""),"PE1217")</f>
        <v>PE1217</v>
      </c>
      <c r="B1218" s="7" t="str">
        <f>IFERROR(__xludf.DUMMYFUNCTION("""COMPUTED_VALUE"""),"S149")</f>
        <v>S149</v>
      </c>
      <c r="C1218" s="7" t="str">
        <f>IFERROR(__xludf.DUMMYFUNCTION("""COMPUTED_VALUE"""),"Ensemble Methods (Random Forests, XGBoost, LightGBM)")</f>
        <v>Ensemble Methods (Random Forests, XGBoost, LightGBM)</v>
      </c>
      <c r="D1218" s="7" t="str">
        <f>IFERROR(__xludf.DUMMYFUNCTION("""COMPUTED_VALUE"""),"S153")</f>
        <v>S153</v>
      </c>
      <c r="E1218" s="7" t="str">
        <f>IFERROR(__xludf.DUMMYFUNCTION("""COMPUTED_VALUE"""),"Recommendation Systems (Collaborative &amp; Content-Based Filtering)")</f>
        <v>Recommendation Systems (Collaborative &amp; Content-Based Filtering)</v>
      </c>
      <c r="F1218" s="7" t="str">
        <f>IFERROR(__xludf.DUMMYFUNCTION("""COMPUTED_VALUE"""),"S149 unlocks S153")</f>
        <v>S149 unlocks S153</v>
      </c>
    </row>
    <row r="1219">
      <c r="A1219" s="7" t="str">
        <f>IFERROR(__xludf.DUMMYFUNCTION("""COMPUTED_VALUE"""),"PE1218")</f>
        <v>PE1218</v>
      </c>
      <c r="B1219" s="7" t="str">
        <f>IFERROR(__xludf.DUMMYFUNCTION("""COMPUTED_VALUE"""),"S149")</f>
        <v>S149</v>
      </c>
      <c r="C1219" s="7" t="str">
        <f>IFERROR(__xludf.DUMMYFUNCTION("""COMPUTED_VALUE"""),"Ensemble Methods (Random Forests, XGBoost, LightGBM)")</f>
        <v>Ensemble Methods (Random Forests, XGBoost, LightGBM)</v>
      </c>
      <c r="D1219" s="7" t="str">
        <f>IFERROR(__xludf.DUMMYFUNCTION("""COMPUTED_VALUE"""),"S155")</f>
        <v>S155</v>
      </c>
      <c r="E1219" s="7" t="str">
        <f>IFERROR(__xludf.DUMMYFUNCTION("""COMPUTED_VALUE"""),"Deep Learning with PyTorch")</f>
        <v>Deep Learning with PyTorch</v>
      </c>
      <c r="F1219" s="7" t="str">
        <f>IFERROR(__xludf.DUMMYFUNCTION("""COMPUTED_VALUE"""),"S149 unlocks S155")</f>
        <v>S149 unlocks S155</v>
      </c>
    </row>
    <row r="1220">
      <c r="A1220" s="7" t="str">
        <f>IFERROR(__xludf.DUMMYFUNCTION("""COMPUTED_VALUE"""),"PE1219")</f>
        <v>PE1219</v>
      </c>
      <c r="B1220" s="7" t="str">
        <f>IFERROR(__xludf.DUMMYFUNCTION("""COMPUTED_VALUE"""),"S149")</f>
        <v>S149</v>
      </c>
      <c r="C1220" s="7" t="str">
        <f>IFERROR(__xludf.DUMMYFUNCTION("""COMPUTED_VALUE"""),"Ensemble Methods (Random Forests, XGBoost, LightGBM)")</f>
        <v>Ensemble Methods (Random Forests, XGBoost, LightGBM)</v>
      </c>
      <c r="D1220" s="7" t="str">
        <f>IFERROR(__xludf.DUMMYFUNCTION("""COMPUTED_VALUE"""),"S156")</f>
        <v>S156</v>
      </c>
      <c r="E1220" s="7" t="str">
        <f>IFERROR(__xludf.DUMMYFUNCTION("""COMPUTED_VALUE"""),"Deep Learning with TensorFlow &amp; Keras")</f>
        <v>Deep Learning with TensorFlow &amp; Keras</v>
      </c>
      <c r="F1220" s="7" t="str">
        <f>IFERROR(__xludf.DUMMYFUNCTION("""COMPUTED_VALUE"""),"S149 unlocks S156")</f>
        <v>S149 unlocks S156</v>
      </c>
    </row>
    <row r="1221">
      <c r="A1221" s="7" t="str">
        <f>IFERROR(__xludf.DUMMYFUNCTION("""COMPUTED_VALUE"""),"PE1220")</f>
        <v>PE1220</v>
      </c>
      <c r="B1221" s="7" t="str">
        <f>IFERROR(__xludf.DUMMYFUNCTION("""COMPUTED_VALUE"""),"S149")</f>
        <v>S149</v>
      </c>
      <c r="C1221" s="7" t="str">
        <f>IFERROR(__xludf.DUMMYFUNCTION("""COMPUTED_VALUE"""),"Ensemble Methods (Random Forests, XGBoost, LightGBM)")</f>
        <v>Ensemble Methods (Random Forests, XGBoost, LightGBM)</v>
      </c>
      <c r="D1221" s="7" t="str">
        <f>IFERROR(__xludf.DUMMYFUNCTION("""COMPUTED_VALUE"""),"S158")</f>
        <v>S158</v>
      </c>
      <c r="E1221" s="7" t="str">
        <f>IFERROR(__xludf.DUMMYFUNCTION("""COMPUTED_VALUE"""),"Transformer Architecture &amp; Attention Mechanisms (Hugging Face)")</f>
        <v>Transformer Architecture &amp; Attention Mechanisms (Hugging Face)</v>
      </c>
      <c r="F1221" s="7" t="str">
        <f>IFERROR(__xludf.DUMMYFUNCTION("""COMPUTED_VALUE"""),"S149 unlocks S158")</f>
        <v>S149 unlocks S158</v>
      </c>
    </row>
    <row r="1222">
      <c r="A1222" s="7" t="str">
        <f>IFERROR(__xludf.DUMMYFUNCTION("""COMPUTED_VALUE"""),"PE1221")</f>
        <v>PE1221</v>
      </c>
      <c r="B1222" s="7" t="str">
        <f>IFERROR(__xludf.DUMMYFUNCTION("""COMPUTED_VALUE"""),"S149")</f>
        <v>S149</v>
      </c>
      <c r="C1222" s="7" t="str">
        <f>IFERROR(__xludf.DUMMYFUNCTION("""COMPUTED_VALUE"""),"Ensemble Methods (Random Forests, XGBoost, LightGBM)")</f>
        <v>Ensemble Methods (Random Forests, XGBoost, LightGBM)</v>
      </c>
      <c r="D1222" s="7" t="str">
        <f>IFERROR(__xludf.DUMMYFUNCTION("""COMPUTED_VALUE"""),"S159")</f>
        <v>S159</v>
      </c>
      <c r="E1222" s="7" t="str">
        <f>IFERROR(__xludf.DUMMYFUNCTION("""COMPUTED_VALUE"""),"Large Language Models (LLMs), Fine-Tuning (LoRA/QLoRA) &amp; Evaluation")</f>
        <v>Large Language Models (LLMs), Fine-Tuning (LoRA/QLoRA) &amp; Evaluation</v>
      </c>
      <c r="F1222" s="7" t="str">
        <f>IFERROR(__xludf.DUMMYFUNCTION("""COMPUTED_VALUE"""),"S149 unlocks S159")</f>
        <v>S149 unlocks S159</v>
      </c>
    </row>
    <row r="1223">
      <c r="A1223" s="7" t="str">
        <f>IFERROR(__xludf.DUMMYFUNCTION("""COMPUTED_VALUE"""),"PE1222")</f>
        <v>PE1222</v>
      </c>
      <c r="B1223" s="7" t="str">
        <f>IFERROR(__xludf.DUMMYFUNCTION("""COMPUTED_VALUE"""),"S149")</f>
        <v>S149</v>
      </c>
      <c r="C1223" s="7" t="str">
        <f>IFERROR(__xludf.DUMMYFUNCTION("""COMPUTED_VALUE"""),"Ensemble Methods (Random Forests, XGBoost, LightGBM)")</f>
        <v>Ensemble Methods (Random Forests, XGBoost, LightGBM)</v>
      </c>
      <c r="D1223" s="7" t="str">
        <f>IFERROR(__xludf.DUMMYFUNCTION("""COMPUTED_VALUE"""),"S160")</f>
        <v>S160</v>
      </c>
      <c r="E1223" s="7" t="str">
        <f>IFERROR(__xludf.DUMMYFUNCTION("""COMPUTED_VALUE"""),"Prompt Engineering, RAG &amp; AI Agents (LangChain, LlamaIndex)")</f>
        <v>Prompt Engineering, RAG &amp; AI Agents (LangChain, LlamaIndex)</v>
      </c>
      <c r="F1223" s="7" t="str">
        <f>IFERROR(__xludf.DUMMYFUNCTION("""COMPUTED_VALUE"""),"S149 unlocks S160")</f>
        <v>S149 unlocks S160</v>
      </c>
    </row>
    <row r="1224">
      <c r="A1224" s="7" t="str">
        <f>IFERROR(__xludf.DUMMYFUNCTION("""COMPUTED_VALUE"""),"PE1223")</f>
        <v>PE1223</v>
      </c>
      <c r="B1224" s="7" t="str">
        <f>IFERROR(__xludf.DUMMYFUNCTION("""COMPUTED_VALUE"""),"S149")</f>
        <v>S149</v>
      </c>
      <c r="C1224" s="7" t="str">
        <f>IFERROR(__xludf.DUMMYFUNCTION("""COMPUTED_VALUE"""),"Ensemble Methods (Random Forests, XGBoost, LightGBM)")</f>
        <v>Ensemble Methods (Random Forests, XGBoost, LightGBM)</v>
      </c>
      <c r="D1224" s="7" t="str">
        <f>IFERROR(__xludf.DUMMYFUNCTION("""COMPUTED_VALUE"""),"S162")</f>
        <v>S162</v>
      </c>
      <c r="E1224" s="7" t="str">
        <f>IFERROR(__xludf.DUMMYFUNCTION("""COMPUTED_VALUE"""),"Convolutional Neural Networks (CNNs) &amp; Object Detection (YOLO)")</f>
        <v>Convolutional Neural Networks (CNNs) &amp; Object Detection (YOLO)</v>
      </c>
      <c r="F1224" s="7" t="str">
        <f>IFERROR(__xludf.DUMMYFUNCTION("""COMPUTED_VALUE"""),"S149 unlocks S162")</f>
        <v>S149 unlocks S162</v>
      </c>
    </row>
    <row r="1225">
      <c r="A1225" s="7" t="str">
        <f>IFERROR(__xludf.DUMMYFUNCTION("""COMPUTED_VALUE"""),"PE1224")</f>
        <v>PE1224</v>
      </c>
      <c r="B1225" s="7" t="str">
        <f>IFERROR(__xludf.DUMMYFUNCTION("""COMPUTED_VALUE"""),"S149")</f>
        <v>S149</v>
      </c>
      <c r="C1225" s="7" t="str">
        <f>IFERROR(__xludf.DUMMYFUNCTION("""COMPUTED_VALUE"""),"Ensemble Methods (Random Forests, XGBoost, LightGBM)")</f>
        <v>Ensemble Methods (Random Forests, XGBoost, LightGBM)</v>
      </c>
      <c r="D1225" s="7" t="str">
        <f>IFERROR(__xludf.DUMMYFUNCTION("""COMPUTED_VALUE"""),"S163")</f>
        <v>S163</v>
      </c>
      <c r="E1225" s="7" t="str">
        <f>IFERROR(__xludf.DUMMYFUNCTION("""COMPUTED_VALUE"""),"Generative AI &amp; Diffusion Models")</f>
        <v>Generative AI &amp; Diffusion Models</v>
      </c>
      <c r="F1225" s="7" t="str">
        <f>IFERROR(__xludf.DUMMYFUNCTION("""COMPUTED_VALUE"""),"S149 unlocks S163")</f>
        <v>S149 unlocks S163</v>
      </c>
    </row>
    <row r="1226">
      <c r="A1226" s="7" t="str">
        <f>IFERROR(__xludf.DUMMYFUNCTION("""COMPUTED_VALUE"""),"PE1225")</f>
        <v>PE1225</v>
      </c>
      <c r="B1226" s="7" t="str">
        <f>IFERROR(__xludf.DUMMYFUNCTION("""COMPUTED_VALUE"""),"S149")</f>
        <v>S149</v>
      </c>
      <c r="C1226" s="7" t="str">
        <f>IFERROR(__xludf.DUMMYFUNCTION("""COMPUTED_VALUE"""),"Ensemble Methods (Random Forests, XGBoost, LightGBM)")</f>
        <v>Ensemble Methods (Random Forests, XGBoost, LightGBM)</v>
      </c>
      <c r="D1226" s="7" t="str">
        <f>IFERROR(__xludf.DUMMYFUNCTION("""COMPUTED_VALUE"""),"S164")</f>
        <v>S164</v>
      </c>
      <c r="E1226" s="7" t="str">
        <f>IFERROR(__xludf.DUMMYFUNCTION("""COMPUTED_VALUE"""),"Reinforcement Learning (Markov Decision Processes, Q-Learning)")</f>
        <v>Reinforcement Learning (Markov Decision Processes, Q-Learning)</v>
      </c>
      <c r="F1226" s="7" t="str">
        <f>IFERROR(__xludf.DUMMYFUNCTION("""COMPUTED_VALUE"""),"S149 unlocks S164")</f>
        <v>S149 unlocks S164</v>
      </c>
    </row>
    <row r="1227">
      <c r="A1227" s="7" t="str">
        <f>IFERROR(__xludf.DUMMYFUNCTION("""COMPUTED_VALUE"""),"PE1226")</f>
        <v>PE1226</v>
      </c>
      <c r="B1227" s="7" t="str">
        <f>IFERROR(__xludf.DUMMYFUNCTION("""COMPUTED_VALUE"""),"S149")</f>
        <v>S149</v>
      </c>
      <c r="C1227" s="7" t="str">
        <f>IFERROR(__xludf.DUMMYFUNCTION("""COMPUTED_VALUE"""),"Ensemble Methods (Random Forests, XGBoost, LightGBM)")</f>
        <v>Ensemble Methods (Random Forests, XGBoost, LightGBM)</v>
      </c>
      <c r="D1227" s="7" t="str">
        <f>IFERROR(__xludf.DUMMYFUNCTION("""COMPUTED_VALUE"""),"S165")</f>
        <v>S165</v>
      </c>
      <c r="E1227" s="7" t="str">
        <f>IFERROR(__xludf.DUMMYFUNCTION("""COMPUTED_VALUE"""),"MLOps &amp; Experiment Tracking (MLflow, Weights &amp; Biases, Kubeflow)")</f>
        <v>MLOps &amp; Experiment Tracking (MLflow, Weights &amp; Biases, Kubeflow)</v>
      </c>
      <c r="F1227" s="7" t="str">
        <f>IFERROR(__xludf.DUMMYFUNCTION("""COMPUTED_VALUE"""),"S149 unlocks S165")</f>
        <v>S149 unlocks S165</v>
      </c>
    </row>
    <row r="1228">
      <c r="A1228" s="7" t="str">
        <f>IFERROR(__xludf.DUMMYFUNCTION("""COMPUTED_VALUE"""),"PE1227")</f>
        <v>PE1227</v>
      </c>
      <c r="B1228" s="7" t="str">
        <f>IFERROR(__xludf.DUMMYFUNCTION("""COMPUTED_VALUE"""),"S149")</f>
        <v>S149</v>
      </c>
      <c r="C1228" s="7" t="str">
        <f>IFERROR(__xludf.DUMMYFUNCTION("""COMPUTED_VALUE"""),"Ensemble Methods (Random Forests, XGBoost, LightGBM)")</f>
        <v>Ensemble Methods (Random Forests, XGBoost, LightGBM)</v>
      </c>
      <c r="D1228" s="7" t="str">
        <f>IFERROR(__xludf.DUMMYFUNCTION("""COMPUTED_VALUE"""),"S166")</f>
        <v>S166</v>
      </c>
      <c r="E122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28" s="7" t="str">
        <f>IFERROR(__xludf.DUMMYFUNCTION("""COMPUTED_VALUE"""),"S149 unlocks S166")</f>
        <v>S149 unlocks S166</v>
      </c>
    </row>
    <row r="1229">
      <c r="A1229" s="7" t="str">
        <f>IFERROR(__xludf.DUMMYFUNCTION("""COMPUTED_VALUE"""),"PE1228")</f>
        <v>PE1228</v>
      </c>
      <c r="B1229" s="7" t="str">
        <f>IFERROR(__xludf.DUMMYFUNCTION("""COMPUTED_VALUE"""),"S149")</f>
        <v>S149</v>
      </c>
      <c r="C1229" s="7" t="str">
        <f>IFERROR(__xludf.DUMMYFUNCTION("""COMPUTED_VALUE"""),"Ensemble Methods (Random Forests, XGBoost, LightGBM)")</f>
        <v>Ensemble Methods (Random Forests, XGBoost, LightGBM)</v>
      </c>
      <c r="D1229" s="7" t="str">
        <f>IFERROR(__xludf.DUMMYFUNCTION("""COMPUTED_VALUE"""),"S168")</f>
        <v>S168</v>
      </c>
      <c r="E1229" s="7" t="str">
        <f>IFERROR(__xludf.DUMMYFUNCTION("""COMPUTED_VALUE"""),"Speech Recognition &amp; Audio Processing (Whisper, Librosa)")</f>
        <v>Speech Recognition &amp; Audio Processing (Whisper, Librosa)</v>
      </c>
      <c r="F1229" s="7" t="str">
        <f>IFERROR(__xludf.DUMMYFUNCTION("""COMPUTED_VALUE"""),"S149 unlocks S168")</f>
        <v>S149 unlocks S168</v>
      </c>
    </row>
    <row r="1230">
      <c r="A1230" s="7" t="str">
        <f>IFERROR(__xludf.DUMMYFUNCTION("""COMPUTED_VALUE"""),"PE1229")</f>
        <v>PE1229</v>
      </c>
      <c r="B1230" s="7" t="str">
        <f>IFERROR(__xludf.DUMMYFUNCTION("""COMPUTED_VALUE"""),"S149")</f>
        <v>S149</v>
      </c>
      <c r="C1230" s="7" t="str">
        <f>IFERROR(__xludf.DUMMYFUNCTION("""COMPUTED_VALUE"""),"Ensemble Methods (Random Forests, XGBoost, LightGBM)")</f>
        <v>Ensemble Methods (Random Forests, XGBoost, LightGBM)</v>
      </c>
      <c r="D1230" s="7" t="str">
        <f>IFERROR(__xludf.DUMMYFUNCTION("""COMPUTED_VALUE"""),"S169")</f>
        <v>S169</v>
      </c>
      <c r="E1230" s="7" t="str">
        <f>IFERROR(__xludf.DUMMYFUNCTION("""COMPUTED_VALUE"""),"Graph Neural Networks (GNNs &amp; PyTorch Geometric)")</f>
        <v>Graph Neural Networks (GNNs &amp; PyTorch Geometric)</v>
      </c>
      <c r="F1230" s="7" t="str">
        <f>IFERROR(__xludf.DUMMYFUNCTION("""COMPUTED_VALUE"""),"S149 unlocks S169")</f>
        <v>S149 unlocks S169</v>
      </c>
    </row>
    <row r="1231">
      <c r="A1231" s="7" t="str">
        <f>IFERROR(__xludf.DUMMYFUNCTION("""COMPUTED_VALUE"""),"PE1230")</f>
        <v>PE1230</v>
      </c>
      <c r="B1231" s="7" t="str">
        <f>IFERROR(__xludf.DUMMYFUNCTION("""COMPUTED_VALUE"""),"S149")</f>
        <v>S149</v>
      </c>
      <c r="C1231" s="7" t="str">
        <f>IFERROR(__xludf.DUMMYFUNCTION("""COMPUTED_VALUE"""),"Ensemble Methods (Random Forests, XGBoost, LightGBM)")</f>
        <v>Ensemble Methods (Random Forests, XGBoost, LightGBM)</v>
      </c>
      <c r="D1231" s="7" t="str">
        <f>IFERROR(__xludf.DUMMYFUNCTION("""COMPUTED_VALUE"""),"S170")</f>
        <v>S170</v>
      </c>
      <c r="E1231" s="7" t="str">
        <f>IFERROR(__xludf.DUMMYFUNCTION("""COMPUTED_VALUE"""),"Operations Research &amp; Mathematical Optimization (SciPy, OR-Tools)")</f>
        <v>Operations Research &amp; Mathematical Optimization (SciPy, OR-Tools)</v>
      </c>
      <c r="F1231" s="7" t="str">
        <f>IFERROR(__xludf.DUMMYFUNCTION("""COMPUTED_VALUE"""),"S149 unlocks S170")</f>
        <v>S149 unlocks S170</v>
      </c>
    </row>
    <row r="1232">
      <c r="A1232" s="7" t="str">
        <f>IFERROR(__xludf.DUMMYFUNCTION("""COMPUTED_VALUE"""),"PE1231")</f>
        <v>PE1231</v>
      </c>
      <c r="B1232" s="7" t="str">
        <f>IFERROR(__xludf.DUMMYFUNCTION("""COMPUTED_VALUE"""),"S150")</f>
        <v>S150</v>
      </c>
      <c r="C1232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2" s="7" t="str">
        <f>IFERROR(__xludf.DUMMYFUNCTION("""COMPUTED_VALUE"""),"S152")</f>
        <v>S152</v>
      </c>
      <c r="E1232" s="7" t="str">
        <f>IFERROR(__xludf.DUMMYFUNCTION("""COMPUTED_VALUE"""),"Time-Series Forecasting (ARIMA, Prophet, LSTM)")</f>
        <v>Time-Series Forecasting (ARIMA, Prophet, LSTM)</v>
      </c>
      <c r="F1232" s="7" t="str">
        <f>IFERROR(__xludf.DUMMYFUNCTION("""COMPUTED_VALUE"""),"S150 unlocks S152")</f>
        <v>S150 unlocks S152</v>
      </c>
    </row>
    <row r="1233">
      <c r="A1233" s="7" t="str">
        <f>IFERROR(__xludf.DUMMYFUNCTION("""COMPUTED_VALUE"""),"PE1232")</f>
        <v>PE1232</v>
      </c>
      <c r="B1233" s="7" t="str">
        <f>IFERROR(__xludf.DUMMYFUNCTION("""COMPUTED_VALUE"""),"S150")</f>
        <v>S150</v>
      </c>
      <c r="C1233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3" s="7" t="str">
        <f>IFERROR(__xludf.DUMMYFUNCTION("""COMPUTED_VALUE"""),"S153")</f>
        <v>S153</v>
      </c>
      <c r="E1233" s="7" t="str">
        <f>IFERROR(__xludf.DUMMYFUNCTION("""COMPUTED_VALUE"""),"Recommendation Systems (Collaborative &amp; Content-Based Filtering)")</f>
        <v>Recommendation Systems (Collaborative &amp; Content-Based Filtering)</v>
      </c>
      <c r="F1233" s="7" t="str">
        <f>IFERROR(__xludf.DUMMYFUNCTION("""COMPUTED_VALUE"""),"S150 unlocks S153")</f>
        <v>S150 unlocks S153</v>
      </c>
    </row>
    <row r="1234">
      <c r="A1234" s="7" t="str">
        <f>IFERROR(__xludf.DUMMYFUNCTION("""COMPUTED_VALUE"""),"PE1233")</f>
        <v>PE1233</v>
      </c>
      <c r="B1234" s="7" t="str">
        <f>IFERROR(__xludf.DUMMYFUNCTION("""COMPUTED_VALUE"""),"S150")</f>
        <v>S150</v>
      </c>
      <c r="C1234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4" s="7" t="str">
        <f>IFERROR(__xludf.DUMMYFUNCTION("""COMPUTED_VALUE"""),"S155")</f>
        <v>S155</v>
      </c>
      <c r="E1234" s="7" t="str">
        <f>IFERROR(__xludf.DUMMYFUNCTION("""COMPUTED_VALUE"""),"Deep Learning with PyTorch")</f>
        <v>Deep Learning with PyTorch</v>
      </c>
      <c r="F1234" s="7" t="str">
        <f>IFERROR(__xludf.DUMMYFUNCTION("""COMPUTED_VALUE"""),"S150 unlocks S155")</f>
        <v>S150 unlocks S155</v>
      </c>
    </row>
    <row r="1235">
      <c r="A1235" s="7" t="str">
        <f>IFERROR(__xludf.DUMMYFUNCTION("""COMPUTED_VALUE"""),"PE1234")</f>
        <v>PE1234</v>
      </c>
      <c r="B1235" s="7" t="str">
        <f>IFERROR(__xludf.DUMMYFUNCTION("""COMPUTED_VALUE"""),"S150")</f>
        <v>S150</v>
      </c>
      <c r="C1235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5" s="7" t="str">
        <f>IFERROR(__xludf.DUMMYFUNCTION("""COMPUTED_VALUE"""),"S156")</f>
        <v>S156</v>
      </c>
      <c r="E1235" s="7" t="str">
        <f>IFERROR(__xludf.DUMMYFUNCTION("""COMPUTED_VALUE"""),"Deep Learning with TensorFlow &amp; Keras")</f>
        <v>Deep Learning with TensorFlow &amp; Keras</v>
      </c>
      <c r="F1235" s="7" t="str">
        <f>IFERROR(__xludf.DUMMYFUNCTION("""COMPUTED_VALUE"""),"S150 unlocks S156")</f>
        <v>S150 unlocks S156</v>
      </c>
    </row>
    <row r="1236">
      <c r="A1236" s="7" t="str">
        <f>IFERROR(__xludf.DUMMYFUNCTION("""COMPUTED_VALUE"""),"PE1235")</f>
        <v>PE1235</v>
      </c>
      <c r="B1236" s="7" t="str">
        <f>IFERROR(__xludf.DUMMYFUNCTION("""COMPUTED_VALUE"""),"S150")</f>
        <v>S150</v>
      </c>
      <c r="C1236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6" s="7" t="str">
        <f>IFERROR(__xludf.DUMMYFUNCTION("""COMPUTED_VALUE"""),"S158")</f>
        <v>S158</v>
      </c>
      <c r="E1236" s="7" t="str">
        <f>IFERROR(__xludf.DUMMYFUNCTION("""COMPUTED_VALUE"""),"Transformer Architecture &amp; Attention Mechanisms (Hugging Face)")</f>
        <v>Transformer Architecture &amp; Attention Mechanisms (Hugging Face)</v>
      </c>
      <c r="F1236" s="7" t="str">
        <f>IFERROR(__xludf.DUMMYFUNCTION("""COMPUTED_VALUE"""),"S150 unlocks S158")</f>
        <v>S150 unlocks S158</v>
      </c>
    </row>
    <row r="1237">
      <c r="A1237" s="7" t="str">
        <f>IFERROR(__xludf.DUMMYFUNCTION("""COMPUTED_VALUE"""),"PE1236")</f>
        <v>PE1236</v>
      </c>
      <c r="B1237" s="7" t="str">
        <f>IFERROR(__xludf.DUMMYFUNCTION("""COMPUTED_VALUE"""),"S150")</f>
        <v>S150</v>
      </c>
      <c r="C1237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7" s="7" t="str">
        <f>IFERROR(__xludf.DUMMYFUNCTION("""COMPUTED_VALUE"""),"S159")</f>
        <v>S159</v>
      </c>
      <c r="E1237" s="7" t="str">
        <f>IFERROR(__xludf.DUMMYFUNCTION("""COMPUTED_VALUE"""),"Large Language Models (LLMs), Fine-Tuning (LoRA/QLoRA) &amp; Evaluation")</f>
        <v>Large Language Models (LLMs), Fine-Tuning (LoRA/QLoRA) &amp; Evaluation</v>
      </c>
      <c r="F1237" s="7" t="str">
        <f>IFERROR(__xludf.DUMMYFUNCTION("""COMPUTED_VALUE"""),"S150 unlocks S159")</f>
        <v>S150 unlocks S159</v>
      </c>
    </row>
    <row r="1238">
      <c r="A1238" s="7" t="str">
        <f>IFERROR(__xludf.DUMMYFUNCTION("""COMPUTED_VALUE"""),"PE1237")</f>
        <v>PE1237</v>
      </c>
      <c r="B1238" s="7" t="str">
        <f>IFERROR(__xludf.DUMMYFUNCTION("""COMPUTED_VALUE"""),"S150")</f>
        <v>S150</v>
      </c>
      <c r="C1238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8" s="7" t="str">
        <f>IFERROR(__xludf.DUMMYFUNCTION("""COMPUTED_VALUE"""),"S160")</f>
        <v>S160</v>
      </c>
      <c r="E1238" s="7" t="str">
        <f>IFERROR(__xludf.DUMMYFUNCTION("""COMPUTED_VALUE"""),"Prompt Engineering, RAG &amp; AI Agents (LangChain, LlamaIndex)")</f>
        <v>Prompt Engineering, RAG &amp; AI Agents (LangChain, LlamaIndex)</v>
      </c>
      <c r="F1238" s="7" t="str">
        <f>IFERROR(__xludf.DUMMYFUNCTION("""COMPUTED_VALUE"""),"S150 unlocks S160")</f>
        <v>S150 unlocks S160</v>
      </c>
    </row>
    <row r="1239">
      <c r="A1239" s="7" t="str">
        <f>IFERROR(__xludf.DUMMYFUNCTION("""COMPUTED_VALUE"""),"PE1238")</f>
        <v>PE1238</v>
      </c>
      <c r="B1239" s="7" t="str">
        <f>IFERROR(__xludf.DUMMYFUNCTION("""COMPUTED_VALUE"""),"S150")</f>
        <v>S150</v>
      </c>
      <c r="C1239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39" s="7" t="str">
        <f>IFERROR(__xludf.DUMMYFUNCTION("""COMPUTED_VALUE"""),"S162")</f>
        <v>S162</v>
      </c>
      <c r="E1239" s="7" t="str">
        <f>IFERROR(__xludf.DUMMYFUNCTION("""COMPUTED_VALUE"""),"Convolutional Neural Networks (CNNs) &amp; Object Detection (YOLO)")</f>
        <v>Convolutional Neural Networks (CNNs) &amp; Object Detection (YOLO)</v>
      </c>
      <c r="F1239" s="7" t="str">
        <f>IFERROR(__xludf.DUMMYFUNCTION("""COMPUTED_VALUE"""),"S150 unlocks S162")</f>
        <v>S150 unlocks S162</v>
      </c>
    </row>
    <row r="1240">
      <c r="A1240" s="7" t="str">
        <f>IFERROR(__xludf.DUMMYFUNCTION("""COMPUTED_VALUE"""),"PE1239")</f>
        <v>PE1239</v>
      </c>
      <c r="B1240" s="7" t="str">
        <f>IFERROR(__xludf.DUMMYFUNCTION("""COMPUTED_VALUE"""),"S150")</f>
        <v>S150</v>
      </c>
      <c r="C1240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0" s="7" t="str">
        <f>IFERROR(__xludf.DUMMYFUNCTION("""COMPUTED_VALUE"""),"S163")</f>
        <v>S163</v>
      </c>
      <c r="E1240" s="7" t="str">
        <f>IFERROR(__xludf.DUMMYFUNCTION("""COMPUTED_VALUE"""),"Generative AI &amp; Diffusion Models")</f>
        <v>Generative AI &amp; Diffusion Models</v>
      </c>
      <c r="F1240" s="7" t="str">
        <f>IFERROR(__xludf.DUMMYFUNCTION("""COMPUTED_VALUE"""),"S150 unlocks S163")</f>
        <v>S150 unlocks S163</v>
      </c>
    </row>
    <row r="1241">
      <c r="A1241" s="7" t="str">
        <f>IFERROR(__xludf.DUMMYFUNCTION("""COMPUTED_VALUE"""),"PE1240")</f>
        <v>PE1240</v>
      </c>
      <c r="B1241" s="7" t="str">
        <f>IFERROR(__xludf.DUMMYFUNCTION("""COMPUTED_VALUE"""),"S150")</f>
        <v>S150</v>
      </c>
      <c r="C1241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1" s="7" t="str">
        <f>IFERROR(__xludf.DUMMYFUNCTION("""COMPUTED_VALUE"""),"S164")</f>
        <v>S164</v>
      </c>
      <c r="E1241" s="7" t="str">
        <f>IFERROR(__xludf.DUMMYFUNCTION("""COMPUTED_VALUE"""),"Reinforcement Learning (Markov Decision Processes, Q-Learning)")</f>
        <v>Reinforcement Learning (Markov Decision Processes, Q-Learning)</v>
      </c>
      <c r="F1241" s="7" t="str">
        <f>IFERROR(__xludf.DUMMYFUNCTION("""COMPUTED_VALUE"""),"S150 unlocks S164")</f>
        <v>S150 unlocks S164</v>
      </c>
    </row>
    <row r="1242">
      <c r="A1242" s="7" t="str">
        <f>IFERROR(__xludf.DUMMYFUNCTION("""COMPUTED_VALUE"""),"PE1241")</f>
        <v>PE1241</v>
      </c>
      <c r="B1242" s="7" t="str">
        <f>IFERROR(__xludf.DUMMYFUNCTION("""COMPUTED_VALUE"""),"S150")</f>
        <v>S150</v>
      </c>
      <c r="C1242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2" s="7" t="str">
        <f>IFERROR(__xludf.DUMMYFUNCTION("""COMPUTED_VALUE"""),"S165")</f>
        <v>S165</v>
      </c>
      <c r="E1242" s="7" t="str">
        <f>IFERROR(__xludf.DUMMYFUNCTION("""COMPUTED_VALUE"""),"MLOps &amp; Experiment Tracking (MLflow, Weights &amp; Biases, Kubeflow)")</f>
        <v>MLOps &amp; Experiment Tracking (MLflow, Weights &amp; Biases, Kubeflow)</v>
      </c>
      <c r="F1242" s="7" t="str">
        <f>IFERROR(__xludf.DUMMYFUNCTION("""COMPUTED_VALUE"""),"S150 unlocks S165")</f>
        <v>S150 unlocks S165</v>
      </c>
    </row>
    <row r="1243">
      <c r="A1243" s="7" t="str">
        <f>IFERROR(__xludf.DUMMYFUNCTION("""COMPUTED_VALUE"""),"PE1242")</f>
        <v>PE1242</v>
      </c>
      <c r="B1243" s="7" t="str">
        <f>IFERROR(__xludf.DUMMYFUNCTION("""COMPUTED_VALUE"""),"S150")</f>
        <v>S150</v>
      </c>
      <c r="C1243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3" s="7" t="str">
        <f>IFERROR(__xludf.DUMMYFUNCTION("""COMPUTED_VALUE"""),"S166")</f>
        <v>S166</v>
      </c>
      <c r="E1243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43" s="7" t="str">
        <f>IFERROR(__xludf.DUMMYFUNCTION("""COMPUTED_VALUE"""),"S150 unlocks S166")</f>
        <v>S150 unlocks S166</v>
      </c>
    </row>
    <row r="1244">
      <c r="A1244" s="7" t="str">
        <f>IFERROR(__xludf.DUMMYFUNCTION("""COMPUTED_VALUE"""),"PE1243")</f>
        <v>PE1243</v>
      </c>
      <c r="B1244" s="7" t="str">
        <f>IFERROR(__xludf.DUMMYFUNCTION("""COMPUTED_VALUE"""),"S150")</f>
        <v>S150</v>
      </c>
      <c r="C1244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4" s="7" t="str">
        <f>IFERROR(__xludf.DUMMYFUNCTION("""COMPUTED_VALUE"""),"S168")</f>
        <v>S168</v>
      </c>
      <c r="E1244" s="7" t="str">
        <f>IFERROR(__xludf.DUMMYFUNCTION("""COMPUTED_VALUE"""),"Speech Recognition &amp; Audio Processing (Whisper, Librosa)")</f>
        <v>Speech Recognition &amp; Audio Processing (Whisper, Librosa)</v>
      </c>
      <c r="F1244" s="7" t="str">
        <f>IFERROR(__xludf.DUMMYFUNCTION("""COMPUTED_VALUE"""),"S150 unlocks S168")</f>
        <v>S150 unlocks S168</v>
      </c>
    </row>
    <row r="1245">
      <c r="A1245" s="7" t="str">
        <f>IFERROR(__xludf.DUMMYFUNCTION("""COMPUTED_VALUE"""),"PE1244")</f>
        <v>PE1244</v>
      </c>
      <c r="B1245" s="7" t="str">
        <f>IFERROR(__xludf.DUMMYFUNCTION("""COMPUTED_VALUE"""),"S150")</f>
        <v>S150</v>
      </c>
      <c r="C1245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5" s="7" t="str">
        <f>IFERROR(__xludf.DUMMYFUNCTION("""COMPUTED_VALUE"""),"S169")</f>
        <v>S169</v>
      </c>
      <c r="E1245" s="7" t="str">
        <f>IFERROR(__xludf.DUMMYFUNCTION("""COMPUTED_VALUE"""),"Graph Neural Networks (GNNs &amp; PyTorch Geometric)")</f>
        <v>Graph Neural Networks (GNNs &amp; PyTorch Geometric)</v>
      </c>
      <c r="F1245" s="7" t="str">
        <f>IFERROR(__xludf.DUMMYFUNCTION("""COMPUTED_VALUE"""),"S150 unlocks S169")</f>
        <v>S150 unlocks S169</v>
      </c>
    </row>
    <row r="1246">
      <c r="A1246" s="7" t="str">
        <f>IFERROR(__xludf.DUMMYFUNCTION("""COMPUTED_VALUE"""),"PE1245")</f>
        <v>PE1245</v>
      </c>
      <c r="B1246" s="7" t="str">
        <f>IFERROR(__xludf.DUMMYFUNCTION("""COMPUTED_VALUE"""),"S150")</f>
        <v>S150</v>
      </c>
      <c r="C1246" s="7" t="str">
        <f>IFERROR(__xludf.DUMMYFUNCTION("""COMPUTED_VALUE"""),"Unsupervised Learning (K-Means, Hierarchical Clustering, Anomaly Detection)")</f>
        <v>Unsupervised Learning (K-Means, Hierarchical Clustering, Anomaly Detection)</v>
      </c>
      <c r="D1246" s="7" t="str">
        <f>IFERROR(__xludf.DUMMYFUNCTION("""COMPUTED_VALUE"""),"S170")</f>
        <v>S170</v>
      </c>
      <c r="E1246" s="7" t="str">
        <f>IFERROR(__xludf.DUMMYFUNCTION("""COMPUTED_VALUE"""),"Operations Research &amp; Mathematical Optimization (SciPy, OR-Tools)")</f>
        <v>Operations Research &amp; Mathematical Optimization (SciPy, OR-Tools)</v>
      </c>
      <c r="F1246" s="7" t="str">
        <f>IFERROR(__xludf.DUMMYFUNCTION("""COMPUTED_VALUE"""),"S150 unlocks S170")</f>
        <v>S150 unlocks S170</v>
      </c>
    </row>
    <row r="1247">
      <c r="A1247" s="7" t="str">
        <f>IFERROR(__xludf.DUMMYFUNCTION("""COMPUTED_VALUE"""),"PE1246")</f>
        <v>PE1246</v>
      </c>
      <c r="B1247" s="7" t="str">
        <f>IFERROR(__xludf.DUMMYFUNCTION("""COMPUTED_VALUE"""),"S151")</f>
        <v>S151</v>
      </c>
      <c r="C1247" s="7" t="str">
        <f>IFERROR(__xludf.DUMMYFUNCTION("""COMPUTED_VALUE"""),"Model Evaluation Metrics, Cross-Validation &amp; Hyperparameter Tuning")</f>
        <v>Model Evaluation Metrics, Cross-Validation &amp; Hyperparameter Tuning</v>
      </c>
      <c r="D1247" s="7" t="str">
        <f>IFERROR(__xludf.DUMMYFUNCTION("""COMPUTED_VALUE"""),"S152")</f>
        <v>S152</v>
      </c>
      <c r="E1247" s="7" t="str">
        <f>IFERROR(__xludf.DUMMYFUNCTION("""COMPUTED_VALUE"""),"Time-Series Forecasting (ARIMA, Prophet, LSTM)")</f>
        <v>Time-Series Forecasting (ARIMA, Prophet, LSTM)</v>
      </c>
      <c r="F1247" s="7" t="str">
        <f>IFERROR(__xludf.DUMMYFUNCTION("""COMPUTED_VALUE"""),"S151 unlocks S152")</f>
        <v>S151 unlocks S152</v>
      </c>
    </row>
    <row r="1248">
      <c r="A1248" s="7" t="str">
        <f>IFERROR(__xludf.DUMMYFUNCTION("""COMPUTED_VALUE"""),"PE1247")</f>
        <v>PE1247</v>
      </c>
      <c r="B1248" s="7" t="str">
        <f>IFERROR(__xludf.DUMMYFUNCTION("""COMPUTED_VALUE"""),"S151")</f>
        <v>S151</v>
      </c>
      <c r="C1248" s="7" t="str">
        <f>IFERROR(__xludf.DUMMYFUNCTION("""COMPUTED_VALUE"""),"Model Evaluation Metrics, Cross-Validation &amp; Hyperparameter Tuning")</f>
        <v>Model Evaluation Metrics, Cross-Validation &amp; Hyperparameter Tuning</v>
      </c>
      <c r="D1248" s="7" t="str">
        <f>IFERROR(__xludf.DUMMYFUNCTION("""COMPUTED_VALUE"""),"S153")</f>
        <v>S153</v>
      </c>
      <c r="E1248" s="7" t="str">
        <f>IFERROR(__xludf.DUMMYFUNCTION("""COMPUTED_VALUE"""),"Recommendation Systems (Collaborative &amp; Content-Based Filtering)")</f>
        <v>Recommendation Systems (Collaborative &amp; Content-Based Filtering)</v>
      </c>
      <c r="F1248" s="7" t="str">
        <f>IFERROR(__xludf.DUMMYFUNCTION("""COMPUTED_VALUE"""),"S151 unlocks S153")</f>
        <v>S151 unlocks S153</v>
      </c>
    </row>
    <row r="1249">
      <c r="A1249" s="7" t="str">
        <f>IFERROR(__xludf.DUMMYFUNCTION("""COMPUTED_VALUE"""),"PE1248")</f>
        <v>PE1248</v>
      </c>
      <c r="B1249" s="7" t="str">
        <f>IFERROR(__xludf.DUMMYFUNCTION("""COMPUTED_VALUE"""),"S151")</f>
        <v>S151</v>
      </c>
      <c r="C1249" s="7" t="str">
        <f>IFERROR(__xludf.DUMMYFUNCTION("""COMPUTED_VALUE"""),"Model Evaluation Metrics, Cross-Validation &amp; Hyperparameter Tuning")</f>
        <v>Model Evaluation Metrics, Cross-Validation &amp; Hyperparameter Tuning</v>
      </c>
      <c r="D1249" s="7" t="str">
        <f>IFERROR(__xludf.DUMMYFUNCTION("""COMPUTED_VALUE"""),"S155")</f>
        <v>S155</v>
      </c>
      <c r="E1249" s="7" t="str">
        <f>IFERROR(__xludf.DUMMYFUNCTION("""COMPUTED_VALUE"""),"Deep Learning with PyTorch")</f>
        <v>Deep Learning with PyTorch</v>
      </c>
      <c r="F1249" s="7" t="str">
        <f>IFERROR(__xludf.DUMMYFUNCTION("""COMPUTED_VALUE"""),"S151 unlocks S155")</f>
        <v>S151 unlocks S155</v>
      </c>
    </row>
    <row r="1250">
      <c r="A1250" s="7" t="str">
        <f>IFERROR(__xludf.DUMMYFUNCTION("""COMPUTED_VALUE"""),"PE1249")</f>
        <v>PE1249</v>
      </c>
      <c r="B1250" s="7" t="str">
        <f>IFERROR(__xludf.DUMMYFUNCTION("""COMPUTED_VALUE"""),"S151")</f>
        <v>S151</v>
      </c>
      <c r="C1250" s="7" t="str">
        <f>IFERROR(__xludf.DUMMYFUNCTION("""COMPUTED_VALUE"""),"Model Evaluation Metrics, Cross-Validation &amp; Hyperparameter Tuning")</f>
        <v>Model Evaluation Metrics, Cross-Validation &amp; Hyperparameter Tuning</v>
      </c>
      <c r="D1250" s="7" t="str">
        <f>IFERROR(__xludf.DUMMYFUNCTION("""COMPUTED_VALUE"""),"S156")</f>
        <v>S156</v>
      </c>
      <c r="E1250" s="7" t="str">
        <f>IFERROR(__xludf.DUMMYFUNCTION("""COMPUTED_VALUE"""),"Deep Learning with TensorFlow &amp; Keras")</f>
        <v>Deep Learning with TensorFlow &amp; Keras</v>
      </c>
      <c r="F1250" s="7" t="str">
        <f>IFERROR(__xludf.DUMMYFUNCTION("""COMPUTED_VALUE"""),"S151 unlocks S156")</f>
        <v>S151 unlocks S156</v>
      </c>
    </row>
    <row r="1251">
      <c r="A1251" s="7" t="str">
        <f>IFERROR(__xludf.DUMMYFUNCTION("""COMPUTED_VALUE"""),"PE1250")</f>
        <v>PE1250</v>
      </c>
      <c r="B1251" s="7" t="str">
        <f>IFERROR(__xludf.DUMMYFUNCTION("""COMPUTED_VALUE"""),"S151")</f>
        <v>S151</v>
      </c>
      <c r="C1251" s="7" t="str">
        <f>IFERROR(__xludf.DUMMYFUNCTION("""COMPUTED_VALUE"""),"Model Evaluation Metrics, Cross-Validation &amp; Hyperparameter Tuning")</f>
        <v>Model Evaluation Metrics, Cross-Validation &amp; Hyperparameter Tuning</v>
      </c>
      <c r="D1251" s="7" t="str">
        <f>IFERROR(__xludf.DUMMYFUNCTION("""COMPUTED_VALUE"""),"S158")</f>
        <v>S158</v>
      </c>
      <c r="E1251" s="7" t="str">
        <f>IFERROR(__xludf.DUMMYFUNCTION("""COMPUTED_VALUE"""),"Transformer Architecture &amp; Attention Mechanisms (Hugging Face)")</f>
        <v>Transformer Architecture &amp; Attention Mechanisms (Hugging Face)</v>
      </c>
      <c r="F1251" s="7" t="str">
        <f>IFERROR(__xludf.DUMMYFUNCTION("""COMPUTED_VALUE"""),"S151 unlocks S158")</f>
        <v>S151 unlocks S158</v>
      </c>
    </row>
    <row r="1252">
      <c r="A1252" s="7" t="str">
        <f>IFERROR(__xludf.DUMMYFUNCTION("""COMPUTED_VALUE"""),"PE1251")</f>
        <v>PE1251</v>
      </c>
      <c r="B1252" s="7" t="str">
        <f>IFERROR(__xludf.DUMMYFUNCTION("""COMPUTED_VALUE"""),"S151")</f>
        <v>S151</v>
      </c>
      <c r="C1252" s="7" t="str">
        <f>IFERROR(__xludf.DUMMYFUNCTION("""COMPUTED_VALUE"""),"Model Evaluation Metrics, Cross-Validation &amp; Hyperparameter Tuning")</f>
        <v>Model Evaluation Metrics, Cross-Validation &amp; Hyperparameter Tuning</v>
      </c>
      <c r="D1252" s="7" t="str">
        <f>IFERROR(__xludf.DUMMYFUNCTION("""COMPUTED_VALUE"""),"S159")</f>
        <v>S159</v>
      </c>
      <c r="E1252" s="7" t="str">
        <f>IFERROR(__xludf.DUMMYFUNCTION("""COMPUTED_VALUE"""),"Large Language Models (LLMs), Fine-Tuning (LoRA/QLoRA) &amp; Evaluation")</f>
        <v>Large Language Models (LLMs), Fine-Tuning (LoRA/QLoRA) &amp; Evaluation</v>
      </c>
      <c r="F1252" s="7" t="str">
        <f>IFERROR(__xludf.DUMMYFUNCTION("""COMPUTED_VALUE"""),"S151 unlocks S159")</f>
        <v>S151 unlocks S159</v>
      </c>
    </row>
    <row r="1253">
      <c r="A1253" s="7" t="str">
        <f>IFERROR(__xludf.DUMMYFUNCTION("""COMPUTED_VALUE"""),"PE1252")</f>
        <v>PE1252</v>
      </c>
      <c r="B1253" s="7" t="str">
        <f>IFERROR(__xludf.DUMMYFUNCTION("""COMPUTED_VALUE"""),"S151")</f>
        <v>S151</v>
      </c>
      <c r="C1253" s="7" t="str">
        <f>IFERROR(__xludf.DUMMYFUNCTION("""COMPUTED_VALUE"""),"Model Evaluation Metrics, Cross-Validation &amp; Hyperparameter Tuning")</f>
        <v>Model Evaluation Metrics, Cross-Validation &amp; Hyperparameter Tuning</v>
      </c>
      <c r="D1253" s="7" t="str">
        <f>IFERROR(__xludf.DUMMYFUNCTION("""COMPUTED_VALUE"""),"S160")</f>
        <v>S160</v>
      </c>
      <c r="E1253" s="7" t="str">
        <f>IFERROR(__xludf.DUMMYFUNCTION("""COMPUTED_VALUE"""),"Prompt Engineering, RAG &amp; AI Agents (LangChain, LlamaIndex)")</f>
        <v>Prompt Engineering, RAG &amp; AI Agents (LangChain, LlamaIndex)</v>
      </c>
      <c r="F1253" s="7" t="str">
        <f>IFERROR(__xludf.DUMMYFUNCTION("""COMPUTED_VALUE"""),"S151 unlocks S160")</f>
        <v>S151 unlocks S160</v>
      </c>
    </row>
    <row r="1254">
      <c r="A1254" s="7" t="str">
        <f>IFERROR(__xludf.DUMMYFUNCTION("""COMPUTED_VALUE"""),"PE1253")</f>
        <v>PE1253</v>
      </c>
      <c r="B1254" s="7" t="str">
        <f>IFERROR(__xludf.DUMMYFUNCTION("""COMPUTED_VALUE"""),"S151")</f>
        <v>S151</v>
      </c>
      <c r="C1254" s="7" t="str">
        <f>IFERROR(__xludf.DUMMYFUNCTION("""COMPUTED_VALUE"""),"Model Evaluation Metrics, Cross-Validation &amp; Hyperparameter Tuning")</f>
        <v>Model Evaluation Metrics, Cross-Validation &amp; Hyperparameter Tuning</v>
      </c>
      <c r="D1254" s="7" t="str">
        <f>IFERROR(__xludf.DUMMYFUNCTION("""COMPUTED_VALUE"""),"S162")</f>
        <v>S162</v>
      </c>
      <c r="E1254" s="7" t="str">
        <f>IFERROR(__xludf.DUMMYFUNCTION("""COMPUTED_VALUE"""),"Convolutional Neural Networks (CNNs) &amp; Object Detection (YOLO)")</f>
        <v>Convolutional Neural Networks (CNNs) &amp; Object Detection (YOLO)</v>
      </c>
      <c r="F1254" s="7" t="str">
        <f>IFERROR(__xludf.DUMMYFUNCTION("""COMPUTED_VALUE"""),"S151 unlocks S162")</f>
        <v>S151 unlocks S162</v>
      </c>
    </row>
    <row r="1255">
      <c r="A1255" s="7" t="str">
        <f>IFERROR(__xludf.DUMMYFUNCTION("""COMPUTED_VALUE"""),"PE1254")</f>
        <v>PE1254</v>
      </c>
      <c r="B1255" s="7" t="str">
        <f>IFERROR(__xludf.DUMMYFUNCTION("""COMPUTED_VALUE"""),"S151")</f>
        <v>S151</v>
      </c>
      <c r="C1255" s="7" t="str">
        <f>IFERROR(__xludf.DUMMYFUNCTION("""COMPUTED_VALUE"""),"Model Evaluation Metrics, Cross-Validation &amp; Hyperparameter Tuning")</f>
        <v>Model Evaluation Metrics, Cross-Validation &amp; Hyperparameter Tuning</v>
      </c>
      <c r="D1255" s="7" t="str">
        <f>IFERROR(__xludf.DUMMYFUNCTION("""COMPUTED_VALUE"""),"S163")</f>
        <v>S163</v>
      </c>
      <c r="E1255" s="7" t="str">
        <f>IFERROR(__xludf.DUMMYFUNCTION("""COMPUTED_VALUE"""),"Generative AI &amp; Diffusion Models")</f>
        <v>Generative AI &amp; Diffusion Models</v>
      </c>
      <c r="F1255" s="7" t="str">
        <f>IFERROR(__xludf.DUMMYFUNCTION("""COMPUTED_VALUE"""),"S151 unlocks S163")</f>
        <v>S151 unlocks S163</v>
      </c>
    </row>
    <row r="1256">
      <c r="A1256" s="7" t="str">
        <f>IFERROR(__xludf.DUMMYFUNCTION("""COMPUTED_VALUE"""),"PE1255")</f>
        <v>PE1255</v>
      </c>
      <c r="B1256" s="7" t="str">
        <f>IFERROR(__xludf.DUMMYFUNCTION("""COMPUTED_VALUE"""),"S151")</f>
        <v>S151</v>
      </c>
      <c r="C1256" s="7" t="str">
        <f>IFERROR(__xludf.DUMMYFUNCTION("""COMPUTED_VALUE"""),"Model Evaluation Metrics, Cross-Validation &amp; Hyperparameter Tuning")</f>
        <v>Model Evaluation Metrics, Cross-Validation &amp; Hyperparameter Tuning</v>
      </c>
      <c r="D1256" s="7" t="str">
        <f>IFERROR(__xludf.DUMMYFUNCTION("""COMPUTED_VALUE"""),"S164")</f>
        <v>S164</v>
      </c>
      <c r="E1256" s="7" t="str">
        <f>IFERROR(__xludf.DUMMYFUNCTION("""COMPUTED_VALUE"""),"Reinforcement Learning (Markov Decision Processes, Q-Learning)")</f>
        <v>Reinforcement Learning (Markov Decision Processes, Q-Learning)</v>
      </c>
      <c r="F1256" s="7" t="str">
        <f>IFERROR(__xludf.DUMMYFUNCTION("""COMPUTED_VALUE"""),"S151 unlocks S164")</f>
        <v>S151 unlocks S164</v>
      </c>
    </row>
    <row r="1257">
      <c r="A1257" s="7" t="str">
        <f>IFERROR(__xludf.DUMMYFUNCTION("""COMPUTED_VALUE"""),"PE1256")</f>
        <v>PE1256</v>
      </c>
      <c r="B1257" s="7" t="str">
        <f>IFERROR(__xludf.DUMMYFUNCTION("""COMPUTED_VALUE"""),"S151")</f>
        <v>S151</v>
      </c>
      <c r="C1257" s="7" t="str">
        <f>IFERROR(__xludf.DUMMYFUNCTION("""COMPUTED_VALUE"""),"Model Evaluation Metrics, Cross-Validation &amp; Hyperparameter Tuning")</f>
        <v>Model Evaluation Metrics, Cross-Validation &amp; Hyperparameter Tuning</v>
      </c>
      <c r="D1257" s="7" t="str">
        <f>IFERROR(__xludf.DUMMYFUNCTION("""COMPUTED_VALUE"""),"S165")</f>
        <v>S165</v>
      </c>
      <c r="E1257" s="7" t="str">
        <f>IFERROR(__xludf.DUMMYFUNCTION("""COMPUTED_VALUE"""),"MLOps &amp; Experiment Tracking (MLflow, Weights &amp; Biases, Kubeflow)")</f>
        <v>MLOps &amp; Experiment Tracking (MLflow, Weights &amp; Biases, Kubeflow)</v>
      </c>
      <c r="F1257" s="7" t="str">
        <f>IFERROR(__xludf.DUMMYFUNCTION("""COMPUTED_VALUE"""),"S151 unlocks S165")</f>
        <v>S151 unlocks S165</v>
      </c>
    </row>
    <row r="1258">
      <c r="A1258" s="7" t="str">
        <f>IFERROR(__xludf.DUMMYFUNCTION("""COMPUTED_VALUE"""),"PE1257")</f>
        <v>PE1257</v>
      </c>
      <c r="B1258" s="7" t="str">
        <f>IFERROR(__xludf.DUMMYFUNCTION("""COMPUTED_VALUE"""),"S151")</f>
        <v>S151</v>
      </c>
      <c r="C1258" s="7" t="str">
        <f>IFERROR(__xludf.DUMMYFUNCTION("""COMPUTED_VALUE"""),"Model Evaluation Metrics, Cross-Validation &amp; Hyperparameter Tuning")</f>
        <v>Model Evaluation Metrics, Cross-Validation &amp; Hyperparameter Tuning</v>
      </c>
      <c r="D1258" s="7" t="str">
        <f>IFERROR(__xludf.DUMMYFUNCTION("""COMPUTED_VALUE"""),"S166")</f>
        <v>S166</v>
      </c>
      <c r="E125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58" s="7" t="str">
        <f>IFERROR(__xludf.DUMMYFUNCTION("""COMPUTED_VALUE"""),"S151 unlocks S166")</f>
        <v>S151 unlocks S166</v>
      </c>
    </row>
    <row r="1259">
      <c r="A1259" s="7" t="str">
        <f>IFERROR(__xludf.DUMMYFUNCTION("""COMPUTED_VALUE"""),"PE1258")</f>
        <v>PE1258</v>
      </c>
      <c r="B1259" s="7" t="str">
        <f>IFERROR(__xludf.DUMMYFUNCTION("""COMPUTED_VALUE"""),"S151")</f>
        <v>S151</v>
      </c>
      <c r="C1259" s="7" t="str">
        <f>IFERROR(__xludf.DUMMYFUNCTION("""COMPUTED_VALUE"""),"Model Evaluation Metrics, Cross-Validation &amp; Hyperparameter Tuning")</f>
        <v>Model Evaluation Metrics, Cross-Validation &amp; Hyperparameter Tuning</v>
      </c>
      <c r="D1259" s="7" t="str">
        <f>IFERROR(__xludf.DUMMYFUNCTION("""COMPUTED_VALUE"""),"S168")</f>
        <v>S168</v>
      </c>
      <c r="E1259" s="7" t="str">
        <f>IFERROR(__xludf.DUMMYFUNCTION("""COMPUTED_VALUE"""),"Speech Recognition &amp; Audio Processing (Whisper, Librosa)")</f>
        <v>Speech Recognition &amp; Audio Processing (Whisper, Librosa)</v>
      </c>
      <c r="F1259" s="7" t="str">
        <f>IFERROR(__xludf.DUMMYFUNCTION("""COMPUTED_VALUE"""),"S151 unlocks S168")</f>
        <v>S151 unlocks S168</v>
      </c>
    </row>
    <row r="1260">
      <c r="A1260" s="7" t="str">
        <f>IFERROR(__xludf.DUMMYFUNCTION("""COMPUTED_VALUE"""),"PE1259")</f>
        <v>PE1259</v>
      </c>
      <c r="B1260" s="7" t="str">
        <f>IFERROR(__xludf.DUMMYFUNCTION("""COMPUTED_VALUE"""),"S151")</f>
        <v>S151</v>
      </c>
      <c r="C1260" s="7" t="str">
        <f>IFERROR(__xludf.DUMMYFUNCTION("""COMPUTED_VALUE"""),"Model Evaluation Metrics, Cross-Validation &amp; Hyperparameter Tuning")</f>
        <v>Model Evaluation Metrics, Cross-Validation &amp; Hyperparameter Tuning</v>
      </c>
      <c r="D1260" s="7" t="str">
        <f>IFERROR(__xludf.DUMMYFUNCTION("""COMPUTED_VALUE"""),"S169")</f>
        <v>S169</v>
      </c>
      <c r="E1260" s="7" t="str">
        <f>IFERROR(__xludf.DUMMYFUNCTION("""COMPUTED_VALUE"""),"Graph Neural Networks (GNNs &amp; PyTorch Geometric)")</f>
        <v>Graph Neural Networks (GNNs &amp; PyTorch Geometric)</v>
      </c>
      <c r="F1260" s="7" t="str">
        <f>IFERROR(__xludf.DUMMYFUNCTION("""COMPUTED_VALUE"""),"S151 unlocks S169")</f>
        <v>S151 unlocks S169</v>
      </c>
    </row>
    <row r="1261">
      <c r="A1261" s="7" t="str">
        <f>IFERROR(__xludf.DUMMYFUNCTION("""COMPUTED_VALUE"""),"PE1260")</f>
        <v>PE1260</v>
      </c>
      <c r="B1261" s="7" t="str">
        <f>IFERROR(__xludf.DUMMYFUNCTION("""COMPUTED_VALUE"""),"S151")</f>
        <v>S151</v>
      </c>
      <c r="C1261" s="7" t="str">
        <f>IFERROR(__xludf.DUMMYFUNCTION("""COMPUTED_VALUE"""),"Model Evaluation Metrics, Cross-Validation &amp; Hyperparameter Tuning")</f>
        <v>Model Evaluation Metrics, Cross-Validation &amp; Hyperparameter Tuning</v>
      </c>
      <c r="D1261" s="7" t="str">
        <f>IFERROR(__xludf.DUMMYFUNCTION("""COMPUTED_VALUE"""),"S170")</f>
        <v>S170</v>
      </c>
      <c r="E1261" s="7" t="str">
        <f>IFERROR(__xludf.DUMMYFUNCTION("""COMPUTED_VALUE"""),"Operations Research &amp; Mathematical Optimization (SciPy, OR-Tools)")</f>
        <v>Operations Research &amp; Mathematical Optimization (SciPy, OR-Tools)</v>
      </c>
      <c r="F1261" s="7" t="str">
        <f>IFERROR(__xludf.DUMMYFUNCTION("""COMPUTED_VALUE"""),"S151 unlocks S170")</f>
        <v>S151 unlocks S170</v>
      </c>
    </row>
    <row r="1262">
      <c r="A1262" s="7" t="str">
        <f>IFERROR(__xludf.DUMMYFUNCTION("""COMPUTED_VALUE"""),"PE1261")</f>
        <v>PE1261</v>
      </c>
      <c r="B1262" s="7" t="str">
        <f>IFERROR(__xludf.DUMMYFUNCTION("""COMPUTED_VALUE"""),"S154")</f>
        <v>S154</v>
      </c>
      <c r="C1262" s="7" t="str">
        <f>IFERROR(__xludf.DUMMYFUNCTION("""COMPUTED_VALUE"""),"Neural Networks &amp; Deep Learning Fundamentals")</f>
        <v>Neural Networks &amp; Deep Learning Fundamentals</v>
      </c>
      <c r="D1262" s="7" t="str">
        <f>IFERROR(__xludf.DUMMYFUNCTION("""COMPUTED_VALUE"""),"S152")</f>
        <v>S152</v>
      </c>
      <c r="E1262" s="7" t="str">
        <f>IFERROR(__xludf.DUMMYFUNCTION("""COMPUTED_VALUE"""),"Time-Series Forecasting (ARIMA, Prophet, LSTM)")</f>
        <v>Time-Series Forecasting (ARIMA, Prophet, LSTM)</v>
      </c>
      <c r="F1262" s="7" t="str">
        <f>IFERROR(__xludf.DUMMYFUNCTION("""COMPUTED_VALUE"""),"S154 unlocks S152")</f>
        <v>S154 unlocks S152</v>
      </c>
    </row>
    <row r="1263">
      <c r="A1263" s="7" t="str">
        <f>IFERROR(__xludf.DUMMYFUNCTION("""COMPUTED_VALUE"""),"PE1262")</f>
        <v>PE1262</v>
      </c>
      <c r="B1263" s="7" t="str">
        <f>IFERROR(__xludf.DUMMYFUNCTION("""COMPUTED_VALUE"""),"S154")</f>
        <v>S154</v>
      </c>
      <c r="C1263" s="7" t="str">
        <f>IFERROR(__xludf.DUMMYFUNCTION("""COMPUTED_VALUE"""),"Neural Networks &amp; Deep Learning Fundamentals")</f>
        <v>Neural Networks &amp; Deep Learning Fundamentals</v>
      </c>
      <c r="D1263" s="7" t="str">
        <f>IFERROR(__xludf.DUMMYFUNCTION("""COMPUTED_VALUE"""),"S153")</f>
        <v>S153</v>
      </c>
      <c r="E1263" s="7" t="str">
        <f>IFERROR(__xludf.DUMMYFUNCTION("""COMPUTED_VALUE"""),"Recommendation Systems (Collaborative &amp; Content-Based Filtering)")</f>
        <v>Recommendation Systems (Collaborative &amp; Content-Based Filtering)</v>
      </c>
      <c r="F1263" s="7" t="str">
        <f>IFERROR(__xludf.DUMMYFUNCTION("""COMPUTED_VALUE"""),"S154 unlocks S153")</f>
        <v>S154 unlocks S153</v>
      </c>
    </row>
    <row r="1264">
      <c r="A1264" s="7" t="str">
        <f>IFERROR(__xludf.DUMMYFUNCTION("""COMPUTED_VALUE"""),"PE1263")</f>
        <v>PE1263</v>
      </c>
      <c r="B1264" s="7" t="str">
        <f>IFERROR(__xludf.DUMMYFUNCTION("""COMPUTED_VALUE"""),"S154")</f>
        <v>S154</v>
      </c>
      <c r="C1264" s="7" t="str">
        <f>IFERROR(__xludf.DUMMYFUNCTION("""COMPUTED_VALUE"""),"Neural Networks &amp; Deep Learning Fundamentals")</f>
        <v>Neural Networks &amp; Deep Learning Fundamentals</v>
      </c>
      <c r="D1264" s="7" t="str">
        <f>IFERROR(__xludf.DUMMYFUNCTION("""COMPUTED_VALUE"""),"S155")</f>
        <v>S155</v>
      </c>
      <c r="E1264" s="7" t="str">
        <f>IFERROR(__xludf.DUMMYFUNCTION("""COMPUTED_VALUE"""),"Deep Learning with PyTorch")</f>
        <v>Deep Learning with PyTorch</v>
      </c>
      <c r="F1264" s="7" t="str">
        <f>IFERROR(__xludf.DUMMYFUNCTION("""COMPUTED_VALUE"""),"S154 unlocks S155")</f>
        <v>S154 unlocks S155</v>
      </c>
    </row>
    <row r="1265">
      <c r="A1265" s="7" t="str">
        <f>IFERROR(__xludf.DUMMYFUNCTION("""COMPUTED_VALUE"""),"PE1264")</f>
        <v>PE1264</v>
      </c>
      <c r="B1265" s="7" t="str">
        <f>IFERROR(__xludf.DUMMYFUNCTION("""COMPUTED_VALUE"""),"S154")</f>
        <v>S154</v>
      </c>
      <c r="C1265" s="7" t="str">
        <f>IFERROR(__xludf.DUMMYFUNCTION("""COMPUTED_VALUE"""),"Neural Networks &amp; Deep Learning Fundamentals")</f>
        <v>Neural Networks &amp; Deep Learning Fundamentals</v>
      </c>
      <c r="D1265" s="7" t="str">
        <f>IFERROR(__xludf.DUMMYFUNCTION("""COMPUTED_VALUE"""),"S156")</f>
        <v>S156</v>
      </c>
      <c r="E1265" s="7" t="str">
        <f>IFERROR(__xludf.DUMMYFUNCTION("""COMPUTED_VALUE"""),"Deep Learning with TensorFlow &amp; Keras")</f>
        <v>Deep Learning with TensorFlow &amp; Keras</v>
      </c>
      <c r="F1265" s="7" t="str">
        <f>IFERROR(__xludf.DUMMYFUNCTION("""COMPUTED_VALUE"""),"S154 unlocks S156")</f>
        <v>S154 unlocks S156</v>
      </c>
    </row>
    <row r="1266">
      <c r="A1266" s="7" t="str">
        <f>IFERROR(__xludf.DUMMYFUNCTION("""COMPUTED_VALUE"""),"PE1265")</f>
        <v>PE1265</v>
      </c>
      <c r="B1266" s="7" t="str">
        <f>IFERROR(__xludf.DUMMYFUNCTION("""COMPUTED_VALUE"""),"S154")</f>
        <v>S154</v>
      </c>
      <c r="C1266" s="7" t="str">
        <f>IFERROR(__xludf.DUMMYFUNCTION("""COMPUTED_VALUE"""),"Neural Networks &amp; Deep Learning Fundamentals")</f>
        <v>Neural Networks &amp; Deep Learning Fundamentals</v>
      </c>
      <c r="D1266" s="7" t="str">
        <f>IFERROR(__xludf.DUMMYFUNCTION("""COMPUTED_VALUE"""),"S158")</f>
        <v>S158</v>
      </c>
      <c r="E1266" s="7" t="str">
        <f>IFERROR(__xludf.DUMMYFUNCTION("""COMPUTED_VALUE"""),"Transformer Architecture &amp; Attention Mechanisms (Hugging Face)")</f>
        <v>Transformer Architecture &amp; Attention Mechanisms (Hugging Face)</v>
      </c>
      <c r="F1266" s="7" t="str">
        <f>IFERROR(__xludf.DUMMYFUNCTION("""COMPUTED_VALUE"""),"S154 unlocks S158")</f>
        <v>S154 unlocks S158</v>
      </c>
    </row>
    <row r="1267">
      <c r="A1267" s="7" t="str">
        <f>IFERROR(__xludf.DUMMYFUNCTION("""COMPUTED_VALUE"""),"PE1266")</f>
        <v>PE1266</v>
      </c>
      <c r="B1267" s="7" t="str">
        <f>IFERROR(__xludf.DUMMYFUNCTION("""COMPUTED_VALUE"""),"S154")</f>
        <v>S154</v>
      </c>
      <c r="C1267" s="7" t="str">
        <f>IFERROR(__xludf.DUMMYFUNCTION("""COMPUTED_VALUE"""),"Neural Networks &amp; Deep Learning Fundamentals")</f>
        <v>Neural Networks &amp; Deep Learning Fundamentals</v>
      </c>
      <c r="D1267" s="7" t="str">
        <f>IFERROR(__xludf.DUMMYFUNCTION("""COMPUTED_VALUE"""),"S159")</f>
        <v>S159</v>
      </c>
      <c r="E1267" s="7" t="str">
        <f>IFERROR(__xludf.DUMMYFUNCTION("""COMPUTED_VALUE"""),"Large Language Models (LLMs), Fine-Tuning (LoRA/QLoRA) &amp; Evaluation")</f>
        <v>Large Language Models (LLMs), Fine-Tuning (LoRA/QLoRA) &amp; Evaluation</v>
      </c>
      <c r="F1267" s="7" t="str">
        <f>IFERROR(__xludf.DUMMYFUNCTION("""COMPUTED_VALUE"""),"S154 unlocks S159")</f>
        <v>S154 unlocks S159</v>
      </c>
    </row>
    <row r="1268">
      <c r="A1268" s="7" t="str">
        <f>IFERROR(__xludf.DUMMYFUNCTION("""COMPUTED_VALUE"""),"PE1267")</f>
        <v>PE1267</v>
      </c>
      <c r="B1268" s="7" t="str">
        <f>IFERROR(__xludf.DUMMYFUNCTION("""COMPUTED_VALUE"""),"S154")</f>
        <v>S154</v>
      </c>
      <c r="C1268" s="7" t="str">
        <f>IFERROR(__xludf.DUMMYFUNCTION("""COMPUTED_VALUE"""),"Neural Networks &amp; Deep Learning Fundamentals")</f>
        <v>Neural Networks &amp; Deep Learning Fundamentals</v>
      </c>
      <c r="D1268" s="7" t="str">
        <f>IFERROR(__xludf.DUMMYFUNCTION("""COMPUTED_VALUE"""),"S160")</f>
        <v>S160</v>
      </c>
      <c r="E1268" s="7" t="str">
        <f>IFERROR(__xludf.DUMMYFUNCTION("""COMPUTED_VALUE"""),"Prompt Engineering, RAG &amp; AI Agents (LangChain, LlamaIndex)")</f>
        <v>Prompt Engineering, RAG &amp; AI Agents (LangChain, LlamaIndex)</v>
      </c>
      <c r="F1268" s="7" t="str">
        <f>IFERROR(__xludf.DUMMYFUNCTION("""COMPUTED_VALUE"""),"S154 unlocks S160")</f>
        <v>S154 unlocks S160</v>
      </c>
    </row>
    <row r="1269">
      <c r="A1269" s="7" t="str">
        <f>IFERROR(__xludf.DUMMYFUNCTION("""COMPUTED_VALUE"""),"PE1268")</f>
        <v>PE1268</v>
      </c>
      <c r="B1269" s="7" t="str">
        <f>IFERROR(__xludf.DUMMYFUNCTION("""COMPUTED_VALUE"""),"S154")</f>
        <v>S154</v>
      </c>
      <c r="C1269" s="7" t="str">
        <f>IFERROR(__xludf.DUMMYFUNCTION("""COMPUTED_VALUE"""),"Neural Networks &amp; Deep Learning Fundamentals")</f>
        <v>Neural Networks &amp; Deep Learning Fundamentals</v>
      </c>
      <c r="D1269" s="7" t="str">
        <f>IFERROR(__xludf.DUMMYFUNCTION("""COMPUTED_VALUE"""),"S162")</f>
        <v>S162</v>
      </c>
      <c r="E1269" s="7" t="str">
        <f>IFERROR(__xludf.DUMMYFUNCTION("""COMPUTED_VALUE"""),"Convolutional Neural Networks (CNNs) &amp; Object Detection (YOLO)")</f>
        <v>Convolutional Neural Networks (CNNs) &amp; Object Detection (YOLO)</v>
      </c>
      <c r="F1269" s="7" t="str">
        <f>IFERROR(__xludf.DUMMYFUNCTION("""COMPUTED_VALUE"""),"S154 unlocks S162")</f>
        <v>S154 unlocks S162</v>
      </c>
    </row>
    <row r="1270">
      <c r="A1270" s="7" t="str">
        <f>IFERROR(__xludf.DUMMYFUNCTION("""COMPUTED_VALUE"""),"PE1269")</f>
        <v>PE1269</v>
      </c>
      <c r="B1270" s="7" t="str">
        <f>IFERROR(__xludf.DUMMYFUNCTION("""COMPUTED_VALUE"""),"S154")</f>
        <v>S154</v>
      </c>
      <c r="C1270" s="7" t="str">
        <f>IFERROR(__xludf.DUMMYFUNCTION("""COMPUTED_VALUE"""),"Neural Networks &amp; Deep Learning Fundamentals")</f>
        <v>Neural Networks &amp; Deep Learning Fundamentals</v>
      </c>
      <c r="D1270" s="7" t="str">
        <f>IFERROR(__xludf.DUMMYFUNCTION("""COMPUTED_VALUE"""),"S163")</f>
        <v>S163</v>
      </c>
      <c r="E1270" s="7" t="str">
        <f>IFERROR(__xludf.DUMMYFUNCTION("""COMPUTED_VALUE"""),"Generative AI &amp; Diffusion Models")</f>
        <v>Generative AI &amp; Diffusion Models</v>
      </c>
      <c r="F1270" s="7" t="str">
        <f>IFERROR(__xludf.DUMMYFUNCTION("""COMPUTED_VALUE"""),"S154 unlocks S163")</f>
        <v>S154 unlocks S163</v>
      </c>
    </row>
    <row r="1271">
      <c r="A1271" s="7" t="str">
        <f>IFERROR(__xludf.DUMMYFUNCTION("""COMPUTED_VALUE"""),"PE1270")</f>
        <v>PE1270</v>
      </c>
      <c r="B1271" s="7" t="str">
        <f>IFERROR(__xludf.DUMMYFUNCTION("""COMPUTED_VALUE"""),"S154")</f>
        <v>S154</v>
      </c>
      <c r="C1271" s="7" t="str">
        <f>IFERROR(__xludf.DUMMYFUNCTION("""COMPUTED_VALUE"""),"Neural Networks &amp; Deep Learning Fundamentals")</f>
        <v>Neural Networks &amp; Deep Learning Fundamentals</v>
      </c>
      <c r="D1271" s="7" t="str">
        <f>IFERROR(__xludf.DUMMYFUNCTION("""COMPUTED_VALUE"""),"S164")</f>
        <v>S164</v>
      </c>
      <c r="E1271" s="7" t="str">
        <f>IFERROR(__xludf.DUMMYFUNCTION("""COMPUTED_VALUE"""),"Reinforcement Learning (Markov Decision Processes, Q-Learning)")</f>
        <v>Reinforcement Learning (Markov Decision Processes, Q-Learning)</v>
      </c>
      <c r="F1271" s="7" t="str">
        <f>IFERROR(__xludf.DUMMYFUNCTION("""COMPUTED_VALUE"""),"S154 unlocks S164")</f>
        <v>S154 unlocks S164</v>
      </c>
    </row>
    <row r="1272">
      <c r="A1272" s="7" t="str">
        <f>IFERROR(__xludf.DUMMYFUNCTION("""COMPUTED_VALUE"""),"PE1271")</f>
        <v>PE1271</v>
      </c>
      <c r="B1272" s="7" t="str">
        <f>IFERROR(__xludf.DUMMYFUNCTION("""COMPUTED_VALUE"""),"S154")</f>
        <v>S154</v>
      </c>
      <c r="C1272" s="7" t="str">
        <f>IFERROR(__xludf.DUMMYFUNCTION("""COMPUTED_VALUE"""),"Neural Networks &amp; Deep Learning Fundamentals")</f>
        <v>Neural Networks &amp; Deep Learning Fundamentals</v>
      </c>
      <c r="D1272" s="7" t="str">
        <f>IFERROR(__xludf.DUMMYFUNCTION("""COMPUTED_VALUE"""),"S165")</f>
        <v>S165</v>
      </c>
      <c r="E1272" s="7" t="str">
        <f>IFERROR(__xludf.DUMMYFUNCTION("""COMPUTED_VALUE"""),"MLOps &amp; Experiment Tracking (MLflow, Weights &amp; Biases, Kubeflow)")</f>
        <v>MLOps &amp; Experiment Tracking (MLflow, Weights &amp; Biases, Kubeflow)</v>
      </c>
      <c r="F1272" s="7" t="str">
        <f>IFERROR(__xludf.DUMMYFUNCTION("""COMPUTED_VALUE"""),"S154 unlocks S165")</f>
        <v>S154 unlocks S165</v>
      </c>
    </row>
    <row r="1273">
      <c r="A1273" s="7" t="str">
        <f>IFERROR(__xludf.DUMMYFUNCTION("""COMPUTED_VALUE"""),"PE1272")</f>
        <v>PE1272</v>
      </c>
      <c r="B1273" s="7" t="str">
        <f>IFERROR(__xludf.DUMMYFUNCTION("""COMPUTED_VALUE"""),"S154")</f>
        <v>S154</v>
      </c>
      <c r="C1273" s="7" t="str">
        <f>IFERROR(__xludf.DUMMYFUNCTION("""COMPUTED_VALUE"""),"Neural Networks &amp; Deep Learning Fundamentals")</f>
        <v>Neural Networks &amp; Deep Learning Fundamentals</v>
      </c>
      <c r="D1273" s="7" t="str">
        <f>IFERROR(__xludf.DUMMYFUNCTION("""COMPUTED_VALUE"""),"S166")</f>
        <v>S166</v>
      </c>
      <c r="E1273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73" s="7" t="str">
        <f>IFERROR(__xludf.DUMMYFUNCTION("""COMPUTED_VALUE"""),"S154 unlocks S166")</f>
        <v>S154 unlocks S166</v>
      </c>
    </row>
    <row r="1274">
      <c r="A1274" s="7" t="str">
        <f>IFERROR(__xludf.DUMMYFUNCTION("""COMPUTED_VALUE"""),"PE1273")</f>
        <v>PE1273</v>
      </c>
      <c r="B1274" s="7" t="str">
        <f>IFERROR(__xludf.DUMMYFUNCTION("""COMPUTED_VALUE"""),"S154")</f>
        <v>S154</v>
      </c>
      <c r="C1274" s="7" t="str">
        <f>IFERROR(__xludf.DUMMYFUNCTION("""COMPUTED_VALUE"""),"Neural Networks &amp; Deep Learning Fundamentals")</f>
        <v>Neural Networks &amp; Deep Learning Fundamentals</v>
      </c>
      <c r="D1274" s="7" t="str">
        <f>IFERROR(__xludf.DUMMYFUNCTION("""COMPUTED_VALUE"""),"S168")</f>
        <v>S168</v>
      </c>
      <c r="E1274" s="7" t="str">
        <f>IFERROR(__xludf.DUMMYFUNCTION("""COMPUTED_VALUE"""),"Speech Recognition &amp; Audio Processing (Whisper, Librosa)")</f>
        <v>Speech Recognition &amp; Audio Processing (Whisper, Librosa)</v>
      </c>
      <c r="F1274" s="7" t="str">
        <f>IFERROR(__xludf.DUMMYFUNCTION("""COMPUTED_VALUE"""),"S154 unlocks S168")</f>
        <v>S154 unlocks S168</v>
      </c>
    </row>
    <row r="1275">
      <c r="A1275" s="7" t="str">
        <f>IFERROR(__xludf.DUMMYFUNCTION("""COMPUTED_VALUE"""),"PE1274")</f>
        <v>PE1274</v>
      </c>
      <c r="B1275" s="7" t="str">
        <f>IFERROR(__xludf.DUMMYFUNCTION("""COMPUTED_VALUE"""),"S154")</f>
        <v>S154</v>
      </c>
      <c r="C1275" s="7" t="str">
        <f>IFERROR(__xludf.DUMMYFUNCTION("""COMPUTED_VALUE"""),"Neural Networks &amp; Deep Learning Fundamentals")</f>
        <v>Neural Networks &amp; Deep Learning Fundamentals</v>
      </c>
      <c r="D1275" s="7" t="str">
        <f>IFERROR(__xludf.DUMMYFUNCTION("""COMPUTED_VALUE"""),"S169")</f>
        <v>S169</v>
      </c>
      <c r="E1275" s="7" t="str">
        <f>IFERROR(__xludf.DUMMYFUNCTION("""COMPUTED_VALUE"""),"Graph Neural Networks (GNNs &amp; PyTorch Geometric)")</f>
        <v>Graph Neural Networks (GNNs &amp; PyTorch Geometric)</v>
      </c>
      <c r="F1275" s="7" t="str">
        <f>IFERROR(__xludf.DUMMYFUNCTION("""COMPUTED_VALUE"""),"S154 unlocks S169")</f>
        <v>S154 unlocks S169</v>
      </c>
    </row>
    <row r="1276">
      <c r="A1276" s="7" t="str">
        <f>IFERROR(__xludf.DUMMYFUNCTION("""COMPUTED_VALUE"""),"PE1275")</f>
        <v>PE1275</v>
      </c>
      <c r="B1276" s="7" t="str">
        <f>IFERROR(__xludf.DUMMYFUNCTION("""COMPUTED_VALUE"""),"S154")</f>
        <v>S154</v>
      </c>
      <c r="C1276" s="7" t="str">
        <f>IFERROR(__xludf.DUMMYFUNCTION("""COMPUTED_VALUE"""),"Neural Networks &amp; Deep Learning Fundamentals")</f>
        <v>Neural Networks &amp; Deep Learning Fundamentals</v>
      </c>
      <c r="D1276" s="7" t="str">
        <f>IFERROR(__xludf.DUMMYFUNCTION("""COMPUTED_VALUE"""),"S170")</f>
        <v>S170</v>
      </c>
      <c r="E1276" s="7" t="str">
        <f>IFERROR(__xludf.DUMMYFUNCTION("""COMPUTED_VALUE"""),"Operations Research &amp; Mathematical Optimization (SciPy, OR-Tools)")</f>
        <v>Operations Research &amp; Mathematical Optimization (SciPy, OR-Tools)</v>
      </c>
      <c r="F1276" s="7" t="str">
        <f>IFERROR(__xludf.DUMMYFUNCTION("""COMPUTED_VALUE"""),"S154 unlocks S170")</f>
        <v>S154 unlocks S170</v>
      </c>
    </row>
    <row r="1277">
      <c r="A1277" s="7" t="str">
        <f>IFERROR(__xludf.DUMMYFUNCTION("""COMPUTED_VALUE"""),"PE1276")</f>
        <v>PE1276</v>
      </c>
      <c r="B1277" s="7" t="str">
        <f>IFERROR(__xludf.DUMMYFUNCTION("""COMPUTED_VALUE"""),"S157")</f>
        <v>S157</v>
      </c>
      <c r="C1277" s="7" t="str">
        <f>IFERROR(__xludf.DUMMYFUNCTION("""COMPUTED_VALUE"""),"Natural Language Processing (Tokenization, Embeddings, SpaCy, NLTK)")</f>
        <v>Natural Language Processing (Tokenization, Embeddings, SpaCy, NLTK)</v>
      </c>
      <c r="D1277" s="7" t="str">
        <f>IFERROR(__xludf.DUMMYFUNCTION("""COMPUTED_VALUE"""),"S152")</f>
        <v>S152</v>
      </c>
      <c r="E1277" s="7" t="str">
        <f>IFERROR(__xludf.DUMMYFUNCTION("""COMPUTED_VALUE"""),"Time-Series Forecasting (ARIMA, Prophet, LSTM)")</f>
        <v>Time-Series Forecasting (ARIMA, Prophet, LSTM)</v>
      </c>
      <c r="F1277" s="7" t="str">
        <f>IFERROR(__xludf.DUMMYFUNCTION("""COMPUTED_VALUE"""),"S157 unlocks S152")</f>
        <v>S157 unlocks S152</v>
      </c>
    </row>
    <row r="1278">
      <c r="A1278" s="7" t="str">
        <f>IFERROR(__xludf.DUMMYFUNCTION("""COMPUTED_VALUE"""),"PE1277")</f>
        <v>PE1277</v>
      </c>
      <c r="B1278" s="7" t="str">
        <f>IFERROR(__xludf.DUMMYFUNCTION("""COMPUTED_VALUE"""),"S157")</f>
        <v>S157</v>
      </c>
      <c r="C1278" s="7" t="str">
        <f>IFERROR(__xludf.DUMMYFUNCTION("""COMPUTED_VALUE"""),"Natural Language Processing (Tokenization, Embeddings, SpaCy, NLTK)")</f>
        <v>Natural Language Processing (Tokenization, Embeddings, SpaCy, NLTK)</v>
      </c>
      <c r="D1278" s="7" t="str">
        <f>IFERROR(__xludf.DUMMYFUNCTION("""COMPUTED_VALUE"""),"S153")</f>
        <v>S153</v>
      </c>
      <c r="E1278" s="7" t="str">
        <f>IFERROR(__xludf.DUMMYFUNCTION("""COMPUTED_VALUE"""),"Recommendation Systems (Collaborative &amp; Content-Based Filtering)")</f>
        <v>Recommendation Systems (Collaborative &amp; Content-Based Filtering)</v>
      </c>
      <c r="F1278" s="7" t="str">
        <f>IFERROR(__xludf.DUMMYFUNCTION("""COMPUTED_VALUE"""),"S157 unlocks S153")</f>
        <v>S157 unlocks S153</v>
      </c>
    </row>
    <row r="1279">
      <c r="A1279" s="7" t="str">
        <f>IFERROR(__xludf.DUMMYFUNCTION("""COMPUTED_VALUE"""),"PE1278")</f>
        <v>PE1278</v>
      </c>
      <c r="B1279" s="7" t="str">
        <f>IFERROR(__xludf.DUMMYFUNCTION("""COMPUTED_VALUE"""),"S157")</f>
        <v>S157</v>
      </c>
      <c r="C1279" s="7" t="str">
        <f>IFERROR(__xludf.DUMMYFUNCTION("""COMPUTED_VALUE"""),"Natural Language Processing (Tokenization, Embeddings, SpaCy, NLTK)")</f>
        <v>Natural Language Processing (Tokenization, Embeddings, SpaCy, NLTK)</v>
      </c>
      <c r="D1279" s="7" t="str">
        <f>IFERROR(__xludf.DUMMYFUNCTION("""COMPUTED_VALUE"""),"S155")</f>
        <v>S155</v>
      </c>
      <c r="E1279" s="7" t="str">
        <f>IFERROR(__xludf.DUMMYFUNCTION("""COMPUTED_VALUE"""),"Deep Learning with PyTorch")</f>
        <v>Deep Learning with PyTorch</v>
      </c>
      <c r="F1279" s="7" t="str">
        <f>IFERROR(__xludf.DUMMYFUNCTION("""COMPUTED_VALUE"""),"S157 unlocks S155")</f>
        <v>S157 unlocks S155</v>
      </c>
    </row>
    <row r="1280">
      <c r="A1280" s="7" t="str">
        <f>IFERROR(__xludf.DUMMYFUNCTION("""COMPUTED_VALUE"""),"PE1279")</f>
        <v>PE1279</v>
      </c>
      <c r="B1280" s="7" t="str">
        <f>IFERROR(__xludf.DUMMYFUNCTION("""COMPUTED_VALUE"""),"S157")</f>
        <v>S157</v>
      </c>
      <c r="C1280" s="7" t="str">
        <f>IFERROR(__xludf.DUMMYFUNCTION("""COMPUTED_VALUE"""),"Natural Language Processing (Tokenization, Embeddings, SpaCy, NLTK)")</f>
        <v>Natural Language Processing (Tokenization, Embeddings, SpaCy, NLTK)</v>
      </c>
      <c r="D1280" s="7" t="str">
        <f>IFERROR(__xludf.DUMMYFUNCTION("""COMPUTED_VALUE"""),"S156")</f>
        <v>S156</v>
      </c>
      <c r="E1280" s="7" t="str">
        <f>IFERROR(__xludf.DUMMYFUNCTION("""COMPUTED_VALUE"""),"Deep Learning with TensorFlow &amp; Keras")</f>
        <v>Deep Learning with TensorFlow &amp; Keras</v>
      </c>
      <c r="F1280" s="7" t="str">
        <f>IFERROR(__xludf.DUMMYFUNCTION("""COMPUTED_VALUE"""),"S157 unlocks S156")</f>
        <v>S157 unlocks S156</v>
      </c>
    </row>
    <row r="1281">
      <c r="A1281" s="7" t="str">
        <f>IFERROR(__xludf.DUMMYFUNCTION("""COMPUTED_VALUE"""),"PE1280")</f>
        <v>PE1280</v>
      </c>
      <c r="B1281" s="7" t="str">
        <f>IFERROR(__xludf.DUMMYFUNCTION("""COMPUTED_VALUE"""),"S157")</f>
        <v>S157</v>
      </c>
      <c r="C1281" s="7" t="str">
        <f>IFERROR(__xludf.DUMMYFUNCTION("""COMPUTED_VALUE"""),"Natural Language Processing (Tokenization, Embeddings, SpaCy, NLTK)")</f>
        <v>Natural Language Processing (Tokenization, Embeddings, SpaCy, NLTK)</v>
      </c>
      <c r="D1281" s="7" t="str">
        <f>IFERROR(__xludf.DUMMYFUNCTION("""COMPUTED_VALUE"""),"S158")</f>
        <v>S158</v>
      </c>
      <c r="E1281" s="7" t="str">
        <f>IFERROR(__xludf.DUMMYFUNCTION("""COMPUTED_VALUE"""),"Transformer Architecture &amp; Attention Mechanisms (Hugging Face)")</f>
        <v>Transformer Architecture &amp; Attention Mechanisms (Hugging Face)</v>
      </c>
      <c r="F1281" s="7" t="str">
        <f>IFERROR(__xludf.DUMMYFUNCTION("""COMPUTED_VALUE"""),"S157 unlocks S158")</f>
        <v>S157 unlocks S158</v>
      </c>
    </row>
    <row r="1282">
      <c r="A1282" s="7" t="str">
        <f>IFERROR(__xludf.DUMMYFUNCTION("""COMPUTED_VALUE"""),"PE1281")</f>
        <v>PE1281</v>
      </c>
      <c r="B1282" s="7" t="str">
        <f>IFERROR(__xludf.DUMMYFUNCTION("""COMPUTED_VALUE"""),"S157")</f>
        <v>S157</v>
      </c>
      <c r="C1282" s="7" t="str">
        <f>IFERROR(__xludf.DUMMYFUNCTION("""COMPUTED_VALUE"""),"Natural Language Processing (Tokenization, Embeddings, SpaCy, NLTK)")</f>
        <v>Natural Language Processing (Tokenization, Embeddings, SpaCy, NLTK)</v>
      </c>
      <c r="D1282" s="7" t="str">
        <f>IFERROR(__xludf.DUMMYFUNCTION("""COMPUTED_VALUE"""),"S159")</f>
        <v>S159</v>
      </c>
      <c r="E1282" s="7" t="str">
        <f>IFERROR(__xludf.DUMMYFUNCTION("""COMPUTED_VALUE"""),"Large Language Models (LLMs), Fine-Tuning (LoRA/QLoRA) &amp; Evaluation")</f>
        <v>Large Language Models (LLMs), Fine-Tuning (LoRA/QLoRA) &amp; Evaluation</v>
      </c>
      <c r="F1282" s="7" t="str">
        <f>IFERROR(__xludf.DUMMYFUNCTION("""COMPUTED_VALUE"""),"S157 unlocks S159")</f>
        <v>S157 unlocks S159</v>
      </c>
    </row>
    <row r="1283">
      <c r="A1283" s="7" t="str">
        <f>IFERROR(__xludf.DUMMYFUNCTION("""COMPUTED_VALUE"""),"PE1282")</f>
        <v>PE1282</v>
      </c>
      <c r="B1283" s="7" t="str">
        <f>IFERROR(__xludf.DUMMYFUNCTION("""COMPUTED_VALUE"""),"S157")</f>
        <v>S157</v>
      </c>
      <c r="C1283" s="7" t="str">
        <f>IFERROR(__xludf.DUMMYFUNCTION("""COMPUTED_VALUE"""),"Natural Language Processing (Tokenization, Embeddings, SpaCy, NLTK)")</f>
        <v>Natural Language Processing (Tokenization, Embeddings, SpaCy, NLTK)</v>
      </c>
      <c r="D1283" s="7" t="str">
        <f>IFERROR(__xludf.DUMMYFUNCTION("""COMPUTED_VALUE"""),"S160")</f>
        <v>S160</v>
      </c>
      <c r="E1283" s="7" t="str">
        <f>IFERROR(__xludf.DUMMYFUNCTION("""COMPUTED_VALUE"""),"Prompt Engineering, RAG &amp; AI Agents (LangChain, LlamaIndex)")</f>
        <v>Prompt Engineering, RAG &amp; AI Agents (LangChain, LlamaIndex)</v>
      </c>
      <c r="F1283" s="7" t="str">
        <f>IFERROR(__xludf.DUMMYFUNCTION("""COMPUTED_VALUE"""),"S157 unlocks S160")</f>
        <v>S157 unlocks S160</v>
      </c>
    </row>
    <row r="1284">
      <c r="A1284" s="7" t="str">
        <f>IFERROR(__xludf.DUMMYFUNCTION("""COMPUTED_VALUE"""),"PE1283")</f>
        <v>PE1283</v>
      </c>
      <c r="B1284" s="7" t="str">
        <f>IFERROR(__xludf.DUMMYFUNCTION("""COMPUTED_VALUE"""),"S157")</f>
        <v>S157</v>
      </c>
      <c r="C1284" s="7" t="str">
        <f>IFERROR(__xludf.DUMMYFUNCTION("""COMPUTED_VALUE"""),"Natural Language Processing (Tokenization, Embeddings, SpaCy, NLTK)")</f>
        <v>Natural Language Processing (Tokenization, Embeddings, SpaCy, NLTK)</v>
      </c>
      <c r="D1284" s="7" t="str">
        <f>IFERROR(__xludf.DUMMYFUNCTION("""COMPUTED_VALUE"""),"S162")</f>
        <v>S162</v>
      </c>
      <c r="E1284" s="7" t="str">
        <f>IFERROR(__xludf.DUMMYFUNCTION("""COMPUTED_VALUE"""),"Convolutional Neural Networks (CNNs) &amp; Object Detection (YOLO)")</f>
        <v>Convolutional Neural Networks (CNNs) &amp; Object Detection (YOLO)</v>
      </c>
      <c r="F1284" s="7" t="str">
        <f>IFERROR(__xludf.DUMMYFUNCTION("""COMPUTED_VALUE"""),"S157 unlocks S162")</f>
        <v>S157 unlocks S162</v>
      </c>
    </row>
    <row r="1285">
      <c r="A1285" s="7" t="str">
        <f>IFERROR(__xludf.DUMMYFUNCTION("""COMPUTED_VALUE"""),"PE1284")</f>
        <v>PE1284</v>
      </c>
      <c r="B1285" s="7" t="str">
        <f>IFERROR(__xludf.DUMMYFUNCTION("""COMPUTED_VALUE"""),"S157")</f>
        <v>S157</v>
      </c>
      <c r="C1285" s="7" t="str">
        <f>IFERROR(__xludf.DUMMYFUNCTION("""COMPUTED_VALUE"""),"Natural Language Processing (Tokenization, Embeddings, SpaCy, NLTK)")</f>
        <v>Natural Language Processing (Tokenization, Embeddings, SpaCy, NLTK)</v>
      </c>
      <c r="D1285" s="7" t="str">
        <f>IFERROR(__xludf.DUMMYFUNCTION("""COMPUTED_VALUE"""),"S163")</f>
        <v>S163</v>
      </c>
      <c r="E1285" s="7" t="str">
        <f>IFERROR(__xludf.DUMMYFUNCTION("""COMPUTED_VALUE"""),"Generative AI &amp; Diffusion Models")</f>
        <v>Generative AI &amp; Diffusion Models</v>
      </c>
      <c r="F1285" s="7" t="str">
        <f>IFERROR(__xludf.DUMMYFUNCTION("""COMPUTED_VALUE"""),"S157 unlocks S163")</f>
        <v>S157 unlocks S163</v>
      </c>
    </row>
    <row r="1286">
      <c r="A1286" s="7" t="str">
        <f>IFERROR(__xludf.DUMMYFUNCTION("""COMPUTED_VALUE"""),"PE1285")</f>
        <v>PE1285</v>
      </c>
      <c r="B1286" s="7" t="str">
        <f>IFERROR(__xludf.DUMMYFUNCTION("""COMPUTED_VALUE"""),"S157")</f>
        <v>S157</v>
      </c>
      <c r="C1286" s="7" t="str">
        <f>IFERROR(__xludf.DUMMYFUNCTION("""COMPUTED_VALUE"""),"Natural Language Processing (Tokenization, Embeddings, SpaCy, NLTK)")</f>
        <v>Natural Language Processing (Tokenization, Embeddings, SpaCy, NLTK)</v>
      </c>
      <c r="D1286" s="7" t="str">
        <f>IFERROR(__xludf.DUMMYFUNCTION("""COMPUTED_VALUE"""),"S164")</f>
        <v>S164</v>
      </c>
      <c r="E1286" s="7" t="str">
        <f>IFERROR(__xludf.DUMMYFUNCTION("""COMPUTED_VALUE"""),"Reinforcement Learning (Markov Decision Processes, Q-Learning)")</f>
        <v>Reinforcement Learning (Markov Decision Processes, Q-Learning)</v>
      </c>
      <c r="F1286" s="7" t="str">
        <f>IFERROR(__xludf.DUMMYFUNCTION("""COMPUTED_VALUE"""),"S157 unlocks S164")</f>
        <v>S157 unlocks S164</v>
      </c>
    </row>
    <row r="1287">
      <c r="A1287" s="7" t="str">
        <f>IFERROR(__xludf.DUMMYFUNCTION("""COMPUTED_VALUE"""),"PE1286")</f>
        <v>PE1286</v>
      </c>
      <c r="B1287" s="7" t="str">
        <f>IFERROR(__xludf.DUMMYFUNCTION("""COMPUTED_VALUE"""),"S157")</f>
        <v>S157</v>
      </c>
      <c r="C1287" s="7" t="str">
        <f>IFERROR(__xludf.DUMMYFUNCTION("""COMPUTED_VALUE"""),"Natural Language Processing (Tokenization, Embeddings, SpaCy, NLTK)")</f>
        <v>Natural Language Processing (Tokenization, Embeddings, SpaCy, NLTK)</v>
      </c>
      <c r="D1287" s="7" t="str">
        <f>IFERROR(__xludf.DUMMYFUNCTION("""COMPUTED_VALUE"""),"S165")</f>
        <v>S165</v>
      </c>
      <c r="E1287" s="7" t="str">
        <f>IFERROR(__xludf.DUMMYFUNCTION("""COMPUTED_VALUE"""),"MLOps &amp; Experiment Tracking (MLflow, Weights &amp; Biases, Kubeflow)")</f>
        <v>MLOps &amp; Experiment Tracking (MLflow, Weights &amp; Biases, Kubeflow)</v>
      </c>
      <c r="F1287" s="7" t="str">
        <f>IFERROR(__xludf.DUMMYFUNCTION("""COMPUTED_VALUE"""),"S157 unlocks S165")</f>
        <v>S157 unlocks S165</v>
      </c>
    </row>
    <row r="1288">
      <c r="A1288" s="7" t="str">
        <f>IFERROR(__xludf.DUMMYFUNCTION("""COMPUTED_VALUE"""),"PE1287")</f>
        <v>PE1287</v>
      </c>
      <c r="B1288" s="7" t="str">
        <f>IFERROR(__xludf.DUMMYFUNCTION("""COMPUTED_VALUE"""),"S157")</f>
        <v>S157</v>
      </c>
      <c r="C1288" s="7" t="str">
        <f>IFERROR(__xludf.DUMMYFUNCTION("""COMPUTED_VALUE"""),"Natural Language Processing (Tokenization, Embeddings, SpaCy, NLTK)")</f>
        <v>Natural Language Processing (Tokenization, Embeddings, SpaCy, NLTK)</v>
      </c>
      <c r="D1288" s="7" t="str">
        <f>IFERROR(__xludf.DUMMYFUNCTION("""COMPUTED_VALUE"""),"S166")</f>
        <v>S166</v>
      </c>
      <c r="E128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288" s="7" t="str">
        <f>IFERROR(__xludf.DUMMYFUNCTION("""COMPUTED_VALUE"""),"S157 unlocks S166")</f>
        <v>S157 unlocks S166</v>
      </c>
    </row>
    <row r="1289">
      <c r="A1289" s="7" t="str">
        <f>IFERROR(__xludf.DUMMYFUNCTION("""COMPUTED_VALUE"""),"PE1288")</f>
        <v>PE1288</v>
      </c>
      <c r="B1289" s="7" t="str">
        <f>IFERROR(__xludf.DUMMYFUNCTION("""COMPUTED_VALUE"""),"S157")</f>
        <v>S157</v>
      </c>
      <c r="C1289" s="7" t="str">
        <f>IFERROR(__xludf.DUMMYFUNCTION("""COMPUTED_VALUE"""),"Natural Language Processing (Tokenization, Embeddings, SpaCy, NLTK)")</f>
        <v>Natural Language Processing (Tokenization, Embeddings, SpaCy, NLTK)</v>
      </c>
      <c r="D1289" s="7" t="str">
        <f>IFERROR(__xludf.DUMMYFUNCTION("""COMPUTED_VALUE"""),"S168")</f>
        <v>S168</v>
      </c>
      <c r="E1289" s="7" t="str">
        <f>IFERROR(__xludf.DUMMYFUNCTION("""COMPUTED_VALUE"""),"Speech Recognition &amp; Audio Processing (Whisper, Librosa)")</f>
        <v>Speech Recognition &amp; Audio Processing (Whisper, Librosa)</v>
      </c>
      <c r="F1289" s="7" t="str">
        <f>IFERROR(__xludf.DUMMYFUNCTION("""COMPUTED_VALUE"""),"S157 unlocks S168")</f>
        <v>S157 unlocks S168</v>
      </c>
    </row>
    <row r="1290">
      <c r="A1290" s="7" t="str">
        <f>IFERROR(__xludf.DUMMYFUNCTION("""COMPUTED_VALUE"""),"PE1289")</f>
        <v>PE1289</v>
      </c>
      <c r="B1290" s="7" t="str">
        <f>IFERROR(__xludf.DUMMYFUNCTION("""COMPUTED_VALUE"""),"S157")</f>
        <v>S157</v>
      </c>
      <c r="C1290" s="7" t="str">
        <f>IFERROR(__xludf.DUMMYFUNCTION("""COMPUTED_VALUE"""),"Natural Language Processing (Tokenization, Embeddings, SpaCy, NLTK)")</f>
        <v>Natural Language Processing (Tokenization, Embeddings, SpaCy, NLTK)</v>
      </c>
      <c r="D1290" s="7" t="str">
        <f>IFERROR(__xludf.DUMMYFUNCTION("""COMPUTED_VALUE"""),"S169")</f>
        <v>S169</v>
      </c>
      <c r="E1290" s="7" t="str">
        <f>IFERROR(__xludf.DUMMYFUNCTION("""COMPUTED_VALUE"""),"Graph Neural Networks (GNNs &amp; PyTorch Geometric)")</f>
        <v>Graph Neural Networks (GNNs &amp; PyTorch Geometric)</v>
      </c>
      <c r="F1290" s="7" t="str">
        <f>IFERROR(__xludf.DUMMYFUNCTION("""COMPUTED_VALUE"""),"S157 unlocks S169")</f>
        <v>S157 unlocks S169</v>
      </c>
    </row>
    <row r="1291">
      <c r="A1291" s="7" t="str">
        <f>IFERROR(__xludf.DUMMYFUNCTION("""COMPUTED_VALUE"""),"PE1290")</f>
        <v>PE1290</v>
      </c>
      <c r="B1291" s="7" t="str">
        <f>IFERROR(__xludf.DUMMYFUNCTION("""COMPUTED_VALUE"""),"S157")</f>
        <v>S157</v>
      </c>
      <c r="C1291" s="7" t="str">
        <f>IFERROR(__xludf.DUMMYFUNCTION("""COMPUTED_VALUE"""),"Natural Language Processing (Tokenization, Embeddings, SpaCy, NLTK)")</f>
        <v>Natural Language Processing (Tokenization, Embeddings, SpaCy, NLTK)</v>
      </c>
      <c r="D1291" s="7" t="str">
        <f>IFERROR(__xludf.DUMMYFUNCTION("""COMPUTED_VALUE"""),"S170")</f>
        <v>S170</v>
      </c>
      <c r="E1291" s="7" t="str">
        <f>IFERROR(__xludf.DUMMYFUNCTION("""COMPUTED_VALUE"""),"Operations Research &amp; Mathematical Optimization (SciPy, OR-Tools)")</f>
        <v>Operations Research &amp; Mathematical Optimization (SciPy, OR-Tools)</v>
      </c>
      <c r="F1291" s="7" t="str">
        <f>IFERROR(__xludf.DUMMYFUNCTION("""COMPUTED_VALUE"""),"S157 unlocks S170")</f>
        <v>S157 unlocks S170</v>
      </c>
    </row>
    <row r="1292">
      <c r="A1292" s="7" t="str">
        <f>IFERROR(__xludf.DUMMYFUNCTION("""COMPUTED_VALUE"""),"PE1291")</f>
        <v>PE1291</v>
      </c>
      <c r="B1292" s="7" t="str">
        <f>IFERROR(__xludf.DUMMYFUNCTION("""COMPUTED_VALUE"""),"S161")</f>
        <v>S161</v>
      </c>
      <c r="C1292" s="7" t="str">
        <f>IFERROR(__xludf.DUMMYFUNCTION("""COMPUTED_VALUE"""),"Computer Vision &amp; Image Processing (OpenCV)")</f>
        <v>Computer Vision &amp; Image Processing (OpenCV)</v>
      </c>
      <c r="D1292" s="7" t="str">
        <f>IFERROR(__xludf.DUMMYFUNCTION("""COMPUTED_VALUE"""),"S152")</f>
        <v>S152</v>
      </c>
      <c r="E1292" s="7" t="str">
        <f>IFERROR(__xludf.DUMMYFUNCTION("""COMPUTED_VALUE"""),"Time-Series Forecasting (ARIMA, Prophet, LSTM)")</f>
        <v>Time-Series Forecasting (ARIMA, Prophet, LSTM)</v>
      </c>
      <c r="F1292" s="7" t="str">
        <f>IFERROR(__xludf.DUMMYFUNCTION("""COMPUTED_VALUE"""),"S161 unlocks S152")</f>
        <v>S161 unlocks S152</v>
      </c>
    </row>
    <row r="1293">
      <c r="A1293" s="7" t="str">
        <f>IFERROR(__xludf.DUMMYFUNCTION("""COMPUTED_VALUE"""),"PE1292")</f>
        <v>PE1292</v>
      </c>
      <c r="B1293" s="7" t="str">
        <f>IFERROR(__xludf.DUMMYFUNCTION("""COMPUTED_VALUE"""),"S161")</f>
        <v>S161</v>
      </c>
      <c r="C1293" s="7" t="str">
        <f>IFERROR(__xludf.DUMMYFUNCTION("""COMPUTED_VALUE"""),"Computer Vision &amp; Image Processing (OpenCV)")</f>
        <v>Computer Vision &amp; Image Processing (OpenCV)</v>
      </c>
      <c r="D1293" s="7" t="str">
        <f>IFERROR(__xludf.DUMMYFUNCTION("""COMPUTED_VALUE"""),"S153")</f>
        <v>S153</v>
      </c>
      <c r="E1293" s="7" t="str">
        <f>IFERROR(__xludf.DUMMYFUNCTION("""COMPUTED_VALUE"""),"Recommendation Systems (Collaborative &amp; Content-Based Filtering)")</f>
        <v>Recommendation Systems (Collaborative &amp; Content-Based Filtering)</v>
      </c>
      <c r="F1293" s="7" t="str">
        <f>IFERROR(__xludf.DUMMYFUNCTION("""COMPUTED_VALUE"""),"S161 unlocks S153")</f>
        <v>S161 unlocks S153</v>
      </c>
    </row>
    <row r="1294">
      <c r="A1294" s="7" t="str">
        <f>IFERROR(__xludf.DUMMYFUNCTION("""COMPUTED_VALUE"""),"PE1293")</f>
        <v>PE1293</v>
      </c>
      <c r="B1294" s="7" t="str">
        <f>IFERROR(__xludf.DUMMYFUNCTION("""COMPUTED_VALUE"""),"S161")</f>
        <v>S161</v>
      </c>
      <c r="C1294" s="7" t="str">
        <f>IFERROR(__xludf.DUMMYFUNCTION("""COMPUTED_VALUE"""),"Computer Vision &amp; Image Processing (OpenCV)")</f>
        <v>Computer Vision &amp; Image Processing (OpenCV)</v>
      </c>
      <c r="D1294" s="7" t="str">
        <f>IFERROR(__xludf.DUMMYFUNCTION("""COMPUTED_VALUE"""),"S155")</f>
        <v>S155</v>
      </c>
      <c r="E1294" s="7" t="str">
        <f>IFERROR(__xludf.DUMMYFUNCTION("""COMPUTED_VALUE"""),"Deep Learning with PyTorch")</f>
        <v>Deep Learning with PyTorch</v>
      </c>
      <c r="F1294" s="7" t="str">
        <f>IFERROR(__xludf.DUMMYFUNCTION("""COMPUTED_VALUE"""),"S161 unlocks S155")</f>
        <v>S161 unlocks S155</v>
      </c>
    </row>
    <row r="1295">
      <c r="A1295" s="7" t="str">
        <f>IFERROR(__xludf.DUMMYFUNCTION("""COMPUTED_VALUE"""),"PE1294")</f>
        <v>PE1294</v>
      </c>
      <c r="B1295" s="7" t="str">
        <f>IFERROR(__xludf.DUMMYFUNCTION("""COMPUTED_VALUE"""),"S161")</f>
        <v>S161</v>
      </c>
      <c r="C1295" s="7" t="str">
        <f>IFERROR(__xludf.DUMMYFUNCTION("""COMPUTED_VALUE"""),"Computer Vision &amp; Image Processing (OpenCV)")</f>
        <v>Computer Vision &amp; Image Processing (OpenCV)</v>
      </c>
      <c r="D1295" s="7" t="str">
        <f>IFERROR(__xludf.DUMMYFUNCTION("""COMPUTED_VALUE"""),"S156")</f>
        <v>S156</v>
      </c>
      <c r="E1295" s="7" t="str">
        <f>IFERROR(__xludf.DUMMYFUNCTION("""COMPUTED_VALUE"""),"Deep Learning with TensorFlow &amp; Keras")</f>
        <v>Deep Learning with TensorFlow &amp; Keras</v>
      </c>
      <c r="F1295" s="7" t="str">
        <f>IFERROR(__xludf.DUMMYFUNCTION("""COMPUTED_VALUE"""),"S161 unlocks S156")</f>
        <v>S161 unlocks S156</v>
      </c>
    </row>
    <row r="1296">
      <c r="A1296" s="7" t="str">
        <f>IFERROR(__xludf.DUMMYFUNCTION("""COMPUTED_VALUE"""),"PE1295")</f>
        <v>PE1295</v>
      </c>
      <c r="B1296" s="7" t="str">
        <f>IFERROR(__xludf.DUMMYFUNCTION("""COMPUTED_VALUE"""),"S161")</f>
        <v>S161</v>
      </c>
      <c r="C1296" s="7" t="str">
        <f>IFERROR(__xludf.DUMMYFUNCTION("""COMPUTED_VALUE"""),"Computer Vision &amp; Image Processing (OpenCV)")</f>
        <v>Computer Vision &amp; Image Processing (OpenCV)</v>
      </c>
      <c r="D1296" s="7" t="str">
        <f>IFERROR(__xludf.DUMMYFUNCTION("""COMPUTED_VALUE"""),"S158")</f>
        <v>S158</v>
      </c>
      <c r="E1296" s="7" t="str">
        <f>IFERROR(__xludf.DUMMYFUNCTION("""COMPUTED_VALUE"""),"Transformer Architecture &amp; Attention Mechanisms (Hugging Face)")</f>
        <v>Transformer Architecture &amp; Attention Mechanisms (Hugging Face)</v>
      </c>
      <c r="F1296" s="7" t="str">
        <f>IFERROR(__xludf.DUMMYFUNCTION("""COMPUTED_VALUE"""),"S161 unlocks S158")</f>
        <v>S161 unlocks S158</v>
      </c>
    </row>
    <row r="1297">
      <c r="A1297" s="7" t="str">
        <f>IFERROR(__xludf.DUMMYFUNCTION("""COMPUTED_VALUE"""),"PE1296")</f>
        <v>PE1296</v>
      </c>
      <c r="B1297" s="7" t="str">
        <f>IFERROR(__xludf.DUMMYFUNCTION("""COMPUTED_VALUE"""),"S161")</f>
        <v>S161</v>
      </c>
      <c r="C1297" s="7" t="str">
        <f>IFERROR(__xludf.DUMMYFUNCTION("""COMPUTED_VALUE"""),"Computer Vision &amp; Image Processing (OpenCV)")</f>
        <v>Computer Vision &amp; Image Processing (OpenCV)</v>
      </c>
      <c r="D1297" s="7" t="str">
        <f>IFERROR(__xludf.DUMMYFUNCTION("""COMPUTED_VALUE"""),"S159")</f>
        <v>S159</v>
      </c>
      <c r="E1297" s="7" t="str">
        <f>IFERROR(__xludf.DUMMYFUNCTION("""COMPUTED_VALUE"""),"Large Language Models (LLMs), Fine-Tuning (LoRA/QLoRA) &amp; Evaluation")</f>
        <v>Large Language Models (LLMs), Fine-Tuning (LoRA/QLoRA) &amp; Evaluation</v>
      </c>
      <c r="F1297" s="7" t="str">
        <f>IFERROR(__xludf.DUMMYFUNCTION("""COMPUTED_VALUE"""),"S161 unlocks S159")</f>
        <v>S161 unlocks S159</v>
      </c>
    </row>
    <row r="1298">
      <c r="A1298" s="7" t="str">
        <f>IFERROR(__xludf.DUMMYFUNCTION("""COMPUTED_VALUE"""),"PE1297")</f>
        <v>PE1297</v>
      </c>
      <c r="B1298" s="7" t="str">
        <f>IFERROR(__xludf.DUMMYFUNCTION("""COMPUTED_VALUE"""),"S161")</f>
        <v>S161</v>
      </c>
      <c r="C1298" s="7" t="str">
        <f>IFERROR(__xludf.DUMMYFUNCTION("""COMPUTED_VALUE"""),"Computer Vision &amp; Image Processing (OpenCV)")</f>
        <v>Computer Vision &amp; Image Processing (OpenCV)</v>
      </c>
      <c r="D1298" s="7" t="str">
        <f>IFERROR(__xludf.DUMMYFUNCTION("""COMPUTED_VALUE"""),"S160")</f>
        <v>S160</v>
      </c>
      <c r="E1298" s="7" t="str">
        <f>IFERROR(__xludf.DUMMYFUNCTION("""COMPUTED_VALUE"""),"Prompt Engineering, RAG &amp; AI Agents (LangChain, LlamaIndex)")</f>
        <v>Prompt Engineering, RAG &amp; AI Agents (LangChain, LlamaIndex)</v>
      </c>
      <c r="F1298" s="7" t="str">
        <f>IFERROR(__xludf.DUMMYFUNCTION("""COMPUTED_VALUE"""),"S161 unlocks S160")</f>
        <v>S161 unlocks S160</v>
      </c>
    </row>
    <row r="1299">
      <c r="A1299" s="7" t="str">
        <f>IFERROR(__xludf.DUMMYFUNCTION("""COMPUTED_VALUE"""),"PE1298")</f>
        <v>PE1298</v>
      </c>
      <c r="B1299" s="7" t="str">
        <f>IFERROR(__xludf.DUMMYFUNCTION("""COMPUTED_VALUE"""),"S161")</f>
        <v>S161</v>
      </c>
      <c r="C1299" s="7" t="str">
        <f>IFERROR(__xludf.DUMMYFUNCTION("""COMPUTED_VALUE"""),"Computer Vision &amp; Image Processing (OpenCV)")</f>
        <v>Computer Vision &amp; Image Processing (OpenCV)</v>
      </c>
      <c r="D1299" s="7" t="str">
        <f>IFERROR(__xludf.DUMMYFUNCTION("""COMPUTED_VALUE"""),"S162")</f>
        <v>S162</v>
      </c>
      <c r="E1299" s="7" t="str">
        <f>IFERROR(__xludf.DUMMYFUNCTION("""COMPUTED_VALUE"""),"Convolutional Neural Networks (CNNs) &amp; Object Detection (YOLO)")</f>
        <v>Convolutional Neural Networks (CNNs) &amp; Object Detection (YOLO)</v>
      </c>
      <c r="F1299" s="7" t="str">
        <f>IFERROR(__xludf.DUMMYFUNCTION("""COMPUTED_VALUE"""),"S161 unlocks S162")</f>
        <v>S161 unlocks S162</v>
      </c>
    </row>
    <row r="1300">
      <c r="A1300" s="7" t="str">
        <f>IFERROR(__xludf.DUMMYFUNCTION("""COMPUTED_VALUE"""),"PE1299")</f>
        <v>PE1299</v>
      </c>
      <c r="B1300" s="7" t="str">
        <f>IFERROR(__xludf.DUMMYFUNCTION("""COMPUTED_VALUE"""),"S161")</f>
        <v>S161</v>
      </c>
      <c r="C1300" s="7" t="str">
        <f>IFERROR(__xludf.DUMMYFUNCTION("""COMPUTED_VALUE"""),"Computer Vision &amp; Image Processing (OpenCV)")</f>
        <v>Computer Vision &amp; Image Processing (OpenCV)</v>
      </c>
      <c r="D1300" s="7" t="str">
        <f>IFERROR(__xludf.DUMMYFUNCTION("""COMPUTED_VALUE"""),"S163")</f>
        <v>S163</v>
      </c>
      <c r="E1300" s="7" t="str">
        <f>IFERROR(__xludf.DUMMYFUNCTION("""COMPUTED_VALUE"""),"Generative AI &amp; Diffusion Models")</f>
        <v>Generative AI &amp; Diffusion Models</v>
      </c>
      <c r="F1300" s="7" t="str">
        <f>IFERROR(__xludf.DUMMYFUNCTION("""COMPUTED_VALUE"""),"S161 unlocks S163")</f>
        <v>S161 unlocks S163</v>
      </c>
    </row>
    <row r="1301">
      <c r="A1301" s="7" t="str">
        <f>IFERROR(__xludf.DUMMYFUNCTION("""COMPUTED_VALUE"""),"PE1300")</f>
        <v>PE1300</v>
      </c>
      <c r="B1301" s="7" t="str">
        <f>IFERROR(__xludf.DUMMYFUNCTION("""COMPUTED_VALUE"""),"S161")</f>
        <v>S161</v>
      </c>
      <c r="C1301" s="7" t="str">
        <f>IFERROR(__xludf.DUMMYFUNCTION("""COMPUTED_VALUE"""),"Computer Vision &amp; Image Processing (OpenCV)")</f>
        <v>Computer Vision &amp; Image Processing (OpenCV)</v>
      </c>
      <c r="D1301" s="7" t="str">
        <f>IFERROR(__xludf.DUMMYFUNCTION("""COMPUTED_VALUE"""),"S164")</f>
        <v>S164</v>
      </c>
      <c r="E1301" s="7" t="str">
        <f>IFERROR(__xludf.DUMMYFUNCTION("""COMPUTED_VALUE"""),"Reinforcement Learning (Markov Decision Processes, Q-Learning)")</f>
        <v>Reinforcement Learning (Markov Decision Processes, Q-Learning)</v>
      </c>
      <c r="F1301" s="7" t="str">
        <f>IFERROR(__xludf.DUMMYFUNCTION("""COMPUTED_VALUE"""),"S161 unlocks S164")</f>
        <v>S161 unlocks S164</v>
      </c>
    </row>
    <row r="1302">
      <c r="A1302" s="7" t="str">
        <f>IFERROR(__xludf.DUMMYFUNCTION("""COMPUTED_VALUE"""),"PE1301")</f>
        <v>PE1301</v>
      </c>
      <c r="B1302" s="7" t="str">
        <f>IFERROR(__xludf.DUMMYFUNCTION("""COMPUTED_VALUE"""),"S161")</f>
        <v>S161</v>
      </c>
      <c r="C1302" s="7" t="str">
        <f>IFERROR(__xludf.DUMMYFUNCTION("""COMPUTED_VALUE"""),"Computer Vision &amp; Image Processing (OpenCV)")</f>
        <v>Computer Vision &amp; Image Processing (OpenCV)</v>
      </c>
      <c r="D1302" s="7" t="str">
        <f>IFERROR(__xludf.DUMMYFUNCTION("""COMPUTED_VALUE"""),"S165")</f>
        <v>S165</v>
      </c>
      <c r="E1302" s="7" t="str">
        <f>IFERROR(__xludf.DUMMYFUNCTION("""COMPUTED_VALUE"""),"MLOps &amp; Experiment Tracking (MLflow, Weights &amp; Biases, Kubeflow)")</f>
        <v>MLOps &amp; Experiment Tracking (MLflow, Weights &amp; Biases, Kubeflow)</v>
      </c>
      <c r="F1302" s="7" t="str">
        <f>IFERROR(__xludf.DUMMYFUNCTION("""COMPUTED_VALUE"""),"S161 unlocks S165")</f>
        <v>S161 unlocks S165</v>
      </c>
    </row>
    <row r="1303">
      <c r="A1303" s="7" t="str">
        <f>IFERROR(__xludf.DUMMYFUNCTION("""COMPUTED_VALUE"""),"PE1302")</f>
        <v>PE1302</v>
      </c>
      <c r="B1303" s="7" t="str">
        <f>IFERROR(__xludf.DUMMYFUNCTION("""COMPUTED_VALUE"""),"S161")</f>
        <v>S161</v>
      </c>
      <c r="C1303" s="7" t="str">
        <f>IFERROR(__xludf.DUMMYFUNCTION("""COMPUTED_VALUE"""),"Computer Vision &amp; Image Processing (OpenCV)")</f>
        <v>Computer Vision &amp; Image Processing (OpenCV)</v>
      </c>
      <c r="D1303" s="7" t="str">
        <f>IFERROR(__xludf.DUMMYFUNCTION("""COMPUTED_VALUE"""),"S166")</f>
        <v>S166</v>
      </c>
      <c r="E1303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303" s="7" t="str">
        <f>IFERROR(__xludf.DUMMYFUNCTION("""COMPUTED_VALUE"""),"S161 unlocks S166")</f>
        <v>S161 unlocks S166</v>
      </c>
    </row>
    <row r="1304">
      <c r="A1304" s="7" t="str">
        <f>IFERROR(__xludf.DUMMYFUNCTION("""COMPUTED_VALUE"""),"PE1303")</f>
        <v>PE1303</v>
      </c>
      <c r="B1304" s="7" t="str">
        <f>IFERROR(__xludf.DUMMYFUNCTION("""COMPUTED_VALUE"""),"S161")</f>
        <v>S161</v>
      </c>
      <c r="C1304" s="7" t="str">
        <f>IFERROR(__xludf.DUMMYFUNCTION("""COMPUTED_VALUE"""),"Computer Vision &amp; Image Processing (OpenCV)")</f>
        <v>Computer Vision &amp; Image Processing (OpenCV)</v>
      </c>
      <c r="D1304" s="7" t="str">
        <f>IFERROR(__xludf.DUMMYFUNCTION("""COMPUTED_VALUE"""),"S168")</f>
        <v>S168</v>
      </c>
      <c r="E1304" s="7" t="str">
        <f>IFERROR(__xludf.DUMMYFUNCTION("""COMPUTED_VALUE"""),"Speech Recognition &amp; Audio Processing (Whisper, Librosa)")</f>
        <v>Speech Recognition &amp; Audio Processing (Whisper, Librosa)</v>
      </c>
      <c r="F1304" s="7" t="str">
        <f>IFERROR(__xludf.DUMMYFUNCTION("""COMPUTED_VALUE"""),"S161 unlocks S168")</f>
        <v>S161 unlocks S168</v>
      </c>
    </row>
    <row r="1305">
      <c r="A1305" s="7" t="str">
        <f>IFERROR(__xludf.DUMMYFUNCTION("""COMPUTED_VALUE"""),"PE1304")</f>
        <v>PE1304</v>
      </c>
      <c r="B1305" s="7" t="str">
        <f>IFERROR(__xludf.DUMMYFUNCTION("""COMPUTED_VALUE"""),"S161")</f>
        <v>S161</v>
      </c>
      <c r="C1305" s="7" t="str">
        <f>IFERROR(__xludf.DUMMYFUNCTION("""COMPUTED_VALUE"""),"Computer Vision &amp; Image Processing (OpenCV)")</f>
        <v>Computer Vision &amp; Image Processing (OpenCV)</v>
      </c>
      <c r="D1305" s="7" t="str">
        <f>IFERROR(__xludf.DUMMYFUNCTION("""COMPUTED_VALUE"""),"S169")</f>
        <v>S169</v>
      </c>
      <c r="E1305" s="7" t="str">
        <f>IFERROR(__xludf.DUMMYFUNCTION("""COMPUTED_VALUE"""),"Graph Neural Networks (GNNs &amp; PyTorch Geometric)")</f>
        <v>Graph Neural Networks (GNNs &amp; PyTorch Geometric)</v>
      </c>
      <c r="F1305" s="7" t="str">
        <f>IFERROR(__xludf.DUMMYFUNCTION("""COMPUTED_VALUE"""),"S161 unlocks S169")</f>
        <v>S161 unlocks S169</v>
      </c>
    </row>
    <row r="1306">
      <c r="A1306" s="7" t="str">
        <f>IFERROR(__xludf.DUMMYFUNCTION("""COMPUTED_VALUE"""),"PE1305")</f>
        <v>PE1305</v>
      </c>
      <c r="B1306" s="7" t="str">
        <f>IFERROR(__xludf.DUMMYFUNCTION("""COMPUTED_VALUE"""),"S161")</f>
        <v>S161</v>
      </c>
      <c r="C1306" s="7" t="str">
        <f>IFERROR(__xludf.DUMMYFUNCTION("""COMPUTED_VALUE"""),"Computer Vision &amp; Image Processing (OpenCV)")</f>
        <v>Computer Vision &amp; Image Processing (OpenCV)</v>
      </c>
      <c r="D1306" s="7" t="str">
        <f>IFERROR(__xludf.DUMMYFUNCTION("""COMPUTED_VALUE"""),"S170")</f>
        <v>S170</v>
      </c>
      <c r="E1306" s="7" t="str">
        <f>IFERROR(__xludf.DUMMYFUNCTION("""COMPUTED_VALUE"""),"Operations Research &amp; Mathematical Optimization (SciPy, OR-Tools)")</f>
        <v>Operations Research &amp; Mathematical Optimization (SciPy, OR-Tools)</v>
      </c>
      <c r="F1306" s="7" t="str">
        <f>IFERROR(__xludf.DUMMYFUNCTION("""COMPUTED_VALUE"""),"S161 unlocks S170")</f>
        <v>S161 unlocks S170</v>
      </c>
    </row>
    <row r="1307">
      <c r="A1307" s="7" t="str">
        <f>IFERROR(__xludf.DUMMYFUNCTION("""COMPUTED_VALUE"""),"PE1306")</f>
        <v>PE1306</v>
      </c>
      <c r="B1307" s="7" t="str">
        <f>IFERROR(__xludf.DUMMYFUNCTION("""COMPUTED_VALUE"""),"S167")</f>
        <v>S167</v>
      </c>
      <c r="C1307" s="7" t="str">
        <f>IFERROR(__xludf.DUMMYFUNCTION("""COMPUTED_VALUE"""),"AI Ethics, Bias Mitigation &amp; Explainable AI (SHAP, LIME)")</f>
        <v>AI Ethics, Bias Mitigation &amp; Explainable AI (SHAP, LIME)</v>
      </c>
      <c r="D1307" s="7" t="str">
        <f>IFERROR(__xludf.DUMMYFUNCTION("""COMPUTED_VALUE"""),"S152")</f>
        <v>S152</v>
      </c>
      <c r="E1307" s="7" t="str">
        <f>IFERROR(__xludf.DUMMYFUNCTION("""COMPUTED_VALUE"""),"Time-Series Forecasting (ARIMA, Prophet, LSTM)")</f>
        <v>Time-Series Forecasting (ARIMA, Prophet, LSTM)</v>
      </c>
      <c r="F1307" s="7" t="str">
        <f>IFERROR(__xludf.DUMMYFUNCTION("""COMPUTED_VALUE"""),"S167 unlocks S152")</f>
        <v>S167 unlocks S152</v>
      </c>
    </row>
    <row r="1308">
      <c r="A1308" s="7" t="str">
        <f>IFERROR(__xludf.DUMMYFUNCTION("""COMPUTED_VALUE"""),"PE1307")</f>
        <v>PE1307</v>
      </c>
      <c r="B1308" s="7" t="str">
        <f>IFERROR(__xludf.DUMMYFUNCTION("""COMPUTED_VALUE"""),"S167")</f>
        <v>S167</v>
      </c>
      <c r="C1308" s="7" t="str">
        <f>IFERROR(__xludf.DUMMYFUNCTION("""COMPUTED_VALUE"""),"AI Ethics, Bias Mitigation &amp; Explainable AI (SHAP, LIME)")</f>
        <v>AI Ethics, Bias Mitigation &amp; Explainable AI (SHAP, LIME)</v>
      </c>
      <c r="D1308" s="7" t="str">
        <f>IFERROR(__xludf.DUMMYFUNCTION("""COMPUTED_VALUE"""),"S153")</f>
        <v>S153</v>
      </c>
      <c r="E1308" s="7" t="str">
        <f>IFERROR(__xludf.DUMMYFUNCTION("""COMPUTED_VALUE"""),"Recommendation Systems (Collaborative &amp; Content-Based Filtering)")</f>
        <v>Recommendation Systems (Collaborative &amp; Content-Based Filtering)</v>
      </c>
      <c r="F1308" s="7" t="str">
        <f>IFERROR(__xludf.DUMMYFUNCTION("""COMPUTED_VALUE"""),"S167 unlocks S153")</f>
        <v>S167 unlocks S153</v>
      </c>
    </row>
    <row r="1309">
      <c r="A1309" s="7" t="str">
        <f>IFERROR(__xludf.DUMMYFUNCTION("""COMPUTED_VALUE"""),"PE1308")</f>
        <v>PE1308</v>
      </c>
      <c r="B1309" s="7" t="str">
        <f>IFERROR(__xludf.DUMMYFUNCTION("""COMPUTED_VALUE"""),"S167")</f>
        <v>S167</v>
      </c>
      <c r="C1309" s="7" t="str">
        <f>IFERROR(__xludf.DUMMYFUNCTION("""COMPUTED_VALUE"""),"AI Ethics, Bias Mitigation &amp; Explainable AI (SHAP, LIME)")</f>
        <v>AI Ethics, Bias Mitigation &amp; Explainable AI (SHAP, LIME)</v>
      </c>
      <c r="D1309" s="7" t="str">
        <f>IFERROR(__xludf.DUMMYFUNCTION("""COMPUTED_VALUE"""),"S155")</f>
        <v>S155</v>
      </c>
      <c r="E1309" s="7" t="str">
        <f>IFERROR(__xludf.DUMMYFUNCTION("""COMPUTED_VALUE"""),"Deep Learning with PyTorch")</f>
        <v>Deep Learning with PyTorch</v>
      </c>
      <c r="F1309" s="7" t="str">
        <f>IFERROR(__xludf.DUMMYFUNCTION("""COMPUTED_VALUE"""),"S167 unlocks S155")</f>
        <v>S167 unlocks S155</v>
      </c>
    </row>
    <row r="1310">
      <c r="A1310" s="7" t="str">
        <f>IFERROR(__xludf.DUMMYFUNCTION("""COMPUTED_VALUE"""),"PE1309")</f>
        <v>PE1309</v>
      </c>
      <c r="B1310" s="7" t="str">
        <f>IFERROR(__xludf.DUMMYFUNCTION("""COMPUTED_VALUE"""),"S167")</f>
        <v>S167</v>
      </c>
      <c r="C1310" s="7" t="str">
        <f>IFERROR(__xludf.DUMMYFUNCTION("""COMPUTED_VALUE"""),"AI Ethics, Bias Mitigation &amp; Explainable AI (SHAP, LIME)")</f>
        <v>AI Ethics, Bias Mitigation &amp; Explainable AI (SHAP, LIME)</v>
      </c>
      <c r="D1310" s="7" t="str">
        <f>IFERROR(__xludf.DUMMYFUNCTION("""COMPUTED_VALUE"""),"S156")</f>
        <v>S156</v>
      </c>
      <c r="E1310" s="7" t="str">
        <f>IFERROR(__xludf.DUMMYFUNCTION("""COMPUTED_VALUE"""),"Deep Learning with TensorFlow &amp; Keras")</f>
        <v>Deep Learning with TensorFlow &amp; Keras</v>
      </c>
      <c r="F1310" s="7" t="str">
        <f>IFERROR(__xludf.DUMMYFUNCTION("""COMPUTED_VALUE"""),"S167 unlocks S156")</f>
        <v>S167 unlocks S156</v>
      </c>
    </row>
    <row r="1311">
      <c r="A1311" s="7" t="str">
        <f>IFERROR(__xludf.DUMMYFUNCTION("""COMPUTED_VALUE"""),"PE1310")</f>
        <v>PE1310</v>
      </c>
      <c r="B1311" s="7" t="str">
        <f>IFERROR(__xludf.DUMMYFUNCTION("""COMPUTED_VALUE"""),"S167")</f>
        <v>S167</v>
      </c>
      <c r="C1311" s="7" t="str">
        <f>IFERROR(__xludf.DUMMYFUNCTION("""COMPUTED_VALUE"""),"AI Ethics, Bias Mitigation &amp; Explainable AI (SHAP, LIME)")</f>
        <v>AI Ethics, Bias Mitigation &amp; Explainable AI (SHAP, LIME)</v>
      </c>
      <c r="D1311" s="7" t="str">
        <f>IFERROR(__xludf.DUMMYFUNCTION("""COMPUTED_VALUE"""),"S158")</f>
        <v>S158</v>
      </c>
      <c r="E1311" s="7" t="str">
        <f>IFERROR(__xludf.DUMMYFUNCTION("""COMPUTED_VALUE"""),"Transformer Architecture &amp; Attention Mechanisms (Hugging Face)")</f>
        <v>Transformer Architecture &amp; Attention Mechanisms (Hugging Face)</v>
      </c>
      <c r="F1311" s="7" t="str">
        <f>IFERROR(__xludf.DUMMYFUNCTION("""COMPUTED_VALUE"""),"S167 unlocks S158")</f>
        <v>S167 unlocks S158</v>
      </c>
    </row>
    <row r="1312">
      <c r="A1312" s="7" t="str">
        <f>IFERROR(__xludf.DUMMYFUNCTION("""COMPUTED_VALUE"""),"PE1311")</f>
        <v>PE1311</v>
      </c>
      <c r="B1312" s="7" t="str">
        <f>IFERROR(__xludf.DUMMYFUNCTION("""COMPUTED_VALUE"""),"S167")</f>
        <v>S167</v>
      </c>
      <c r="C1312" s="7" t="str">
        <f>IFERROR(__xludf.DUMMYFUNCTION("""COMPUTED_VALUE"""),"AI Ethics, Bias Mitigation &amp; Explainable AI (SHAP, LIME)")</f>
        <v>AI Ethics, Bias Mitigation &amp; Explainable AI (SHAP, LIME)</v>
      </c>
      <c r="D1312" s="7" t="str">
        <f>IFERROR(__xludf.DUMMYFUNCTION("""COMPUTED_VALUE"""),"S159")</f>
        <v>S159</v>
      </c>
      <c r="E1312" s="7" t="str">
        <f>IFERROR(__xludf.DUMMYFUNCTION("""COMPUTED_VALUE"""),"Large Language Models (LLMs), Fine-Tuning (LoRA/QLoRA) &amp; Evaluation")</f>
        <v>Large Language Models (LLMs), Fine-Tuning (LoRA/QLoRA) &amp; Evaluation</v>
      </c>
      <c r="F1312" s="7" t="str">
        <f>IFERROR(__xludf.DUMMYFUNCTION("""COMPUTED_VALUE"""),"S167 unlocks S159")</f>
        <v>S167 unlocks S159</v>
      </c>
    </row>
    <row r="1313">
      <c r="A1313" s="7" t="str">
        <f>IFERROR(__xludf.DUMMYFUNCTION("""COMPUTED_VALUE"""),"PE1312")</f>
        <v>PE1312</v>
      </c>
      <c r="B1313" s="7" t="str">
        <f>IFERROR(__xludf.DUMMYFUNCTION("""COMPUTED_VALUE"""),"S167")</f>
        <v>S167</v>
      </c>
      <c r="C1313" s="7" t="str">
        <f>IFERROR(__xludf.DUMMYFUNCTION("""COMPUTED_VALUE"""),"AI Ethics, Bias Mitigation &amp; Explainable AI (SHAP, LIME)")</f>
        <v>AI Ethics, Bias Mitigation &amp; Explainable AI (SHAP, LIME)</v>
      </c>
      <c r="D1313" s="7" t="str">
        <f>IFERROR(__xludf.DUMMYFUNCTION("""COMPUTED_VALUE"""),"S160")</f>
        <v>S160</v>
      </c>
      <c r="E1313" s="7" t="str">
        <f>IFERROR(__xludf.DUMMYFUNCTION("""COMPUTED_VALUE"""),"Prompt Engineering, RAG &amp; AI Agents (LangChain, LlamaIndex)")</f>
        <v>Prompt Engineering, RAG &amp; AI Agents (LangChain, LlamaIndex)</v>
      </c>
      <c r="F1313" s="7" t="str">
        <f>IFERROR(__xludf.DUMMYFUNCTION("""COMPUTED_VALUE"""),"S167 unlocks S160")</f>
        <v>S167 unlocks S160</v>
      </c>
    </row>
    <row r="1314">
      <c r="A1314" s="7" t="str">
        <f>IFERROR(__xludf.DUMMYFUNCTION("""COMPUTED_VALUE"""),"PE1313")</f>
        <v>PE1313</v>
      </c>
      <c r="B1314" s="7" t="str">
        <f>IFERROR(__xludf.DUMMYFUNCTION("""COMPUTED_VALUE"""),"S167")</f>
        <v>S167</v>
      </c>
      <c r="C1314" s="7" t="str">
        <f>IFERROR(__xludf.DUMMYFUNCTION("""COMPUTED_VALUE"""),"AI Ethics, Bias Mitigation &amp; Explainable AI (SHAP, LIME)")</f>
        <v>AI Ethics, Bias Mitigation &amp; Explainable AI (SHAP, LIME)</v>
      </c>
      <c r="D1314" s="7" t="str">
        <f>IFERROR(__xludf.DUMMYFUNCTION("""COMPUTED_VALUE"""),"S162")</f>
        <v>S162</v>
      </c>
      <c r="E1314" s="7" t="str">
        <f>IFERROR(__xludf.DUMMYFUNCTION("""COMPUTED_VALUE"""),"Convolutional Neural Networks (CNNs) &amp; Object Detection (YOLO)")</f>
        <v>Convolutional Neural Networks (CNNs) &amp; Object Detection (YOLO)</v>
      </c>
      <c r="F1314" s="7" t="str">
        <f>IFERROR(__xludf.DUMMYFUNCTION("""COMPUTED_VALUE"""),"S167 unlocks S162")</f>
        <v>S167 unlocks S162</v>
      </c>
    </row>
    <row r="1315">
      <c r="A1315" s="7" t="str">
        <f>IFERROR(__xludf.DUMMYFUNCTION("""COMPUTED_VALUE"""),"PE1314")</f>
        <v>PE1314</v>
      </c>
      <c r="B1315" s="7" t="str">
        <f>IFERROR(__xludf.DUMMYFUNCTION("""COMPUTED_VALUE"""),"S167")</f>
        <v>S167</v>
      </c>
      <c r="C1315" s="7" t="str">
        <f>IFERROR(__xludf.DUMMYFUNCTION("""COMPUTED_VALUE"""),"AI Ethics, Bias Mitigation &amp; Explainable AI (SHAP, LIME)")</f>
        <v>AI Ethics, Bias Mitigation &amp; Explainable AI (SHAP, LIME)</v>
      </c>
      <c r="D1315" s="7" t="str">
        <f>IFERROR(__xludf.DUMMYFUNCTION("""COMPUTED_VALUE"""),"S163")</f>
        <v>S163</v>
      </c>
      <c r="E1315" s="7" t="str">
        <f>IFERROR(__xludf.DUMMYFUNCTION("""COMPUTED_VALUE"""),"Generative AI &amp; Diffusion Models")</f>
        <v>Generative AI &amp; Diffusion Models</v>
      </c>
      <c r="F1315" s="7" t="str">
        <f>IFERROR(__xludf.DUMMYFUNCTION("""COMPUTED_VALUE"""),"S167 unlocks S163")</f>
        <v>S167 unlocks S163</v>
      </c>
    </row>
    <row r="1316">
      <c r="A1316" s="7" t="str">
        <f>IFERROR(__xludf.DUMMYFUNCTION("""COMPUTED_VALUE"""),"PE1315")</f>
        <v>PE1315</v>
      </c>
      <c r="B1316" s="7" t="str">
        <f>IFERROR(__xludf.DUMMYFUNCTION("""COMPUTED_VALUE"""),"S167")</f>
        <v>S167</v>
      </c>
      <c r="C1316" s="7" t="str">
        <f>IFERROR(__xludf.DUMMYFUNCTION("""COMPUTED_VALUE"""),"AI Ethics, Bias Mitigation &amp; Explainable AI (SHAP, LIME)")</f>
        <v>AI Ethics, Bias Mitigation &amp; Explainable AI (SHAP, LIME)</v>
      </c>
      <c r="D1316" s="7" t="str">
        <f>IFERROR(__xludf.DUMMYFUNCTION("""COMPUTED_VALUE"""),"S164")</f>
        <v>S164</v>
      </c>
      <c r="E1316" s="7" t="str">
        <f>IFERROR(__xludf.DUMMYFUNCTION("""COMPUTED_VALUE"""),"Reinforcement Learning (Markov Decision Processes, Q-Learning)")</f>
        <v>Reinforcement Learning (Markov Decision Processes, Q-Learning)</v>
      </c>
      <c r="F1316" s="7" t="str">
        <f>IFERROR(__xludf.DUMMYFUNCTION("""COMPUTED_VALUE"""),"S167 unlocks S164")</f>
        <v>S167 unlocks S164</v>
      </c>
    </row>
    <row r="1317">
      <c r="A1317" s="7" t="str">
        <f>IFERROR(__xludf.DUMMYFUNCTION("""COMPUTED_VALUE"""),"PE1316")</f>
        <v>PE1316</v>
      </c>
      <c r="B1317" s="7" t="str">
        <f>IFERROR(__xludf.DUMMYFUNCTION("""COMPUTED_VALUE"""),"S167")</f>
        <v>S167</v>
      </c>
      <c r="C1317" s="7" t="str">
        <f>IFERROR(__xludf.DUMMYFUNCTION("""COMPUTED_VALUE"""),"AI Ethics, Bias Mitigation &amp; Explainable AI (SHAP, LIME)")</f>
        <v>AI Ethics, Bias Mitigation &amp; Explainable AI (SHAP, LIME)</v>
      </c>
      <c r="D1317" s="7" t="str">
        <f>IFERROR(__xludf.DUMMYFUNCTION("""COMPUTED_VALUE"""),"S165")</f>
        <v>S165</v>
      </c>
      <c r="E1317" s="7" t="str">
        <f>IFERROR(__xludf.DUMMYFUNCTION("""COMPUTED_VALUE"""),"MLOps &amp; Experiment Tracking (MLflow, Weights &amp; Biases, Kubeflow)")</f>
        <v>MLOps &amp; Experiment Tracking (MLflow, Weights &amp; Biases, Kubeflow)</v>
      </c>
      <c r="F1317" s="7" t="str">
        <f>IFERROR(__xludf.DUMMYFUNCTION("""COMPUTED_VALUE"""),"S167 unlocks S165")</f>
        <v>S167 unlocks S165</v>
      </c>
    </row>
    <row r="1318">
      <c r="A1318" s="7" t="str">
        <f>IFERROR(__xludf.DUMMYFUNCTION("""COMPUTED_VALUE"""),"PE1317")</f>
        <v>PE1317</v>
      </c>
      <c r="B1318" s="7" t="str">
        <f>IFERROR(__xludf.DUMMYFUNCTION("""COMPUTED_VALUE"""),"S167")</f>
        <v>S167</v>
      </c>
      <c r="C1318" s="7" t="str">
        <f>IFERROR(__xludf.DUMMYFUNCTION("""COMPUTED_VALUE"""),"AI Ethics, Bias Mitigation &amp; Explainable AI (SHAP, LIME)")</f>
        <v>AI Ethics, Bias Mitigation &amp; Explainable AI (SHAP, LIME)</v>
      </c>
      <c r="D1318" s="7" t="str">
        <f>IFERROR(__xludf.DUMMYFUNCTION("""COMPUTED_VALUE"""),"S166")</f>
        <v>S166</v>
      </c>
      <c r="E1318" s="7" t="str">
        <f>IFERROR(__xludf.DUMMYFUNCTION("""COMPUTED_VALUE"""),"Model Serving &amp; Inference Optimization (ONNX, TensorRT, Triton, BentoML)")</f>
        <v>Model Serving &amp; Inference Optimization (ONNX, TensorRT, Triton, BentoML)</v>
      </c>
      <c r="F1318" s="7" t="str">
        <f>IFERROR(__xludf.DUMMYFUNCTION("""COMPUTED_VALUE"""),"S167 unlocks S166")</f>
        <v>S167 unlocks S166</v>
      </c>
    </row>
    <row r="1319">
      <c r="A1319" s="7" t="str">
        <f>IFERROR(__xludf.DUMMYFUNCTION("""COMPUTED_VALUE"""),"PE1318")</f>
        <v>PE1318</v>
      </c>
      <c r="B1319" s="7" t="str">
        <f>IFERROR(__xludf.DUMMYFUNCTION("""COMPUTED_VALUE"""),"S167")</f>
        <v>S167</v>
      </c>
      <c r="C1319" s="7" t="str">
        <f>IFERROR(__xludf.DUMMYFUNCTION("""COMPUTED_VALUE"""),"AI Ethics, Bias Mitigation &amp; Explainable AI (SHAP, LIME)")</f>
        <v>AI Ethics, Bias Mitigation &amp; Explainable AI (SHAP, LIME)</v>
      </c>
      <c r="D1319" s="7" t="str">
        <f>IFERROR(__xludf.DUMMYFUNCTION("""COMPUTED_VALUE"""),"S168")</f>
        <v>S168</v>
      </c>
      <c r="E1319" s="7" t="str">
        <f>IFERROR(__xludf.DUMMYFUNCTION("""COMPUTED_VALUE"""),"Speech Recognition &amp; Audio Processing (Whisper, Librosa)")</f>
        <v>Speech Recognition &amp; Audio Processing (Whisper, Librosa)</v>
      </c>
      <c r="F1319" s="7" t="str">
        <f>IFERROR(__xludf.DUMMYFUNCTION("""COMPUTED_VALUE"""),"S167 unlocks S168")</f>
        <v>S167 unlocks S168</v>
      </c>
    </row>
    <row r="1320">
      <c r="A1320" s="7" t="str">
        <f>IFERROR(__xludf.DUMMYFUNCTION("""COMPUTED_VALUE"""),"PE1319")</f>
        <v>PE1319</v>
      </c>
      <c r="B1320" s="7" t="str">
        <f>IFERROR(__xludf.DUMMYFUNCTION("""COMPUTED_VALUE"""),"S167")</f>
        <v>S167</v>
      </c>
      <c r="C1320" s="7" t="str">
        <f>IFERROR(__xludf.DUMMYFUNCTION("""COMPUTED_VALUE"""),"AI Ethics, Bias Mitigation &amp; Explainable AI (SHAP, LIME)")</f>
        <v>AI Ethics, Bias Mitigation &amp; Explainable AI (SHAP, LIME)</v>
      </c>
      <c r="D1320" s="7" t="str">
        <f>IFERROR(__xludf.DUMMYFUNCTION("""COMPUTED_VALUE"""),"S169")</f>
        <v>S169</v>
      </c>
      <c r="E1320" s="7" t="str">
        <f>IFERROR(__xludf.DUMMYFUNCTION("""COMPUTED_VALUE"""),"Graph Neural Networks (GNNs &amp; PyTorch Geometric)")</f>
        <v>Graph Neural Networks (GNNs &amp; PyTorch Geometric)</v>
      </c>
      <c r="F1320" s="7" t="str">
        <f>IFERROR(__xludf.DUMMYFUNCTION("""COMPUTED_VALUE"""),"S167 unlocks S169")</f>
        <v>S167 unlocks S169</v>
      </c>
    </row>
    <row r="1321">
      <c r="A1321" s="7" t="str">
        <f>IFERROR(__xludf.DUMMYFUNCTION("""COMPUTED_VALUE"""),"PE1320")</f>
        <v>PE1320</v>
      </c>
      <c r="B1321" s="7" t="str">
        <f>IFERROR(__xludf.DUMMYFUNCTION("""COMPUTED_VALUE"""),"S167")</f>
        <v>S167</v>
      </c>
      <c r="C1321" s="7" t="str">
        <f>IFERROR(__xludf.DUMMYFUNCTION("""COMPUTED_VALUE"""),"AI Ethics, Bias Mitigation &amp; Explainable AI (SHAP, LIME)")</f>
        <v>AI Ethics, Bias Mitigation &amp; Explainable AI (SHAP, LIME)</v>
      </c>
      <c r="D1321" s="7" t="str">
        <f>IFERROR(__xludf.DUMMYFUNCTION("""COMPUTED_VALUE"""),"S170")</f>
        <v>S170</v>
      </c>
      <c r="E1321" s="7" t="str">
        <f>IFERROR(__xludf.DUMMYFUNCTION("""COMPUTED_VALUE"""),"Operations Research &amp; Mathematical Optimization (SciPy, OR-Tools)")</f>
        <v>Operations Research &amp; Mathematical Optimization (SciPy, OR-Tools)</v>
      </c>
      <c r="F1321" s="7" t="str">
        <f>IFERROR(__xludf.DUMMYFUNCTION("""COMPUTED_VALUE"""),"S167 unlocks S170")</f>
        <v>S167 unlocks S170</v>
      </c>
    </row>
    <row r="1322">
      <c r="A1322" s="7" t="str">
        <f>IFERROR(__xludf.DUMMYFUNCTION("""COMPUTED_VALUE"""),"PE1321")</f>
        <v>PE1321</v>
      </c>
      <c r="B1322" s="7" t="str">
        <f>IFERROR(__xludf.DUMMYFUNCTION("""COMPUTED_VALUE"""),"S173")</f>
        <v>S173</v>
      </c>
      <c r="C1322" s="7" t="str">
        <f>IFERROR(__xludf.DUMMYFUNCTION("""COMPUTED_VALUE"""),"Kubernetes Package Management (Helm &amp; Kustomize)")</f>
        <v>Kubernetes Package Management (Helm &amp; Kustomize)</v>
      </c>
      <c r="D1322" s="7" t="str">
        <f>IFERROR(__xludf.DUMMYFUNCTION("""COMPUTED_VALUE"""),"S172")</f>
        <v>S172</v>
      </c>
      <c r="E1322" s="7" t="str">
        <f>IFERROR(__xludf.DUMMYFUNCTION("""COMPUTED_VALUE"""),"Kubernetes Cluster Orchestration (K8s)")</f>
        <v>Kubernetes Cluster Orchestration (K8s)</v>
      </c>
      <c r="F1322" s="7" t="str">
        <f>IFERROR(__xludf.DUMMYFUNCTION("""COMPUTED_VALUE"""),"S173 unlocks S172")</f>
        <v>S173 unlocks S172</v>
      </c>
    </row>
    <row r="1323">
      <c r="A1323" s="7" t="str">
        <f>IFERROR(__xludf.DUMMYFUNCTION("""COMPUTED_VALUE"""),"PE1322")</f>
        <v>PE1322</v>
      </c>
      <c r="B1323" s="7" t="str">
        <f>IFERROR(__xludf.DUMMYFUNCTION("""COMPUTED_VALUE"""),"S173")</f>
        <v>S173</v>
      </c>
      <c r="C1323" s="7" t="str">
        <f>IFERROR(__xludf.DUMMYFUNCTION("""COMPUTED_VALUE"""),"Kubernetes Package Management (Helm &amp; Kustomize)")</f>
        <v>Kubernetes Package Management (Helm &amp; Kustomize)</v>
      </c>
      <c r="D1323" s="7" t="str">
        <f>IFERROR(__xludf.DUMMYFUNCTION("""COMPUTED_VALUE"""),"S178")</f>
        <v>S178</v>
      </c>
      <c r="E1323" s="7" t="str">
        <f>IFERROR(__xludf.DUMMYFUNCTION("""COMPUTED_VALUE"""),"Infrastructure as Code (Terraform &amp; OpenTofu)")</f>
        <v>Infrastructure as Code (Terraform &amp; OpenTofu)</v>
      </c>
      <c r="F1323" s="7" t="str">
        <f>IFERROR(__xludf.DUMMYFUNCTION("""COMPUTED_VALUE"""),"S173 unlocks S178")</f>
        <v>S173 unlocks S178</v>
      </c>
    </row>
    <row r="1324">
      <c r="A1324" s="7" t="str">
        <f>IFERROR(__xludf.DUMMYFUNCTION("""COMPUTED_VALUE"""),"PE1323")</f>
        <v>PE1323</v>
      </c>
      <c r="B1324" s="7" t="str">
        <f>IFERROR(__xludf.DUMMYFUNCTION("""COMPUTED_VALUE"""),"S173")</f>
        <v>S173</v>
      </c>
      <c r="C1324" s="7" t="str">
        <f>IFERROR(__xludf.DUMMYFUNCTION("""COMPUTED_VALUE"""),"Kubernetes Package Management (Helm &amp; Kustomize)")</f>
        <v>Kubernetes Package Management (Helm &amp; Kustomize)</v>
      </c>
      <c r="D1324" s="7" t="str">
        <f>IFERROR(__xludf.DUMMYFUNCTION("""COMPUTED_VALUE"""),"S182")</f>
        <v>S182</v>
      </c>
      <c r="E1324" s="7" t="str">
        <f>IFERROR(__xludf.DUMMYFUNCTION("""COMPUTED_VALUE"""),"GitOps &amp; Continuous Delivery (ArgoCD, Flux)")</f>
        <v>GitOps &amp; Continuous Delivery (ArgoCD, Flux)</v>
      </c>
      <c r="F1324" s="7" t="str">
        <f>IFERROR(__xludf.DUMMYFUNCTION("""COMPUTED_VALUE"""),"S173 unlocks S182")</f>
        <v>S173 unlocks S182</v>
      </c>
    </row>
    <row r="1325">
      <c r="A1325" s="7" t="str">
        <f>IFERROR(__xludf.DUMMYFUNCTION("""COMPUTED_VALUE"""),"PE1324")</f>
        <v>PE1324</v>
      </c>
      <c r="B1325" s="7" t="str">
        <f>IFERROR(__xludf.DUMMYFUNCTION("""COMPUTED_VALUE"""),"S173")</f>
        <v>S173</v>
      </c>
      <c r="C1325" s="7" t="str">
        <f>IFERROR(__xludf.DUMMYFUNCTION("""COMPUTED_VALUE"""),"Kubernetes Package Management (Helm &amp; Kustomize)")</f>
        <v>Kubernetes Package Management (Helm &amp; Kustomize)</v>
      </c>
      <c r="D1325" s="7" t="str">
        <f>IFERROR(__xludf.DUMMYFUNCTION("""COMPUTED_VALUE"""),"S185")</f>
        <v>S185</v>
      </c>
      <c r="E1325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25" s="7" t="str">
        <f>IFERROR(__xludf.DUMMYFUNCTION("""COMPUTED_VALUE"""),"S173 unlocks S185")</f>
        <v>S173 unlocks S185</v>
      </c>
    </row>
    <row r="1326">
      <c r="A1326" s="7" t="str">
        <f>IFERROR(__xludf.DUMMYFUNCTION("""COMPUTED_VALUE"""),"PE1325")</f>
        <v>PE1325</v>
      </c>
      <c r="B1326" s="7" t="str">
        <f>IFERROR(__xludf.DUMMYFUNCTION("""COMPUTED_VALUE"""),"S173")</f>
        <v>S173</v>
      </c>
      <c r="C1326" s="7" t="str">
        <f>IFERROR(__xludf.DUMMYFUNCTION("""COMPUTED_VALUE"""),"Kubernetes Package Management (Helm &amp; Kustomize)")</f>
        <v>Kubernetes Package Management (Helm &amp; Kustomize)</v>
      </c>
      <c r="D1326" s="7" t="str">
        <f>IFERROR(__xludf.DUMMYFUNCTION("""COMPUTED_VALUE"""),"S186")</f>
        <v>S186</v>
      </c>
      <c r="E1326" s="7" t="str">
        <f>IFERROR(__xludf.DUMMYFUNCTION("""COMPUTED_VALUE"""),"Site Reliability Engineering (SLIs, SLOs, SLAs &amp; Error Budgets)")</f>
        <v>Site Reliability Engineering (SLIs, SLOs, SLAs &amp; Error Budgets)</v>
      </c>
      <c r="F1326" s="7" t="str">
        <f>IFERROR(__xludf.DUMMYFUNCTION("""COMPUTED_VALUE"""),"S173 unlocks S186")</f>
        <v>S173 unlocks S186</v>
      </c>
    </row>
    <row r="1327">
      <c r="A1327" s="7" t="str">
        <f>IFERROR(__xludf.DUMMYFUNCTION("""COMPUTED_VALUE"""),"PE1326")</f>
        <v>PE1326</v>
      </c>
      <c r="B1327" s="7" t="str">
        <f>IFERROR(__xludf.DUMMYFUNCTION("""COMPUTED_VALUE"""),"S173")</f>
        <v>S173</v>
      </c>
      <c r="C1327" s="7" t="str">
        <f>IFERROR(__xludf.DUMMYFUNCTION("""COMPUTED_VALUE"""),"Kubernetes Package Management (Helm &amp; Kustomize)")</f>
        <v>Kubernetes Package Management (Helm &amp; Kustomize)</v>
      </c>
      <c r="D1327" s="7" t="str">
        <f>IFERROR(__xludf.DUMMYFUNCTION("""COMPUTED_VALUE"""),"S187")</f>
        <v>S187</v>
      </c>
      <c r="E1327" s="7" t="str">
        <f>IFERROR(__xludf.DUMMYFUNCTION("""COMPUTED_VALUE"""),"Chaos Engineering &amp; Fault Injection")</f>
        <v>Chaos Engineering &amp; Fault Injection</v>
      </c>
      <c r="F1327" s="7" t="str">
        <f>IFERROR(__xludf.DUMMYFUNCTION("""COMPUTED_VALUE"""),"S173 unlocks S187")</f>
        <v>S173 unlocks S187</v>
      </c>
    </row>
    <row r="1328">
      <c r="A1328" s="7" t="str">
        <f>IFERROR(__xludf.DUMMYFUNCTION("""COMPUTED_VALUE"""),"PE1327")</f>
        <v>PE1327</v>
      </c>
      <c r="B1328" s="7" t="str">
        <f>IFERROR(__xludf.DUMMYFUNCTION("""COMPUTED_VALUE"""),"S173")</f>
        <v>S173</v>
      </c>
      <c r="C1328" s="7" t="str">
        <f>IFERROR(__xludf.DUMMYFUNCTION("""COMPUTED_VALUE"""),"Kubernetes Package Management (Helm &amp; Kustomize)")</f>
        <v>Kubernetes Package Management (Helm &amp; Kustomize)</v>
      </c>
      <c r="D1328" s="7" t="str">
        <f>IFERROR(__xludf.DUMMYFUNCTION("""COMPUTED_VALUE"""),"S188")</f>
        <v>S188</v>
      </c>
      <c r="E1328" s="7" t="str">
        <f>IFERROR(__xludf.DUMMYFUNCTION("""COMPUTED_VALUE"""),"High Availability, Failover &amp; Disaster Recovery")</f>
        <v>High Availability, Failover &amp; Disaster Recovery</v>
      </c>
      <c r="F1328" s="7" t="str">
        <f>IFERROR(__xludf.DUMMYFUNCTION("""COMPUTED_VALUE"""),"S173 unlocks S188")</f>
        <v>S173 unlocks S188</v>
      </c>
    </row>
    <row r="1329">
      <c r="A1329" s="7" t="str">
        <f>IFERROR(__xludf.DUMMYFUNCTION("""COMPUTED_VALUE"""),"PE1328")</f>
        <v>PE1328</v>
      </c>
      <c r="B1329" s="7" t="str">
        <f>IFERROR(__xludf.DUMMYFUNCTION("""COMPUTED_VALUE"""),"S173")</f>
        <v>S173</v>
      </c>
      <c r="C1329" s="7" t="str">
        <f>IFERROR(__xludf.DUMMYFUNCTION("""COMPUTED_VALUE"""),"Kubernetes Package Management (Helm &amp; Kustomize)")</f>
        <v>Kubernetes Package Management (Helm &amp; Kustomize)</v>
      </c>
      <c r="D1329" s="7" t="str">
        <f>IFERROR(__xludf.DUMMYFUNCTION("""COMPUTED_VALUE"""),"S190")</f>
        <v>S190</v>
      </c>
      <c r="E1329" s="7" t="str">
        <f>IFERROR(__xludf.DUMMYFUNCTION("""COMPUTED_VALUE"""),"Internal Developer Platforms (IDP &amp; Backstage)")</f>
        <v>Internal Developer Platforms (IDP &amp; Backstage)</v>
      </c>
      <c r="F1329" s="7" t="str">
        <f>IFERROR(__xludf.DUMMYFUNCTION("""COMPUTED_VALUE"""),"S173 unlocks S190")</f>
        <v>S173 unlocks S190</v>
      </c>
    </row>
    <row r="1330">
      <c r="A1330" s="7" t="str">
        <f>IFERROR(__xludf.DUMMYFUNCTION("""COMPUTED_VALUE"""),"PE1329")</f>
        <v>PE1329</v>
      </c>
      <c r="B1330" s="7" t="str">
        <f>IFERROR(__xludf.DUMMYFUNCTION("""COMPUTED_VALUE"""),"S173")</f>
        <v>S173</v>
      </c>
      <c r="C1330" s="7" t="str">
        <f>IFERROR(__xludf.DUMMYFUNCTION("""COMPUTED_VALUE"""),"Kubernetes Package Management (Helm &amp; Kustomize)")</f>
        <v>Kubernetes Package Management (Helm &amp; Kustomize)</v>
      </c>
      <c r="D1330" s="7" t="str">
        <f>IFERROR(__xludf.DUMMYFUNCTION("""COMPUTED_VALUE"""),"S195")</f>
        <v>S195</v>
      </c>
      <c r="E1330" s="7" t="str">
        <f>IFERROR(__xludf.DUMMYFUNCTION("""COMPUTED_VALUE"""),"Enterprise Routing &amp; Switching (BGP, OSPF, Cisco IOS)")</f>
        <v>Enterprise Routing &amp; Switching (BGP, OSPF, Cisco IOS)</v>
      </c>
      <c r="F1330" s="7" t="str">
        <f>IFERROR(__xludf.DUMMYFUNCTION("""COMPUTED_VALUE"""),"S173 unlocks S195")</f>
        <v>S173 unlocks S195</v>
      </c>
    </row>
    <row r="1331">
      <c r="A1331" s="7" t="str">
        <f>IFERROR(__xludf.DUMMYFUNCTION("""COMPUTED_VALUE"""),"PE1330")</f>
        <v>PE1330</v>
      </c>
      <c r="B1331" s="7" t="str">
        <f>IFERROR(__xludf.DUMMYFUNCTION("""COMPUTED_VALUE"""),"S174")</f>
        <v>S174</v>
      </c>
      <c r="C1331" s="7" t="str">
        <f>IFERROR(__xludf.DUMMYFUNCTION("""COMPUTED_VALUE"""),"Amazon Web Services Core (EC2, S3, RDS, IAM, VPC)")</f>
        <v>Amazon Web Services Core (EC2, S3, RDS, IAM, VPC)</v>
      </c>
      <c r="D1331" s="7" t="str">
        <f>IFERROR(__xludf.DUMMYFUNCTION("""COMPUTED_VALUE"""),"S172")</f>
        <v>S172</v>
      </c>
      <c r="E1331" s="7" t="str">
        <f>IFERROR(__xludf.DUMMYFUNCTION("""COMPUTED_VALUE"""),"Kubernetes Cluster Orchestration (K8s)")</f>
        <v>Kubernetes Cluster Orchestration (K8s)</v>
      </c>
      <c r="F1331" s="7" t="str">
        <f>IFERROR(__xludf.DUMMYFUNCTION("""COMPUTED_VALUE"""),"S174 unlocks S172")</f>
        <v>S174 unlocks S172</v>
      </c>
    </row>
    <row r="1332">
      <c r="A1332" s="7" t="str">
        <f>IFERROR(__xludf.DUMMYFUNCTION("""COMPUTED_VALUE"""),"PE1331")</f>
        <v>PE1331</v>
      </c>
      <c r="B1332" s="7" t="str">
        <f>IFERROR(__xludf.DUMMYFUNCTION("""COMPUTED_VALUE"""),"S174")</f>
        <v>S174</v>
      </c>
      <c r="C1332" s="7" t="str">
        <f>IFERROR(__xludf.DUMMYFUNCTION("""COMPUTED_VALUE"""),"Amazon Web Services Core (EC2, S3, RDS, IAM, VPC)")</f>
        <v>Amazon Web Services Core (EC2, S3, RDS, IAM, VPC)</v>
      </c>
      <c r="D1332" s="7" t="str">
        <f>IFERROR(__xludf.DUMMYFUNCTION("""COMPUTED_VALUE"""),"S178")</f>
        <v>S178</v>
      </c>
      <c r="E1332" s="7" t="str">
        <f>IFERROR(__xludf.DUMMYFUNCTION("""COMPUTED_VALUE"""),"Infrastructure as Code (Terraform &amp; OpenTofu)")</f>
        <v>Infrastructure as Code (Terraform &amp; OpenTofu)</v>
      </c>
      <c r="F1332" s="7" t="str">
        <f>IFERROR(__xludf.DUMMYFUNCTION("""COMPUTED_VALUE"""),"S174 unlocks S178")</f>
        <v>S174 unlocks S178</v>
      </c>
    </row>
    <row r="1333">
      <c r="A1333" s="7" t="str">
        <f>IFERROR(__xludf.DUMMYFUNCTION("""COMPUTED_VALUE"""),"PE1332")</f>
        <v>PE1332</v>
      </c>
      <c r="B1333" s="7" t="str">
        <f>IFERROR(__xludf.DUMMYFUNCTION("""COMPUTED_VALUE"""),"S174")</f>
        <v>S174</v>
      </c>
      <c r="C1333" s="7" t="str">
        <f>IFERROR(__xludf.DUMMYFUNCTION("""COMPUTED_VALUE"""),"Amazon Web Services Core (EC2, S3, RDS, IAM, VPC)")</f>
        <v>Amazon Web Services Core (EC2, S3, RDS, IAM, VPC)</v>
      </c>
      <c r="D1333" s="7" t="str">
        <f>IFERROR(__xludf.DUMMYFUNCTION("""COMPUTED_VALUE"""),"S182")</f>
        <v>S182</v>
      </c>
      <c r="E1333" s="7" t="str">
        <f>IFERROR(__xludf.DUMMYFUNCTION("""COMPUTED_VALUE"""),"GitOps &amp; Continuous Delivery (ArgoCD, Flux)")</f>
        <v>GitOps &amp; Continuous Delivery (ArgoCD, Flux)</v>
      </c>
      <c r="F1333" s="7" t="str">
        <f>IFERROR(__xludf.DUMMYFUNCTION("""COMPUTED_VALUE"""),"S174 unlocks S182")</f>
        <v>S174 unlocks S182</v>
      </c>
    </row>
    <row r="1334">
      <c r="A1334" s="7" t="str">
        <f>IFERROR(__xludf.DUMMYFUNCTION("""COMPUTED_VALUE"""),"PE1333")</f>
        <v>PE1333</v>
      </c>
      <c r="B1334" s="7" t="str">
        <f>IFERROR(__xludf.DUMMYFUNCTION("""COMPUTED_VALUE"""),"S174")</f>
        <v>S174</v>
      </c>
      <c r="C1334" s="7" t="str">
        <f>IFERROR(__xludf.DUMMYFUNCTION("""COMPUTED_VALUE"""),"Amazon Web Services Core (EC2, S3, RDS, IAM, VPC)")</f>
        <v>Amazon Web Services Core (EC2, S3, RDS, IAM, VPC)</v>
      </c>
      <c r="D1334" s="7" t="str">
        <f>IFERROR(__xludf.DUMMYFUNCTION("""COMPUTED_VALUE"""),"S185")</f>
        <v>S185</v>
      </c>
      <c r="E1334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34" s="7" t="str">
        <f>IFERROR(__xludf.DUMMYFUNCTION("""COMPUTED_VALUE"""),"S174 unlocks S185")</f>
        <v>S174 unlocks S185</v>
      </c>
    </row>
    <row r="1335">
      <c r="A1335" s="7" t="str">
        <f>IFERROR(__xludf.DUMMYFUNCTION("""COMPUTED_VALUE"""),"PE1334")</f>
        <v>PE1334</v>
      </c>
      <c r="B1335" s="7" t="str">
        <f>IFERROR(__xludf.DUMMYFUNCTION("""COMPUTED_VALUE"""),"S174")</f>
        <v>S174</v>
      </c>
      <c r="C1335" s="7" t="str">
        <f>IFERROR(__xludf.DUMMYFUNCTION("""COMPUTED_VALUE"""),"Amazon Web Services Core (EC2, S3, RDS, IAM, VPC)")</f>
        <v>Amazon Web Services Core (EC2, S3, RDS, IAM, VPC)</v>
      </c>
      <c r="D1335" s="7" t="str">
        <f>IFERROR(__xludf.DUMMYFUNCTION("""COMPUTED_VALUE"""),"S186")</f>
        <v>S186</v>
      </c>
      <c r="E1335" s="7" t="str">
        <f>IFERROR(__xludf.DUMMYFUNCTION("""COMPUTED_VALUE"""),"Site Reliability Engineering (SLIs, SLOs, SLAs &amp; Error Budgets)")</f>
        <v>Site Reliability Engineering (SLIs, SLOs, SLAs &amp; Error Budgets)</v>
      </c>
      <c r="F1335" s="7" t="str">
        <f>IFERROR(__xludf.DUMMYFUNCTION("""COMPUTED_VALUE"""),"S174 unlocks S186")</f>
        <v>S174 unlocks S186</v>
      </c>
    </row>
    <row r="1336">
      <c r="A1336" s="7" t="str">
        <f>IFERROR(__xludf.DUMMYFUNCTION("""COMPUTED_VALUE"""),"PE1335")</f>
        <v>PE1335</v>
      </c>
      <c r="B1336" s="7" t="str">
        <f>IFERROR(__xludf.DUMMYFUNCTION("""COMPUTED_VALUE"""),"S174")</f>
        <v>S174</v>
      </c>
      <c r="C1336" s="7" t="str">
        <f>IFERROR(__xludf.DUMMYFUNCTION("""COMPUTED_VALUE"""),"Amazon Web Services Core (EC2, S3, RDS, IAM, VPC)")</f>
        <v>Amazon Web Services Core (EC2, S3, RDS, IAM, VPC)</v>
      </c>
      <c r="D1336" s="7" t="str">
        <f>IFERROR(__xludf.DUMMYFUNCTION("""COMPUTED_VALUE"""),"S187")</f>
        <v>S187</v>
      </c>
      <c r="E1336" s="7" t="str">
        <f>IFERROR(__xludf.DUMMYFUNCTION("""COMPUTED_VALUE"""),"Chaos Engineering &amp; Fault Injection")</f>
        <v>Chaos Engineering &amp; Fault Injection</v>
      </c>
      <c r="F1336" s="7" t="str">
        <f>IFERROR(__xludf.DUMMYFUNCTION("""COMPUTED_VALUE"""),"S174 unlocks S187")</f>
        <v>S174 unlocks S187</v>
      </c>
    </row>
    <row r="1337">
      <c r="A1337" s="7" t="str">
        <f>IFERROR(__xludf.DUMMYFUNCTION("""COMPUTED_VALUE"""),"PE1336")</f>
        <v>PE1336</v>
      </c>
      <c r="B1337" s="7" t="str">
        <f>IFERROR(__xludf.DUMMYFUNCTION("""COMPUTED_VALUE"""),"S174")</f>
        <v>S174</v>
      </c>
      <c r="C1337" s="7" t="str">
        <f>IFERROR(__xludf.DUMMYFUNCTION("""COMPUTED_VALUE"""),"Amazon Web Services Core (EC2, S3, RDS, IAM, VPC)")</f>
        <v>Amazon Web Services Core (EC2, S3, RDS, IAM, VPC)</v>
      </c>
      <c r="D1337" s="7" t="str">
        <f>IFERROR(__xludf.DUMMYFUNCTION("""COMPUTED_VALUE"""),"S188")</f>
        <v>S188</v>
      </c>
      <c r="E1337" s="7" t="str">
        <f>IFERROR(__xludf.DUMMYFUNCTION("""COMPUTED_VALUE"""),"High Availability, Failover &amp; Disaster Recovery")</f>
        <v>High Availability, Failover &amp; Disaster Recovery</v>
      </c>
      <c r="F1337" s="7" t="str">
        <f>IFERROR(__xludf.DUMMYFUNCTION("""COMPUTED_VALUE"""),"S174 unlocks S188")</f>
        <v>S174 unlocks S188</v>
      </c>
    </row>
    <row r="1338">
      <c r="A1338" s="7" t="str">
        <f>IFERROR(__xludf.DUMMYFUNCTION("""COMPUTED_VALUE"""),"PE1337")</f>
        <v>PE1337</v>
      </c>
      <c r="B1338" s="7" t="str">
        <f>IFERROR(__xludf.DUMMYFUNCTION("""COMPUTED_VALUE"""),"S174")</f>
        <v>S174</v>
      </c>
      <c r="C1338" s="7" t="str">
        <f>IFERROR(__xludf.DUMMYFUNCTION("""COMPUTED_VALUE"""),"Amazon Web Services Core (EC2, S3, RDS, IAM, VPC)")</f>
        <v>Amazon Web Services Core (EC2, S3, RDS, IAM, VPC)</v>
      </c>
      <c r="D1338" s="7" t="str">
        <f>IFERROR(__xludf.DUMMYFUNCTION("""COMPUTED_VALUE"""),"S190")</f>
        <v>S190</v>
      </c>
      <c r="E1338" s="7" t="str">
        <f>IFERROR(__xludf.DUMMYFUNCTION("""COMPUTED_VALUE"""),"Internal Developer Platforms (IDP &amp; Backstage)")</f>
        <v>Internal Developer Platforms (IDP &amp; Backstage)</v>
      </c>
      <c r="F1338" s="7" t="str">
        <f>IFERROR(__xludf.DUMMYFUNCTION("""COMPUTED_VALUE"""),"S174 unlocks S190")</f>
        <v>S174 unlocks S190</v>
      </c>
    </row>
    <row r="1339">
      <c r="A1339" s="7" t="str">
        <f>IFERROR(__xludf.DUMMYFUNCTION("""COMPUTED_VALUE"""),"PE1338")</f>
        <v>PE1338</v>
      </c>
      <c r="B1339" s="7" t="str">
        <f>IFERROR(__xludf.DUMMYFUNCTION("""COMPUTED_VALUE"""),"S174")</f>
        <v>S174</v>
      </c>
      <c r="C1339" s="7" t="str">
        <f>IFERROR(__xludf.DUMMYFUNCTION("""COMPUTED_VALUE"""),"Amazon Web Services Core (EC2, S3, RDS, IAM, VPC)")</f>
        <v>Amazon Web Services Core (EC2, S3, RDS, IAM, VPC)</v>
      </c>
      <c r="D1339" s="7" t="str">
        <f>IFERROR(__xludf.DUMMYFUNCTION("""COMPUTED_VALUE"""),"S195")</f>
        <v>S195</v>
      </c>
      <c r="E1339" s="7" t="str">
        <f>IFERROR(__xludf.DUMMYFUNCTION("""COMPUTED_VALUE"""),"Enterprise Routing &amp; Switching (BGP, OSPF, Cisco IOS)")</f>
        <v>Enterprise Routing &amp; Switching (BGP, OSPF, Cisco IOS)</v>
      </c>
      <c r="F1339" s="7" t="str">
        <f>IFERROR(__xludf.DUMMYFUNCTION("""COMPUTED_VALUE"""),"S174 unlocks S195")</f>
        <v>S174 unlocks S195</v>
      </c>
    </row>
    <row r="1340">
      <c r="A1340" s="7" t="str">
        <f>IFERROR(__xludf.DUMMYFUNCTION("""COMPUTED_VALUE"""),"PE1339")</f>
        <v>PE1339</v>
      </c>
      <c r="B1340" s="7" t="str">
        <f>IFERROR(__xludf.DUMMYFUNCTION("""COMPUTED_VALUE"""),"S175")</f>
        <v>S175</v>
      </c>
      <c r="C1340" s="7" t="str">
        <f>IFERROR(__xludf.DUMMYFUNCTION("""COMPUTED_VALUE"""),"Microsoft Azure Cloud Services")</f>
        <v>Microsoft Azure Cloud Services</v>
      </c>
      <c r="D1340" s="7" t="str">
        <f>IFERROR(__xludf.DUMMYFUNCTION("""COMPUTED_VALUE"""),"S172")</f>
        <v>S172</v>
      </c>
      <c r="E1340" s="7" t="str">
        <f>IFERROR(__xludf.DUMMYFUNCTION("""COMPUTED_VALUE"""),"Kubernetes Cluster Orchestration (K8s)")</f>
        <v>Kubernetes Cluster Orchestration (K8s)</v>
      </c>
      <c r="F1340" s="7" t="str">
        <f>IFERROR(__xludf.DUMMYFUNCTION("""COMPUTED_VALUE"""),"S175 unlocks S172")</f>
        <v>S175 unlocks S172</v>
      </c>
    </row>
    <row r="1341">
      <c r="A1341" s="7" t="str">
        <f>IFERROR(__xludf.DUMMYFUNCTION("""COMPUTED_VALUE"""),"PE1340")</f>
        <v>PE1340</v>
      </c>
      <c r="B1341" s="7" t="str">
        <f>IFERROR(__xludf.DUMMYFUNCTION("""COMPUTED_VALUE"""),"S175")</f>
        <v>S175</v>
      </c>
      <c r="C1341" s="7" t="str">
        <f>IFERROR(__xludf.DUMMYFUNCTION("""COMPUTED_VALUE"""),"Microsoft Azure Cloud Services")</f>
        <v>Microsoft Azure Cloud Services</v>
      </c>
      <c r="D1341" s="7" t="str">
        <f>IFERROR(__xludf.DUMMYFUNCTION("""COMPUTED_VALUE"""),"S178")</f>
        <v>S178</v>
      </c>
      <c r="E1341" s="7" t="str">
        <f>IFERROR(__xludf.DUMMYFUNCTION("""COMPUTED_VALUE"""),"Infrastructure as Code (Terraform &amp; OpenTofu)")</f>
        <v>Infrastructure as Code (Terraform &amp; OpenTofu)</v>
      </c>
      <c r="F1341" s="7" t="str">
        <f>IFERROR(__xludf.DUMMYFUNCTION("""COMPUTED_VALUE"""),"S175 unlocks S178")</f>
        <v>S175 unlocks S178</v>
      </c>
    </row>
    <row r="1342">
      <c r="A1342" s="7" t="str">
        <f>IFERROR(__xludf.DUMMYFUNCTION("""COMPUTED_VALUE"""),"PE1341")</f>
        <v>PE1341</v>
      </c>
      <c r="B1342" s="7" t="str">
        <f>IFERROR(__xludf.DUMMYFUNCTION("""COMPUTED_VALUE"""),"S175")</f>
        <v>S175</v>
      </c>
      <c r="C1342" s="7" t="str">
        <f>IFERROR(__xludf.DUMMYFUNCTION("""COMPUTED_VALUE"""),"Microsoft Azure Cloud Services")</f>
        <v>Microsoft Azure Cloud Services</v>
      </c>
      <c r="D1342" s="7" t="str">
        <f>IFERROR(__xludf.DUMMYFUNCTION("""COMPUTED_VALUE"""),"S182")</f>
        <v>S182</v>
      </c>
      <c r="E1342" s="7" t="str">
        <f>IFERROR(__xludf.DUMMYFUNCTION("""COMPUTED_VALUE"""),"GitOps &amp; Continuous Delivery (ArgoCD, Flux)")</f>
        <v>GitOps &amp; Continuous Delivery (ArgoCD, Flux)</v>
      </c>
      <c r="F1342" s="7" t="str">
        <f>IFERROR(__xludf.DUMMYFUNCTION("""COMPUTED_VALUE"""),"S175 unlocks S182")</f>
        <v>S175 unlocks S182</v>
      </c>
    </row>
    <row r="1343">
      <c r="A1343" s="7" t="str">
        <f>IFERROR(__xludf.DUMMYFUNCTION("""COMPUTED_VALUE"""),"PE1342")</f>
        <v>PE1342</v>
      </c>
      <c r="B1343" s="7" t="str">
        <f>IFERROR(__xludf.DUMMYFUNCTION("""COMPUTED_VALUE"""),"S175")</f>
        <v>S175</v>
      </c>
      <c r="C1343" s="7" t="str">
        <f>IFERROR(__xludf.DUMMYFUNCTION("""COMPUTED_VALUE"""),"Microsoft Azure Cloud Services")</f>
        <v>Microsoft Azure Cloud Services</v>
      </c>
      <c r="D1343" s="7" t="str">
        <f>IFERROR(__xludf.DUMMYFUNCTION("""COMPUTED_VALUE"""),"S185")</f>
        <v>S185</v>
      </c>
      <c r="E1343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43" s="7" t="str">
        <f>IFERROR(__xludf.DUMMYFUNCTION("""COMPUTED_VALUE"""),"S175 unlocks S185")</f>
        <v>S175 unlocks S185</v>
      </c>
    </row>
    <row r="1344">
      <c r="A1344" s="7" t="str">
        <f>IFERROR(__xludf.DUMMYFUNCTION("""COMPUTED_VALUE"""),"PE1343")</f>
        <v>PE1343</v>
      </c>
      <c r="B1344" s="7" t="str">
        <f>IFERROR(__xludf.DUMMYFUNCTION("""COMPUTED_VALUE"""),"S175")</f>
        <v>S175</v>
      </c>
      <c r="C1344" s="7" t="str">
        <f>IFERROR(__xludf.DUMMYFUNCTION("""COMPUTED_VALUE"""),"Microsoft Azure Cloud Services")</f>
        <v>Microsoft Azure Cloud Services</v>
      </c>
      <c r="D1344" s="7" t="str">
        <f>IFERROR(__xludf.DUMMYFUNCTION("""COMPUTED_VALUE"""),"S186")</f>
        <v>S186</v>
      </c>
      <c r="E1344" s="7" t="str">
        <f>IFERROR(__xludf.DUMMYFUNCTION("""COMPUTED_VALUE"""),"Site Reliability Engineering (SLIs, SLOs, SLAs &amp; Error Budgets)")</f>
        <v>Site Reliability Engineering (SLIs, SLOs, SLAs &amp; Error Budgets)</v>
      </c>
      <c r="F1344" s="7" t="str">
        <f>IFERROR(__xludf.DUMMYFUNCTION("""COMPUTED_VALUE"""),"S175 unlocks S186")</f>
        <v>S175 unlocks S186</v>
      </c>
    </row>
    <row r="1345">
      <c r="A1345" s="7" t="str">
        <f>IFERROR(__xludf.DUMMYFUNCTION("""COMPUTED_VALUE"""),"PE1344")</f>
        <v>PE1344</v>
      </c>
      <c r="B1345" s="7" t="str">
        <f>IFERROR(__xludf.DUMMYFUNCTION("""COMPUTED_VALUE"""),"S175")</f>
        <v>S175</v>
      </c>
      <c r="C1345" s="7" t="str">
        <f>IFERROR(__xludf.DUMMYFUNCTION("""COMPUTED_VALUE"""),"Microsoft Azure Cloud Services")</f>
        <v>Microsoft Azure Cloud Services</v>
      </c>
      <c r="D1345" s="7" t="str">
        <f>IFERROR(__xludf.DUMMYFUNCTION("""COMPUTED_VALUE"""),"S187")</f>
        <v>S187</v>
      </c>
      <c r="E1345" s="7" t="str">
        <f>IFERROR(__xludf.DUMMYFUNCTION("""COMPUTED_VALUE"""),"Chaos Engineering &amp; Fault Injection")</f>
        <v>Chaos Engineering &amp; Fault Injection</v>
      </c>
      <c r="F1345" s="7" t="str">
        <f>IFERROR(__xludf.DUMMYFUNCTION("""COMPUTED_VALUE"""),"S175 unlocks S187")</f>
        <v>S175 unlocks S187</v>
      </c>
    </row>
    <row r="1346">
      <c r="A1346" s="7" t="str">
        <f>IFERROR(__xludf.DUMMYFUNCTION("""COMPUTED_VALUE"""),"PE1345")</f>
        <v>PE1345</v>
      </c>
      <c r="B1346" s="7" t="str">
        <f>IFERROR(__xludf.DUMMYFUNCTION("""COMPUTED_VALUE"""),"S175")</f>
        <v>S175</v>
      </c>
      <c r="C1346" s="7" t="str">
        <f>IFERROR(__xludf.DUMMYFUNCTION("""COMPUTED_VALUE"""),"Microsoft Azure Cloud Services")</f>
        <v>Microsoft Azure Cloud Services</v>
      </c>
      <c r="D1346" s="7" t="str">
        <f>IFERROR(__xludf.DUMMYFUNCTION("""COMPUTED_VALUE"""),"S188")</f>
        <v>S188</v>
      </c>
      <c r="E1346" s="7" t="str">
        <f>IFERROR(__xludf.DUMMYFUNCTION("""COMPUTED_VALUE"""),"High Availability, Failover &amp; Disaster Recovery")</f>
        <v>High Availability, Failover &amp; Disaster Recovery</v>
      </c>
      <c r="F1346" s="7" t="str">
        <f>IFERROR(__xludf.DUMMYFUNCTION("""COMPUTED_VALUE"""),"S175 unlocks S188")</f>
        <v>S175 unlocks S188</v>
      </c>
    </row>
    <row r="1347">
      <c r="A1347" s="7" t="str">
        <f>IFERROR(__xludf.DUMMYFUNCTION("""COMPUTED_VALUE"""),"PE1346")</f>
        <v>PE1346</v>
      </c>
      <c r="B1347" s="7" t="str">
        <f>IFERROR(__xludf.DUMMYFUNCTION("""COMPUTED_VALUE"""),"S175")</f>
        <v>S175</v>
      </c>
      <c r="C1347" s="7" t="str">
        <f>IFERROR(__xludf.DUMMYFUNCTION("""COMPUTED_VALUE"""),"Microsoft Azure Cloud Services")</f>
        <v>Microsoft Azure Cloud Services</v>
      </c>
      <c r="D1347" s="7" t="str">
        <f>IFERROR(__xludf.DUMMYFUNCTION("""COMPUTED_VALUE"""),"S190")</f>
        <v>S190</v>
      </c>
      <c r="E1347" s="7" t="str">
        <f>IFERROR(__xludf.DUMMYFUNCTION("""COMPUTED_VALUE"""),"Internal Developer Platforms (IDP &amp; Backstage)")</f>
        <v>Internal Developer Platforms (IDP &amp; Backstage)</v>
      </c>
      <c r="F1347" s="7" t="str">
        <f>IFERROR(__xludf.DUMMYFUNCTION("""COMPUTED_VALUE"""),"S175 unlocks S190")</f>
        <v>S175 unlocks S190</v>
      </c>
    </row>
    <row r="1348">
      <c r="A1348" s="7" t="str">
        <f>IFERROR(__xludf.DUMMYFUNCTION("""COMPUTED_VALUE"""),"PE1347")</f>
        <v>PE1347</v>
      </c>
      <c r="B1348" s="7" t="str">
        <f>IFERROR(__xludf.DUMMYFUNCTION("""COMPUTED_VALUE"""),"S175")</f>
        <v>S175</v>
      </c>
      <c r="C1348" s="7" t="str">
        <f>IFERROR(__xludf.DUMMYFUNCTION("""COMPUTED_VALUE"""),"Microsoft Azure Cloud Services")</f>
        <v>Microsoft Azure Cloud Services</v>
      </c>
      <c r="D1348" s="7" t="str">
        <f>IFERROR(__xludf.DUMMYFUNCTION("""COMPUTED_VALUE"""),"S195")</f>
        <v>S195</v>
      </c>
      <c r="E1348" s="7" t="str">
        <f>IFERROR(__xludf.DUMMYFUNCTION("""COMPUTED_VALUE"""),"Enterprise Routing &amp; Switching (BGP, OSPF, Cisco IOS)")</f>
        <v>Enterprise Routing &amp; Switching (BGP, OSPF, Cisco IOS)</v>
      </c>
      <c r="F1348" s="7" t="str">
        <f>IFERROR(__xludf.DUMMYFUNCTION("""COMPUTED_VALUE"""),"S175 unlocks S195")</f>
        <v>S175 unlocks S195</v>
      </c>
    </row>
    <row r="1349">
      <c r="A1349" s="7" t="str">
        <f>IFERROR(__xludf.DUMMYFUNCTION("""COMPUTED_VALUE"""),"PE1348")</f>
        <v>PE1348</v>
      </c>
      <c r="B1349" s="7" t="str">
        <f>IFERROR(__xludf.DUMMYFUNCTION("""COMPUTED_VALUE"""),"S176")</f>
        <v>S176</v>
      </c>
      <c r="C1349" s="7" t="str">
        <f>IFERROR(__xludf.DUMMYFUNCTION("""COMPUTED_VALUE"""),"Google Cloud Platform (GCP) Services")</f>
        <v>Google Cloud Platform (GCP) Services</v>
      </c>
      <c r="D1349" s="7" t="str">
        <f>IFERROR(__xludf.DUMMYFUNCTION("""COMPUTED_VALUE"""),"S172")</f>
        <v>S172</v>
      </c>
      <c r="E1349" s="7" t="str">
        <f>IFERROR(__xludf.DUMMYFUNCTION("""COMPUTED_VALUE"""),"Kubernetes Cluster Orchestration (K8s)")</f>
        <v>Kubernetes Cluster Orchestration (K8s)</v>
      </c>
      <c r="F1349" s="7" t="str">
        <f>IFERROR(__xludf.DUMMYFUNCTION("""COMPUTED_VALUE"""),"S176 unlocks S172")</f>
        <v>S176 unlocks S172</v>
      </c>
    </row>
    <row r="1350">
      <c r="A1350" s="7" t="str">
        <f>IFERROR(__xludf.DUMMYFUNCTION("""COMPUTED_VALUE"""),"PE1349")</f>
        <v>PE1349</v>
      </c>
      <c r="B1350" s="7" t="str">
        <f>IFERROR(__xludf.DUMMYFUNCTION("""COMPUTED_VALUE"""),"S176")</f>
        <v>S176</v>
      </c>
      <c r="C1350" s="7" t="str">
        <f>IFERROR(__xludf.DUMMYFUNCTION("""COMPUTED_VALUE"""),"Google Cloud Platform (GCP) Services")</f>
        <v>Google Cloud Platform (GCP) Services</v>
      </c>
      <c r="D1350" s="7" t="str">
        <f>IFERROR(__xludf.DUMMYFUNCTION("""COMPUTED_VALUE"""),"S178")</f>
        <v>S178</v>
      </c>
      <c r="E1350" s="7" t="str">
        <f>IFERROR(__xludf.DUMMYFUNCTION("""COMPUTED_VALUE"""),"Infrastructure as Code (Terraform &amp; OpenTofu)")</f>
        <v>Infrastructure as Code (Terraform &amp; OpenTofu)</v>
      </c>
      <c r="F1350" s="7" t="str">
        <f>IFERROR(__xludf.DUMMYFUNCTION("""COMPUTED_VALUE"""),"S176 unlocks S178")</f>
        <v>S176 unlocks S178</v>
      </c>
    </row>
    <row r="1351">
      <c r="A1351" s="7" t="str">
        <f>IFERROR(__xludf.DUMMYFUNCTION("""COMPUTED_VALUE"""),"PE1350")</f>
        <v>PE1350</v>
      </c>
      <c r="B1351" s="7" t="str">
        <f>IFERROR(__xludf.DUMMYFUNCTION("""COMPUTED_VALUE"""),"S176")</f>
        <v>S176</v>
      </c>
      <c r="C1351" s="7" t="str">
        <f>IFERROR(__xludf.DUMMYFUNCTION("""COMPUTED_VALUE"""),"Google Cloud Platform (GCP) Services")</f>
        <v>Google Cloud Platform (GCP) Services</v>
      </c>
      <c r="D1351" s="7" t="str">
        <f>IFERROR(__xludf.DUMMYFUNCTION("""COMPUTED_VALUE"""),"S182")</f>
        <v>S182</v>
      </c>
      <c r="E1351" s="7" t="str">
        <f>IFERROR(__xludf.DUMMYFUNCTION("""COMPUTED_VALUE"""),"GitOps &amp; Continuous Delivery (ArgoCD, Flux)")</f>
        <v>GitOps &amp; Continuous Delivery (ArgoCD, Flux)</v>
      </c>
      <c r="F1351" s="7" t="str">
        <f>IFERROR(__xludf.DUMMYFUNCTION("""COMPUTED_VALUE"""),"S176 unlocks S182")</f>
        <v>S176 unlocks S182</v>
      </c>
    </row>
    <row r="1352">
      <c r="A1352" s="7" t="str">
        <f>IFERROR(__xludf.DUMMYFUNCTION("""COMPUTED_VALUE"""),"PE1351")</f>
        <v>PE1351</v>
      </c>
      <c r="B1352" s="7" t="str">
        <f>IFERROR(__xludf.DUMMYFUNCTION("""COMPUTED_VALUE"""),"S176")</f>
        <v>S176</v>
      </c>
      <c r="C1352" s="7" t="str">
        <f>IFERROR(__xludf.DUMMYFUNCTION("""COMPUTED_VALUE"""),"Google Cloud Platform (GCP) Services")</f>
        <v>Google Cloud Platform (GCP) Services</v>
      </c>
      <c r="D1352" s="7" t="str">
        <f>IFERROR(__xludf.DUMMYFUNCTION("""COMPUTED_VALUE"""),"S185")</f>
        <v>S185</v>
      </c>
      <c r="E1352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52" s="7" t="str">
        <f>IFERROR(__xludf.DUMMYFUNCTION("""COMPUTED_VALUE"""),"S176 unlocks S185")</f>
        <v>S176 unlocks S185</v>
      </c>
    </row>
    <row r="1353">
      <c r="A1353" s="7" t="str">
        <f>IFERROR(__xludf.DUMMYFUNCTION("""COMPUTED_VALUE"""),"PE1352")</f>
        <v>PE1352</v>
      </c>
      <c r="B1353" s="7" t="str">
        <f>IFERROR(__xludf.DUMMYFUNCTION("""COMPUTED_VALUE"""),"S176")</f>
        <v>S176</v>
      </c>
      <c r="C1353" s="7" t="str">
        <f>IFERROR(__xludf.DUMMYFUNCTION("""COMPUTED_VALUE"""),"Google Cloud Platform (GCP) Services")</f>
        <v>Google Cloud Platform (GCP) Services</v>
      </c>
      <c r="D1353" s="7" t="str">
        <f>IFERROR(__xludf.DUMMYFUNCTION("""COMPUTED_VALUE"""),"S186")</f>
        <v>S186</v>
      </c>
      <c r="E1353" s="7" t="str">
        <f>IFERROR(__xludf.DUMMYFUNCTION("""COMPUTED_VALUE"""),"Site Reliability Engineering (SLIs, SLOs, SLAs &amp; Error Budgets)")</f>
        <v>Site Reliability Engineering (SLIs, SLOs, SLAs &amp; Error Budgets)</v>
      </c>
      <c r="F1353" s="7" t="str">
        <f>IFERROR(__xludf.DUMMYFUNCTION("""COMPUTED_VALUE"""),"S176 unlocks S186")</f>
        <v>S176 unlocks S186</v>
      </c>
    </row>
    <row r="1354">
      <c r="A1354" s="7" t="str">
        <f>IFERROR(__xludf.DUMMYFUNCTION("""COMPUTED_VALUE"""),"PE1353")</f>
        <v>PE1353</v>
      </c>
      <c r="B1354" s="7" t="str">
        <f>IFERROR(__xludf.DUMMYFUNCTION("""COMPUTED_VALUE"""),"S176")</f>
        <v>S176</v>
      </c>
      <c r="C1354" s="7" t="str">
        <f>IFERROR(__xludf.DUMMYFUNCTION("""COMPUTED_VALUE"""),"Google Cloud Platform (GCP) Services")</f>
        <v>Google Cloud Platform (GCP) Services</v>
      </c>
      <c r="D1354" s="7" t="str">
        <f>IFERROR(__xludf.DUMMYFUNCTION("""COMPUTED_VALUE"""),"S187")</f>
        <v>S187</v>
      </c>
      <c r="E1354" s="7" t="str">
        <f>IFERROR(__xludf.DUMMYFUNCTION("""COMPUTED_VALUE"""),"Chaos Engineering &amp; Fault Injection")</f>
        <v>Chaos Engineering &amp; Fault Injection</v>
      </c>
      <c r="F1354" s="7" t="str">
        <f>IFERROR(__xludf.DUMMYFUNCTION("""COMPUTED_VALUE"""),"S176 unlocks S187")</f>
        <v>S176 unlocks S187</v>
      </c>
    </row>
    <row r="1355">
      <c r="A1355" s="7" t="str">
        <f>IFERROR(__xludf.DUMMYFUNCTION("""COMPUTED_VALUE"""),"PE1354")</f>
        <v>PE1354</v>
      </c>
      <c r="B1355" s="7" t="str">
        <f>IFERROR(__xludf.DUMMYFUNCTION("""COMPUTED_VALUE"""),"S176")</f>
        <v>S176</v>
      </c>
      <c r="C1355" s="7" t="str">
        <f>IFERROR(__xludf.DUMMYFUNCTION("""COMPUTED_VALUE"""),"Google Cloud Platform (GCP) Services")</f>
        <v>Google Cloud Platform (GCP) Services</v>
      </c>
      <c r="D1355" s="7" t="str">
        <f>IFERROR(__xludf.DUMMYFUNCTION("""COMPUTED_VALUE"""),"S188")</f>
        <v>S188</v>
      </c>
      <c r="E1355" s="7" t="str">
        <f>IFERROR(__xludf.DUMMYFUNCTION("""COMPUTED_VALUE"""),"High Availability, Failover &amp; Disaster Recovery")</f>
        <v>High Availability, Failover &amp; Disaster Recovery</v>
      </c>
      <c r="F1355" s="7" t="str">
        <f>IFERROR(__xludf.DUMMYFUNCTION("""COMPUTED_VALUE"""),"S176 unlocks S188")</f>
        <v>S176 unlocks S188</v>
      </c>
    </row>
    <row r="1356">
      <c r="A1356" s="7" t="str">
        <f>IFERROR(__xludf.DUMMYFUNCTION("""COMPUTED_VALUE"""),"PE1355")</f>
        <v>PE1355</v>
      </c>
      <c r="B1356" s="7" t="str">
        <f>IFERROR(__xludf.DUMMYFUNCTION("""COMPUTED_VALUE"""),"S176")</f>
        <v>S176</v>
      </c>
      <c r="C1356" s="7" t="str">
        <f>IFERROR(__xludf.DUMMYFUNCTION("""COMPUTED_VALUE"""),"Google Cloud Platform (GCP) Services")</f>
        <v>Google Cloud Platform (GCP) Services</v>
      </c>
      <c r="D1356" s="7" t="str">
        <f>IFERROR(__xludf.DUMMYFUNCTION("""COMPUTED_VALUE"""),"S190")</f>
        <v>S190</v>
      </c>
      <c r="E1356" s="7" t="str">
        <f>IFERROR(__xludf.DUMMYFUNCTION("""COMPUTED_VALUE"""),"Internal Developer Platforms (IDP &amp; Backstage)")</f>
        <v>Internal Developer Platforms (IDP &amp; Backstage)</v>
      </c>
      <c r="F1356" s="7" t="str">
        <f>IFERROR(__xludf.DUMMYFUNCTION("""COMPUTED_VALUE"""),"S176 unlocks S190")</f>
        <v>S176 unlocks S190</v>
      </c>
    </row>
    <row r="1357">
      <c r="A1357" s="7" t="str">
        <f>IFERROR(__xludf.DUMMYFUNCTION("""COMPUTED_VALUE"""),"PE1356")</f>
        <v>PE1356</v>
      </c>
      <c r="B1357" s="7" t="str">
        <f>IFERROR(__xludf.DUMMYFUNCTION("""COMPUTED_VALUE"""),"S176")</f>
        <v>S176</v>
      </c>
      <c r="C1357" s="7" t="str">
        <f>IFERROR(__xludf.DUMMYFUNCTION("""COMPUTED_VALUE"""),"Google Cloud Platform (GCP) Services")</f>
        <v>Google Cloud Platform (GCP) Services</v>
      </c>
      <c r="D1357" s="7" t="str">
        <f>IFERROR(__xludf.DUMMYFUNCTION("""COMPUTED_VALUE"""),"S195")</f>
        <v>S195</v>
      </c>
      <c r="E1357" s="7" t="str">
        <f>IFERROR(__xludf.DUMMYFUNCTION("""COMPUTED_VALUE"""),"Enterprise Routing &amp; Switching (BGP, OSPF, Cisco IOS)")</f>
        <v>Enterprise Routing &amp; Switching (BGP, OSPF, Cisco IOS)</v>
      </c>
      <c r="F1357" s="7" t="str">
        <f>IFERROR(__xludf.DUMMYFUNCTION("""COMPUTED_VALUE"""),"S176 unlocks S195")</f>
        <v>S176 unlocks S195</v>
      </c>
    </row>
    <row r="1358">
      <c r="A1358" s="7" t="str">
        <f>IFERROR(__xludf.DUMMYFUNCTION("""COMPUTED_VALUE"""),"PE1357")</f>
        <v>PE1357</v>
      </c>
      <c r="B1358" s="7" t="str">
        <f>IFERROR(__xludf.DUMMYFUNCTION("""COMPUTED_VALUE"""),"S177")</f>
        <v>S177</v>
      </c>
      <c r="C1358" s="7" t="str">
        <f>IFERROR(__xludf.DUMMYFUNCTION("""COMPUTED_VALUE"""),"Serverless Computing (AWS Lambda, Cloud Functions)")</f>
        <v>Serverless Computing (AWS Lambda, Cloud Functions)</v>
      </c>
      <c r="D1358" s="7" t="str">
        <f>IFERROR(__xludf.DUMMYFUNCTION("""COMPUTED_VALUE"""),"S172")</f>
        <v>S172</v>
      </c>
      <c r="E1358" s="7" t="str">
        <f>IFERROR(__xludf.DUMMYFUNCTION("""COMPUTED_VALUE"""),"Kubernetes Cluster Orchestration (K8s)")</f>
        <v>Kubernetes Cluster Orchestration (K8s)</v>
      </c>
      <c r="F1358" s="7" t="str">
        <f>IFERROR(__xludf.DUMMYFUNCTION("""COMPUTED_VALUE"""),"S177 unlocks S172")</f>
        <v>S177 unlocks S172</v>
      </c>
    </row>
    <row r="1359">
      <c r="A1359" s="7" t="str">
        <f>IFERROR(__xludf.DUMMYFUNCTION("""COMPUTED_VALUE"""),"PE1358")</f>
        <v>PE1358</v>
      </c>
      <c r="B1359" s="7" t="str">
        <f>IFERROR(__xludf.DUMMYFUNCTION("""COMPUTED_VALUE"""),"S177")</f>
        <v>S177</v>
      </c>
      <c r="C1359" s="7" t="str">
        <f>IFERROR(__xludf.DUMMYFUNCTION("""COMPUTED_VALUE"""),"Serverless Computing (AWS Lambda, Cloud Functions)")</f>
        <v>Serverless Computing (AWS Lambda, Cloud Functions)</v>
      </c>
      <c r="D1359" s="7" t="str">
        <f>IFERROR(__xludf.DUMMYFUNCTION("""COMPUTED_VALUE"""),"S178")</f>
        <v>S178</v>
      </c>
      <c r="E1359" s="7" t="str">
        <f>IFERROR(__xludf.DUMMYFUNCTION("""COMPUTED_VALUE"""),"Infrastructure as Code (Terraform &amp; OpenTofu)")</f>
        <v>Infrastructure as Code (Terraform &amp; OpenTofu)</v>
      </c>
      <c r="F1359" s="7" t="str">
        <f>IFERROR(__xludf.DUMMYFUNCTION("""COMPUTED_VALUE"""),"S177 unlocks S178")</f>
        <v>S177 unlocks S178</v>
      </c>
    </row>
    <row r="1360">
      <c r="A1360" s="7" t="str">
        <f>IFERROR(__xludf.DUMMYFUNCTION("""COMPUTED_VALUE"""),"PE1359")</f>
        <v>PE1359</v>
      </c>
      <c r="B1360" s="7" t="str">
        <f>IFERROR(__xludf.DUMMYFUNCTION("""COMPUTED_VALUE"""),"S177")</f>
        <v>S177</v>
      </c>
      <c r="C1360" s="7" t="str">
        <f>IFERROR(__xludf.DUMMYFUNCTION("""COMPUTED_VALUE"""),"Serverless Computing (AWS Lambda, Cloud Functions)")</f>
        <v>Serverless Computing (AWS Lambda, Cloud Functions)</v>
      </c>
      <c r="D1360" s="7" t="str">
        <f>IFERROR(__xludf.DUMMYFUNCTION("""COMPUTED_VALUE"""),"S182")</f>
        <v>S182</v>
      </c>
      <c r="E1360" s="7" t="str">
        <f>IFERROR(__xludf.DUMMYFUNCTION("""COMPUTED_VALUE"""),"GitOps &amp; Continuous Delivery (ArgoCD, Flux)")</f>
        <v>GitOps &amp; Continuous Delivery (ArgoCD, Flux)</v>
      </c>
      <c r="F1360" s="7" t="str">
        <f>IFERROR(__xludf.DUMMYFUNCTION("""COMPUTED_VALUE"""),"S177 unlocks S182")</f>
        <v>S177 unlocks S182</v>
      </c>
    </row>
    <row r="1361">
      <c r="A1361" s="7" t="str">
        <f>IFERROR(__xludf.DUMMYFUNCTION("""COMPUTED_VALUE"""),"PE1360")</f>
        <v>PE1360</v>
      </c>
      <c r="B1361" s="7" t="str">
        <f>IFERROR(__xludf.DUMMYFUNCTION("""COMPUTED_VALUE"""),"S177")</f>
        <v>S177</v>
      </c>
      <c r="C1361" s="7" t="str">
        <f>IFERROR(__xludf.DUMMYFUNCTION("""COMPUTED_VALUE"""),"Serverless Computing (AWS Lambda, Cloud Functions)")</f>
        <v>Serverless Computing (AWS Lambda, Cloud Functions)</v>
      </c>
      <c r="D1361" s="7" t="str">
        <f>IFERROR(__xludf.DUMMYFUNCTION("""COMPUTED_VALUE"""),"S185")</f>
        <v>S185</v>
      </c>
      <c r="E1361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61" s="7" t="str">
        <f>IFERROR(__xludf.DUMMYFUNCTION("""COMPUTED_VALUE"""),"S177 unlocks S185")</f>
        <v>S177 unlocks S185</v>
      </c>
    </row>
    <row r="1362">
      <c r="A1362" s="7" t="str">
        <f>IFERROR(__xludf.DUMMYFUNCTION("""COMPUTED_VALUE"""),"PE1361")</f>
        <v>PE1361</v>
      </c>
      <c r="B1362" s="7" t="str">
        <f>IFERROR(__xludf.DUMMYFUNCTION("""COMPUTED_VALUE"""),"S177")</f>
        <v>S177</v>
      </c>
      <c r="C1362" s="7" t="str">
        <f>IFERROR(__xludf.DUMMYFUNCTION("""COMPUTED_VALUE"""),"Serverless Computing (AWS Lambda, Cloud Functions)")</f>
        <v>Serverless Computing (AWS Lambda, Cloud Functions)</v>
      </c>
      <c r="D1362" s="7" t="str">
        <f>IFERROR(__xludf.DUMMYFUNCTION("""COMPUTED_VALUE"""),"S186")</f>
        <v>S186</v>
      </c>
      <c r="E1362" s="7" t="str">
        <f>IFERROR(__xludf.DUMMYFUNCTION("""COMPUTED_VALUE"""),"Site Reliability Engineering (SLIs, SLOs, SLAs &amp; Error Budgets)")</f>
        <v>Site Reliability Engineering (SLIs, SLOs, SLAs &amp; Error Budgets)</v>
      </c>
      <c r="F1362" s="7" t="str">
        <f>IFERROR(__xludf.DUMMYFUNCTION("""COMPUTED_VALUE"""),"S177 unlocks S186")</f>
        <v>S177 unlocks S186</v>
      </c>
    </row>
    <row r="1363">
      <c r="A1363" s="7" t="str">
        <f>IFERROR(__xludf.DUMMYFUNCTION("""COMPUTED_VALUE"""),"PE1362")</f>
        <v>PE1362</v>
      </c>
      <c r="B1363" s="7" t="str">
        <f>IFERROR(__xludf.DUMMYFUNCTION("""COMPUTED_VALUE"""),"S177")</f>
        <v>S177</v>
      </c>
      <c r="C1363" s="7" t="str">
        <f>IFERROR(__xludf.DUMMYFUNCTION("""COMPUTED_VALUE"""),"Serverless Computing (AWS Lambda, Cloud Functions)")</f>
        <v>Serverless Computing (AWS Lambda, Cloud Functions)</v>
      </c>
      <c r="D1363" s="7" t="str">
        <f>IFERROR(__xludf.DUMMYFUNCTION("""COMPUTED_VALUE"""),"S187")</f>
        <v>S187</v>
      </c>
      <c r="E1363" s="7" t="str">
        <f>IFERROR(__xludf.DUMMYFUNCTION("""COMPUTED_VALUE"""),"Chaos Engineering &amp; Fault Injection")</f>
        <v>Chaos Engineering &amp; Fault Injection</v>
      </c>
      <c r="F1363" s="7" t="str">
        <f>IFERROR(__xludf.DUMMYFUNCTION("""COMPUTED_VALUE"""),"S177 unlocks S187")</f>
        <v>S177 unlocks S187</v>
      </c>
    </row>
    <row r="1364">
      <c r="A1364" s="7" t="str">
        <f>IFERROR(__xludf.DUMMYFUNCTION("""COMPUTED_VALUE"""),"PE1363")</f>
        <v>PE1363</v>
      </c>
      <c r="B1364" s="7" t="str">
        <f>IFERROR(__xludf.DUMMYFUNCTION("""COMPUTED_VALUE"""),"S177")</f>
        <v>S177</v>
      </c>
      <c r="C1364" s="7" t="str">
        <f>IFERROR(__xludf.DUMMYFUNCTION("""COMPUTED_VALUE"""),"Serverless Computing (AWS Lambda, Cloud Functions)")</f>
        <v>Serverless Computing (AWS Lambda, Cloud Functions)</v>
      </c>
      <c r="D1364" s="7" t="str">
        <f>IFERROR(__xludf.DUMMYFUNCTION("""COMPUTED_VALUE"""),"S188")</f>
        <v>S188</v>
      </c>
      <c r="E1364" s="7" t="str">
        <f>IFERROR(__xludf.DUMMYFUNCTION("""COMPUTED_VALUE"""),"High Availability, Failover &amp; Disaster Recovery")</f>
        <v>High Availability, Failover &amp; Disaster Recovery</v>
      </c>
      <c r="F1364" s="7" t="str">
        <f>IFERROR(__xludf.DUMMYFUNCTION("""COMPUTED_VALUE"""),"S177 unlocks S188")</f>
        <v>S177 unlocks S188</v>
      </c>
    </row>
    <row r="1365">
      <c r="A1365" s="7" t="str">
        <f>IFERROR(__xludf.DUMMYFUNCTION("""COMPUTED_VALUE"""),"PE1364")</f>
        <v>PE1364</v>
      </c>
      <c r="B1365" s="7" t="str">
        <f>IFERROR(__xludf.DUMMYFUNCTION("""COMPUTED_VALUE"""),"S177")</f>
        <v>S177</v>
      </c>
      <c r="C1365" s="7" t="str">
        <f>IFERROR(__xludf.DUMMYFUNCTION("""COMPUTED_VALUE"""),"Serverless Computing (AWS Lambda, Cloud Functions)")</f>
        <v>Serverless Computing (AWS Lambda, Cloud Functions)</v>
      </c>
      <c r="D1365" s="7" t="str">
        <f>IFERROR(__xludf.DUMMYFUNCTION("""COMPUTED_VALUE"""),"S190")</f>
        <v>S190</v>
      </c>
      <c r="E1365" s="7" t="str">
        <f>IFERROR(__xludf.DUMMYFUNCTION("""COMPUTED_VALUE"""),"Internal Developer Platforms (IDP &amp; Backstage)")</f>
        <v>Internal Developer Platforms (IDP &amp; Backstage)</v>
      </c>
      <c r="F1365" s="7" t="str">
        <f>IFERROR(__xludf.DUMMYFUNCTION("""COMPUTED_VALUE"""),"S177 unlocks S190")</f>
        <v>S177 unlocks S190</v>
      </c>
    </row>
    <row r="1366">
      <c r="A1366" s="7" t="str">
        <f>IFERROR(__xludf.DUMMYFUNCTION("""COMPUTED_VALUE"""),"PE1365")</f>
        <v>PE1365</v>
      </c>
      <c r="B1366" s="7" t="str">
        <f>IFERROR(__xludf.DUMMYFUNCTION("""COMPUTED_VALUE"""),"S177")</f>
        <v>S177</v>
      </c>
      <c r="C1366" s="7" t="str">
        <f>IFERROR(__xludf.DUMMYFUNCTION("""COMPUTED_VALUE"""),"Serverless Computing (AWS Lambda, Cloud Functions)")</f>
        <v>Serverless Computing (AWS Lambda, Cloud Functions)</v>
      </c>
      <c r="D1366" s="7" t="str">
        <f>IFERROR(__xludf.DUMMYFUNCTION("""COMPUTED_VALUE"""),"S195")</f>
        <v>S195</v>
      </c>
      <c r="E1366" s="7" t="str">
        <f>IFERROR(__xludf.DUMMYFUNCTION("""COMPUTED_VALUE"""),"Enterprise Routing &amp; Switching (BGP, OSPF, Cisco IOS)")</f>
        <v>Enterprise Routing &amp; Switching (BGP, OSPF, Cisco IOS)</v>
      </c>
      <c r="F1366" s="7" t="str">
        <f>IFERROR(__xludf.DUMMYFUNCTION("""COMPUTED_VALUE"""),"S177 unlocks S195")</f>
        <v>S177 unlocks S195</v>
      </c>
    </row>
    <row r="1367">
      <c r="A1367" s="7" t="str">
        <f>IFERROR(__xludf.DUMMYFUNCTION("""COMPUTED_VALUE"""),"PE1366")</f>
        <v>PE1366</v>
      </c>
      <c r="B1367" s="7" t="str">
        <f>IFERROR(__xludf.DUMMYFUNCTION("""COMPUTED_VALUE"""),"S179")</f>
        <v>S179</v>
      </c>
      <c r="C1367" s="7" t="str">
        <f>IFERROR(__xludf.DUMMYFUNCTION("""COMPUTED_VALUE"""),"Configuration Management (Ansible, Chef, Puppet)")</f>
        <v>Configuration Management (Ansible, Chef, Puppet)</v>
      </c>
      <c r="D1367" s="7" t="str">
        <f>IFERROR(__xludf.DUMMYFUNCTION("""COMPUTED_VALUE"""),"S172")</f>
        <v>S172</v>
      </c>
      <c r="E1367" s="7" t="str">
        <f>IFERROR(__xludf.DUMMYFUNCTION("""COMPUTED_VALUE"""),"Kubernetes Cluster Orchestration (K8s)")</f>
        <v>Kubernetes Cluster Orchestration (K8s)</v>
      </c>
      <c r="F1367" s="7" t="str">
        <f>IFERROR(__xludf.DUMMYFUNCTION("""COMPUTED_VALUE"""),"S179 unlocks S172")</f>
        <v>S179 unlocks S172</v>
      </c>
    </row>
    <row r="1368">
      <c r="A1368" s="7" t="str">
        <f>IFERROR(__xludf.DUMMYFUNCTION("""COMPUTED_VALUE"""),"PE1367")</f>
        <v>PE1367</v>
      </c>
      <c r="B1368" s="7" t="str">
        <f>IFERROR(__xludf.DUMMYFUNCTION("""COMPUTED_VALUE"""),"S179")</f>
        <v>S179</v>
      </c>
      <c r="C1368" s="7" t="str">
        <f>IFERROR(__xludf.DUMMYFUNCTION("""COMPUTED_VALUE"""),"Configuration Management (Ansible, Chef, Puppet)")</f>
        <v>Configuration Management (Ansible, Chef, Puppet)</v>
      </c>
      <c r="D1368" s="7" t="str">
        <f>IFERROR(__xludf.DUMMYFUNCTION("""COMPUTED_VALUE"""),"S178")</f>
        <v>S178</v>
      </c>
      <c r="E1368" s="7" t="str">
        <f>IFERROR(__xludf.DUMMYFUNCTION("""COMPUTED_VALUE"""),"Infrastructure as Code (Terraform &amp; OpenTofu)")</f>
        <v>Infrastructure as Code (Terraform &amp; OpenTofu)</v>
      </c>
      <c r="F1368" s="7" t="str">
        <f>IFERROR(__xludf.DUMMYFUNCTION("""COMPUTED_VALUE"""),"S179 unlocks S178")</f>
        <v>S179 unlocks S178</v>
      </c>
    </row>
    <row r="1369">
      <c r="A1369" s="7" t="str">
        <f>IFERROR(__xludf.DUMMYFUNCTION("""COMPUTED_VALUE"""),"PE1368")</f>
        <v>PE1368</v>
      </c>
      <c r="B1369" s="7" t="str">
        <f>IFERROR(__xludf.DUMMYFUNCTION("""COMPUTED_VALUE"""),"S179")</f>
        <v>S179</v>
      </c>
      <c r="C1369" s="7" t="str">
        <f>IFERROR(__xludf.DUMMYFUNCTION("""COMPUTED_VALUE"""),"Configuration Management (Ansible, Chef, Puppet)")</f>
        <v>Configuration Management (Ansible, Chef, Puppet)</v>
      </c>
      <c r="D1369" s="7" t="str">
        <f>IFERROR(__xludf.DUMMYFUNCTION("""COMPUTED_VALUE"""),"S182")</f>
        <v>S182</v>
      </c>
      <c r="E1369" s="7" t="str">
        <f>IFERROR(__xludf.DUMMYFUNCTION("""COMPUTED_VALUE"""),"GitOps &amp; Continuous Delivery (ArgoCD, Flux)")</f>
        <v>GitOps &amp; Continuous Delivery (ArgoCD, Flux)</v>
      </c>
      <c r="F1369" s="7" t="str">
        <f>IFERROR(__xludf.DUMMYFUNCTION("""COMPUTED_VALUE"""),"S179 unlocks S182")</f>
        <v>S179 unlocks S182</v>
      </c>
    </row>
    <row r="1370">
      <c r="A1370" s="7" t="str">
        <f>IFERROR(__xludf.DUMMYFUNCTION("""COMPUTED_VALUE"""),"PE1369")</f>
        <v>PE1369</v>
      </c>
      <c r="B1370" s="7" t="str">
        <f>IFERROR(__xludf.DUMMYFUNCTION("""COMPUTED_VALUE"""),"S179")</f>
        <v>S179</v>
      </c>
      <c r="C1370" s="7" t="str">
        <f>IFERROR(__xludf.DUMMYFUNCTION("""COMPUTED_VALUE"""),"Configuration Management (Ansible, Chef, Puppet)")</f>
        <v>Configuration Management (Ansible, Chef, Puppet)</v>
      </c>
      <c r="D1370" s="7" t="str">
        <f>IFERROR(__xludf.DUMMYFUNCTION("""COMPUTED_VALUE"""),"S185")</f>
        <v>S185</v>
      </c>
      <c r="E1370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70" s="7" t="str">
        <f>IFERROR(__xludf.DUMMYFUNCTION("""COMPUTED_VALUE"""),"S179 unlocks S185")</f>
        <v>S179 unlocks S185</v>
      </c>
    </row>
    <row r="1371">
      <c r="A1371" s="7" t="str">
        <f>IFERROR(__xludf.DUMMYFUNCTION("""COMPUTED_VALUE"""),"PE1370")</f>
        <v>PE1370</v>
      </c>
      <c r="B1371" s="7" t="str">
        <f>IFERROR(__xludf.DUMMYFUNCTION("""COMPUTED_VALUE"""),"S179")</f>
        <v>S179</v>
      </c>
      <c r="C1371" s="7" t="str">
        <f>IFERROR(__xludf.DUMMYFUNCTION("""COMPUTED_VALUE"""),"Configuration Management (Ansible, Chef, Puppet)")</f>
        <v>Configuration Management (Ansible, Chef, Puppet)</v>
      </c>
      <c r="D1371" s="7" t="str">
        <f>IFERROR(__xludf.DUMMYFUNCTION("""COMPUTED_VALUE"""),"S186")</f>
        <v>S186</v>
      </c>
      <c r="E1371" s="7" t="str">
        <f>IFERROR(__xludf.DUMMYFUNCTION("""COMPUTED_VALUE"""),"Site Reliability Engineering (SLIs, SLOs, SLAs &amp; Error Budgets)")</f>
        <v>Site Reliability Engineering (SLIs, SLOs, SLAs &amp; Error Budgets)</v>
      </c>
      <c r="F1371" s="7" t="str">
        <f>IFERROR(__xludf.DUMMYFUNCTION("""COMPUTED_VALUE"""),"S179 unlocks S186")</f>
        <v>S179 unlocks S186</v>
      </c>
    </row>
    <row r="1372">
      <c r="A1372" s="7" t="str">
        <f>IFERROR(__xludf.DUMMYFUNCTION("""COMPUTED_VALUE"""),"PE1371")</f>
        <v>PE1371</v>
      </c>
      <c r="B1372" s="7" t="str">
        <f>IFERROR(__xludf.DUMMYFUNCTION("""COMPUTED_VALUE"""),"S179")</f>
        <v>S179</v>
      </c>
      <c r="C1372" s="7" t="str">
        <f>IFERROR(__xludf.DUMMYFUNCTION("""COMPUTED_VALUE"""),"Configuration Management (Ansible, Chef, Puppet)")</f>
        <v>Configuration Management (Ansible, Chef, Puppet)</v>
      </c>
      <c r="D1372" s="7" t="str">
        <f>IFERROR(__xludf.DUMMYFUNCTION("""COMPUTED_VALUE"""),"S187")</f>
        <v>S187</v>
      </c>
      <c r="E1372" s="7" t="str">
        <f>IFERROR(__xludf.DUMMYFUNCTION("""COMPUTED_VALUE"""),"Chaos Engineering &amp; Fault Injection")</f>
        <v>Chaos Engineering &amp; Fault Injection</v>
      </c>
      <c r="F1372" s="7" t="str">
        <f>IFERROR(__xludf.DUMMYFUNCTION("""COMPUTED_VALUE"""),"S179 unlocks S187")</f>
        <v>S179 unlocks S187</v>
      </c>
    </row>
    <row r="1373">
      <c r="A1373" s="7" t="str">
        <f>IFERROR(__xludf.DUMMYFUNCTION("""COMPUTED_VALUE"""),"PE1372")</f>
        <v>PE1372</v>
      </c>
      <c r="B1373" s="7" t="str">
        <f>IFERROR(__xludf.DUMMYFUNCTION("""COMPUTED_VALUE"""),"S179")</f>
        <v>S179</v>
      </c>
      <c r="C1373" s="7" t="str">
        <f>IFERROR(__xludf.DUMMYFUNCTION("""COMPUTED_VALUE"""),"Configuration Management (Ansible, Chef, Puppet)")</f>
        <v>Configuration Management (Ansible, Chef, Puppet)</v>
      </c>
      <c r="D1373" s="7" t="str">
        <f>IFERROR(__xludf.DUMMYFUNCTION("""COMPUTED_VALUE"""),"S188")</f>
        <v>S188</v>
      </c>
      <c r="E1373" s="7" t="str">
        <f>IFERROR(__xludf.DUMMYFUNCTION("""COMPUTED_VALUE"""),"High Availability, Failover &amp; Disaster Recovery")</f>
        <v>High Availability, Failover &amp; Disaster Recovery</v>
      </c>
      <c r="F1373" s="7" t="str">
        <f>IFERROR(__xludf.DUMMYFUNCTION("""COMPUTED_VALUE"""),"S179 unlocks S188")</f>
        <v>S179 unlocks S188</v>
      </c>
    </row>
    <row r="1374">
      <c r="A1374" s="7" t="str">
        <f>IFERROR(__xludf.DUMMYFUNCTION("""COMPUTED_VALUE"""),"PE1373")</f>
        <v>PE1373</v>
      </c>
      <c r="B1374" s="7" t="str">
        <f>IFERROR(__xludf.DUMMYFUNCTION("""COMPUTED_VALUE"""),"S179")</f>
        <v>S179</v>
      </c>
      <c r="C1374" s="7" t="str">
        <f>IFERROR(__xludf.DUMMYFUNCTION("""COMPUTED_VALUE"""),"Configuration Management (Ansible, Chef, Puppet)")</f>
        <v>Configuration Management (Ansible, Chef, Puppet)</v>
      </c>
      <c r="D1374" s="7" t="str">
        <f>IFERROR(__xludf.DUMMYFUNCTION("""COMPUTED_VALUE"""),"S190")</f>
        <v>S190</v>
      </c>
      <c r="E1374" s="7" t="str">
        <f>IFERROR(__xludf.DUMMYFUNCTION("""COMPUTED_VALUE"""),"Internal Developer Platforms (IDP &amp; Backstage)")</f>
        <v>Internal Developer Platforms (IDP &amp; Backstage)</v>
      </c>
      <c r="F1374" s="7" t="str">
        <f>IFERROR(__xludf.DUMMYFUNCTION("""COMPUTED_VALUE"""),"S179 unlocks S190")</f>
        <v>S179 unlocks S190</v>
      </c>
    </row>
    <row r="1375">
      <c r="A1375" s="7" t="str">
        <f>IFERROR(__xludf.DUMMYFUNCTION("""COMPUTED_VALUE"""),"PE1374")</f>
        <v>PE1374</v>
      </c>
      <c r="B1375" s="7" t="str">
        <f>IFERROR(__xludf.DUMMYFUNCTION("""COMPUTED_VALUE"""),"S179")</f>
        <v>S179</v>
      </c>
      <c r="C1375" s="7" t="str">
        <f>IFERROR(__xludf.DUMMYFUNCTION("""COMPUTED_VALUE"""),"Configuration Management (Ansible, Chef, Puppet)")</f>
        <v>Configuration Management (Ansible, Chef, Puppet)</v>
      </c>
      <c r="D1375" s="7" t="str">
        <f>IFERROR(__xludf.DUMMYFUNCTION("""COMPUTED_VALUE"""),"S195")</f>
        <v>S195</v>
      </c>
      <c r="E1375" s="7" t="str">
        <f>IFERROR(__xludf.DUMMYFUNCTION("""COMPUTED_VALUE"""),"Enterprise Routing &amp; Switching (BGP, OSPF, Cisco IOS)")</f>
        <v>Enterprise Routing &amp; Switching (BGP, OSPF, Cisco IOS)</v>
      </c>
      <c r="F1375" s="7" t="str">
        <f>IFERROR(__xludf.DUMMYFUNCTION("""COMPUTED_VALUE"""),"S179 unlocks S195")</f>
        <v>S179 unlocks S195</v>
      </c>
    </row>
    <row r="1376">
      <c r="A1376" s="7" t="str">
        <f>IFERROR(__xludf.DUMMYFUNCTION("""COMPUTED_VALUE"""),"PE1375")</f>
        <v>PE1375</v>
      </c>
      <c r="B1376" s="7" t="str">
        <f>IFERROR(__xludf.DUMMYFUNCTION("""COMPUTED_VALUE"""),"S181")</f>
        <v>S181</v>
      </c>
      <c r="C1376" s="7" t="str">
        <f>IFERROR(__xludf.DUMMYFUNCTION("""COMPUTED_VALUE"""),"CI/CD Automation with GitLab CI &amp; Jenkins")</f>
        <v>CI/CD Automation with GitLab CI &amp; Jenkins</v>
      </c>
      <c r="D1376" s="7" t="str">
        <f>IFERROR(__xludf.DUMMYFUNCTION("""COMPUTED_VALUE"""),"S172")</f>
        <v>S172</v>
      </c>
      <c r="E1376" s="7" t="str">
        <f>IFERROR(__xludf.DUMMYFUNCTION("""COMPUTED_VALUE"""),"Kubernetes Cluster Orchestration (K8s)")</f>
        <v>Kubernetes Cluster Orchestration (K8s)</v>
      </c>
      <c r="F1376" s="7" t="str">
        <f>IFERROR(__xludf.DUMMYFUNCTION("""COMPUTED_VALUE"""),"S181 unlocks S172")</f>
        <v>S181 unlocks S172</v>
      </c>
    </row>
    <row r="1377">
      <c r="A1377" s="7" t="str">
        <f>IFERROR(__xludf.DUMMYFUNCTION("""COMPUTED_VALUE"""),"PE1376")</f>
        <v>PE1376</v>
      </c>
      <c r="B1377" s="7" t="str">
        <f>IFERROR(__xludf.DUMMYFUNCTION("""COMPUTED_VALUE"""),"S181")</f>
        <v>S181</v>
      </c>
      <c r="C1377" s="7" t="str">
        <f>IFERROR(__xludf.DUMMYFUNCTION("""COMPUTED_VALUE"""),"CI/CD Automation with GitLab CI &amp; Jenkins")</f>
        <v>CI/CD Automation with GitLab CI &amp; Jenkins</v>
      </c>
      <c r="D1377" s="7" t="str">
        <f>IFERROR(__xludf.DUMMYFUNCTION("""COMPUTED_VALUE"""),"S178")</f>
        <v>S178</v>
      </c>
      <c r="E1377" s="7" t="str">
        <f>IFERROR(__xludf.DUMMYFUNCTION("""COMPUTED_VALUE"""),"Infrastructure as Code (Terraform &amp; OpenTofu)")</f>
        <v>Infrastructure as Code (Terraform &amp; OpenTofu)</v>
      </c>
      <c r="F1377" s="7" t="str">
        <f>IFERROR(__xludf.DUMMYFUNCTION("""COMPUTED_VALUE"""),"S181 unlocks S178")</f>
        <v>S181 unlocks S178</v>
      </c>
    </row>
    <row r="1378">
      <c r="A1378" s="7" t="str">
        <f>IFERROR(__xludf.DUMMYFUNCTION("""COMPUTED_VALUE"""),"PE1377")</f>
        <v>PE1377</v>
      </c>
      <c r="B1378" s="7" t="str">
        <f>IFERROR(__xludf.DUMMYFUNCTION("""COMPUTED_VALUE"""),"S181")</f>
        <v>S181</v>
      </c>
      <c r="C1378" s="7" t="str">
        <f>IFERROR(__xludf.DUMMYFUNCTION("""COMPUTED_VALUE"""),"CI/CD Automation with GitLab CI &amp; Jenkins")</f>
        <v>CI/CD Automation with GitLab CI &amp; Jenkins</v>
      </c>
      <c r="D1378" s="7" t="str">
        <f>IFERROR(__xludf.DUMMYFUNCTION("""COMPUTED_VALUE"""),"S182")</f>
        <v>S182</v>
      </c>
      <c r="E1378" s="7" t="str">
        <f>IFERROR(__xludf.DUMMYFUNCTION("""COMPUTED_VALUE"""),"GitOps &amp; Continuous Delivery (ArgoCD, Flux)")</f>
        <v>GitOps &amp; Continuous Delivery (ArgoCD, Flux)</v>
      </c>
      <c r="F1378" s="7" t="str">
        <f>IFERROR(__xludf.DUMMYFUNCTION("""COMPUTED_VALUE"""),"S181 unlocks S182")</f>
        <v>S181 unlocks S182</v>
      </c>
    </row>
    <row r="1379">
      <c r="A1379" s="7" t="str">
        <f>IFERROR(__xludf.DUMMYFUNCTION("""COMPUTED_VALUE"""),"PE1378")</f>
        <v>PE1378</v>
      </c>
      <c r="B1379" s="7" t="str">
        <f>IFERROR(__xludf.DUMMYFUNCTION("""COMPUTED_VALUE"""),"S181")</f>
        <v>S181</v>
      </c>
      <c r="C1379" s="7" t="str">
        <f>IFERROR(__xludf.DUMMYFUNCTION("""COMPUTED_VALUE"""),"CI/CD Automation with GitLab CI &amp; Jenkins")</f>
        <v>CI/CD Automation with GitLab CI &amp; Jenkins</v>
      </c>
      <c r="D1379" s="7" t="str">
        <f>IFERROR(__xludf.DUMMYFUNCTION("""COMPUTED_VALUE"""),"S185")</f>
        <v>S185</v>
      </c>
      <c r="E1379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79" s="7" t="str">
        <f>IFERROR(__xludf.DUMMYFUNCTION("""COMPUTED_VALUE"""),"S181 unlocks S185")</f>
        <v>S181 unlocks S185</v>
      </c>
    </row>
    <row r="1380">
      <c r="A1380" s="7" t="str">
        <f>IFERROR(__xludf.DUMMYFUNCTION("""COMPUTED_VALUE"""),"PE1379")</f>
        <v>PE1379</v>
      </c>
      <c r="B1380" s="7" t="str">
        <f>IFERROR(__xludf.DUMMYFUNCTION("""COMPUTED_VALUE"""),"S181")</f>
        <v>S181</v>
      </c>
      <c r="C1380" s="7" t="str">
        <f>IFERROR(__xludf.DUMMYFUNCTION("""COMPUTED_VALUE"""),"CI/CD Automation with GitLab CI &amp; Jenkins")</f>
        <v>CI/CD Automation with GitLab CI &amp; Jenkins</v>
      </c>
      <c r="D1380" s="7" t="str">
        <f>IFERROR(__xludf.DUMMYFUNCTION("""COMPUTED_VALUE"""),"S186")</f>
        <v>S186</v>
      </c>
      <c r="E1380" s="7" t="str">
        <f>IFERROR(__xludf.DUMMYFUNCTION("""COMPUTED_VALUE"""),"Site Reliability Engineering (SLIs, SLOs, SLAs &amp; Error Budgets)")</f>
        <v>Site Reliability Engineering (SLIs, SLOs, SLAs &amp; Error Budgets)</v>
      </c>
      <c r="F1380" s="7" t="str">
        <f>IFERROR(__xludf.DUMMYFUNCTION("""COMPUTED_VALUE"""),"S181 unlocks S186")</f>
        <v>S181 unlocks S186</v>
      </c>
    </row>
    <row r="1381">
      <c r="A1381" s="7" t="str">
        <f>IFERROR(__xludf.DUMMYFUNCTION("""COMPUTED_VALUE"""),"PE1380")</f>
        <v>PE1380</v>
      </c>
      <c r="B1381" s="7" t="str">
        <f>IFERROR(__xludf.DUMMYFUNCTION("""COMPUTED_VALUE"""),"S181")</f>
        <v>S181</v>
      </c>
      <c r="C1381" s="7" t="str">
        <f>IFERROR(__xludf.DUMMYFUNCTION("""COMPUTED_VALUE"""),"CI/CD Automation with GitLab CI &amp; Jenkins")</f>
        <v>CI/CD Automation with GitLab CI &amp; Jenkins</v>
      </c>
      <c r="D1381" s="7" t="str">
        <f>IFERROR(__xludf.DUMMYFUNCTION("""COMPUTED_VALUE"""),"S187")</f>
        <v>S187</v>
      </c>
      <c r="E1381" s="7" t="str">
        <f>IFERROR(__xludf.DUMMYFUNCTION("""COMPUTED_VALUE"""),"Chaos Engineering &amp; Fault Injection")</f>
        <v>Chaos Engineering &amp; Fault Injection</v>
      </c>
      <c r="F1381" s="7" t="str">
        <f>IFERROR(__xludf.DUMMYFUNCTION("""COMPUTED_VALUE"""),"S181 unlocks S187")</f>
        <v>S181 unlocks S187</v>
      </c>
    </row>
    <row r="1382">
      <c r="A1382" s="7" t="str">
        <f>IFERROR(__xludf.DUMMYFUNCTION("""COMPUTED_VALUE"""),"PE1381")</f>
        <v>PE1381</v>
      </c>
      <c r="B1382" s="7" t="str">
        <f>IFERROR(__xludf.DUMMYFUNCTION("""COMPUTED_VALUE"""),"S181")</f>
        <v>S181</v>
      </c>
      <c r="C1382" s="7" t="str">
        <f>IFERROR(__xludf.DUMMYFUNCTION("""COMPUTED_VALUE"""),"CI/CD Automation with GitLab CI &amp; Jenkins")</f>
        <v>CI/CD Automation with GitLab CI &amp; Jenkins</v>
      </c>
      <c r="D1382" s="7" t="str">
        <f>IFERROR(__xludf.DUMMYFUNCTION("""COMPUTED_VALUE"""),"S188")</f>
        <v>S188</v>
      </c>
      <c r="E1382" s="7" t="str">
        <f>IFERROR(__xludf.DUMMYFUNCTION("""COMPUTED_VALUE"""),"High Availability, Failover &amp; Disaster Recovery")</f>
        <v>High Availability, Failover &amp; Disaster Recovery</v>
      </c>
      <c r="F1382" s="7" t="str">
        <f>IFERROR(__xludf.DUMMYFUNCTION("""COMPUTED_VALUE"""),"S181 unlocks S188")</f>
        <v>S181 unlocks S188</v>
      </c>
    </row>
    <row r="1383">
      <c r="A1383" s="7" t="str">
        <f>IFERROR(__xludf.DUMMYFUNCTION("""COMPUTED_VALUE"""),"PE1382")</f>
        <v>PE1382</v>
      </c>
      <c r="B1383" s="7" t="str">
        <f>IFERROR(__xludf.DUMMYFUNCTION("""COMPUTED_VALUE"""),"S181")</f>
        <v>S181</v>
      </c>
      <c r="C1383" s="7" t="str">
        <f>IFERROR(__xludf.DUMMYFUNCTION("""COMPUTED_VALUE"""),"CI/CD Automation with GitLab CI &amp; Jenkins")</f>
        <v>CI/CD Automation with GitLab CI &amp; Jenkins</v>
      </c>
      <c r="D1383" s="7" t="str">
        <f>IFERROR(__xludf.DUMMYFUNCTION("""COMPUTED_VALUE"""),"S190")</f>
        <v>S190</v>
      </c>
      <c r="E1383" s="7" t="str">
        <f>IFERROR(__xludf.DUMMYFUNCTION("""COMPUTED_VALUE"""),"Internal Developer Platforms (IDP &amp; Backstage)")</f>
        <v>Internal Developer Platforms (IDP &amp; Backstage)</v>
      </c>
      <c r="F1383" s="7" t="str">
        <f>IFERROR(__xludf.DUMMYFUNCTION("""COMPUTED_VALUE"""),"S181 unlocks S190")</f>
        <v>S181 unlocks S190</v>
      </c>
    </row>
    <row r="1384">
      <c r="A1384" s="7" t="str">
        <f>IFERROR(__xludf.DUMMYFUNCTION("""COMPUTED_VALUE"""),"PE1383")</f>
        <v>PE1383</v>
      </c>
      <c r="B1384" s="7" t="str">
        <f>IFERROR(__xludf.DUMMYFUNCTION("""COMPUTED_VALUE"""),"S181")</f>
        <v>S181</v>
      </c>
      <c r="C1384" s="7" t="str">
        <f>IFERROR(__xludf.DUMMYFUNCTION("""COMPUTED_VALUE"""),"CI/CD Automation with GitLab CI &amp; Jenkins")</f>
        <v>CI/CD Automation with GitLab CI &amp; Jenkins</v>
      </c>
      <c r="D1384" s="7" t="str">
        <f>IFERROR(__xludf.DUMMYFUNCTION("""COMPUTED_VALUE"""),"S195")</f>
        <v>S195</v>
      </c>
      <c r="E1384" s="7" t="str">
        <f>IFERROR(__xludf.DUMMYFUNCTION("""COMPUTED_VALUE"""),"Enterprise Routing &amp; Switching (BGP, OSPF, Cisco IOS)")</f>
        <v>Enterprise Routing &amp; Switching (BGP, OSPF, Cisco IOS)</v>
      </c>
      <c r="F1384" s="7" t="str">
        <f>IFERROR(__xludf.DUMMYFUNCTION("""COMPUTED_VALUE"""),"S181 unlocks S195")</f>
        <v>S181 unlocks S195</v>
      </c>
    </row>
    <row r="1385">
      <c r="A1385" s="7" t="str">
        <f>IFERROR(__xludf.DUMMYFUNCTION("""COMPUTED_VALUE"""),"PE1384")</f>
        <v>PE1384</v>
      </c>
      <c r="B1385" s="7" t="str">
        <f>IFERROR(__xludf.DUMMYFUNCTION("""COMPUTED_VALUE"""),"S183")</f>
        <v>S183</v>
      </c>
      <c r="C1385" s="7" t="str">
        <f>IFERROR(__xludf.DUMMYFUNCTION("""COMPUTED_VALUE"""),"Web Servers, Reverse Proxy &amp; Load Balancing (Nginx, HAProxy)")</f>
        <v>Web Servers, Reverse Proxy &amp; Load Balancing (Nginx, HAProxy)</v>
      </c>
      <c r="D1385" s="7" t="str">
        <f>IFERROR(__xludf.DUMMYFUNCTION("""COMPUTED_VALUE"""),"S172")</f>
        <v>S172</v>
      </c>
      <c r="E1385" s="7" t="str">
        <f>IFERROR(__xludf.DUMMYFUNCTION("""COMPUTED_VALUE"""),"Kubernetes Cluster Orchestration (K8s)")</f>
        <v>Kubernetes Cluster Orchestration (K8s)</v>
      </c>
      <c r="F1385" s="7" t="str">
        <f>IFERROR(__xludf.DUMMYFUNCTION("""COMPUTED_VALUE"""),"S183 unlocks S172")</f>
        <v>S183 unlocks S172</v>
      </c>
    </row>
    <row r="1386">
      <c r="A1386" s="7" t="str">
        <f>IFERROR(__xludf.DUMMYFUNCTION("""COMPUTED_VALUE"""),"PE1385")</f>
        <v>PE1385</v>
      </c>
      <c r="B1386" s="7" t="str">
        <f>IFERROR(__xludf.DUMMYFUNCTION("""COMPUTED_VALUE"""),"S183")</f>
        <v>S183</v>
      </c>
      <c r="C1386" s="7" t="str">
        <f>IFERROR(__xludf.DUMMYFUNCTION("""COMPUTED_VALUE"""),"Web Servers, Reverse Proxy &amp; Load Balancing (Nginx, HAProxy)")</f>
        <v>Web Servers, Reverse Proxy &amp; Load Balancing (Nginx, HAProxy)</v>
      </c>
      <c r="D1386" s="7" t="str">
        <f>IFERROR(__xludf.DUMMYFUNCTION("""COMPUTED_VALUE"""),"S178")</f>
        <v>S178</v>
      </c>
      <c r="E1386" s="7" t="str">
        <f>IFERROR(__xludf.DUMMYFUNCTION("""COMPUTED_VALUE"""),"Infrastructure as Code (Terraform &amp; OpenTofu)")</f>
        <v>Infrastructure as Code (Terraform &amp; OpenTofu)</v>
      </c>
      <c r="F1386" s="7" t="str">
        <f>IFERROR(__xludf.DUMMYFUNCTION("""COMPUTED_VALUE"""),"S183 unlocks S178")</f>
        <v>S183 unlocks S178</v>
      </c>
    </row>
    <row r="1387">
      <c r="A1387" s="7" t="str">
        <f>IFERROR(__xludf.DUMMYFUNCTION("""COMPUTED_VALUE"""),"PE1386")</f>
        <v>PE1386</v>
      </c>
      <c r="B1387" s="7" t="str">
        <f>IFERROR(__xludf.DUMMYFUNCTION("""COMPUTED_VALUE"""),"S183")</f>
        <v>S183</v>
      </c>
      <c r="C1387" s="7" t="str">
        <f>IFERROR(__xludf.DUMMYFUNCTION("""COMPUTED_VALUE"""),"Web Servers, Reverse Proxy &amp; Load Balancing (Nginx, HAProxy)")</f>
        <v>Web Servers, Reverse Proxy &amp; Load Balancing (Nginx, HAProxy)</v>
      </c>
      <c r="D1387" s="7" t="str">
        <f>IFERROR(__xludf.DUMMYFUNCTION("""COMPUTED_VALUE"""),"S182")</f>
        <v>S182</v>
      </c>
      <c r="E1387" s="7" t="str">
        <f>IFERROR(__xludf.DUMMYFUNCTION("""COMPUTED_VALUE"""),"GitOps &amp; Continuous Delivery (ArgoCD, Flux)")</f>
        <v>GitOps &amp; Continuous Delivery (ArgoCD, Flux)</v>
      </c>
      <c r="F1387" s="7" t="str">
        <f>IFERROR(__xludf.DUMMYFUNCTION("""COMPUTED_VALUE"""),"S183 unlocks S182")</f>
        <v>S183 unlocks S182</v>
      </c>
    </row>
    <row r="1388">
      <c r="A1388" s="7" t="str">
        <f>IFERROR(__xludf.DUMMYFUNCTION("""COMPUTED_VALUE"""),"PE1387")</f>
        <v>PE1387</v>
      </c>
      <c r="B1388" s="7" t="str">
        <f>IFERROR(__xludf.DUMMYFUNCTION("""COMPUTED_VALUE"""),"S183")</f>
        <v>S183</v>
      </c>
      <c r="C1388" s="7" t="str">
        <f>IFERROR(__xludf.DUMMYFUNCTION("""COMPUTED_VALUE"""),"Web Servers, Reverse Proxy &amp; Load Balancing (Nginx, HAProxy)")</f>
        <v>Web Servers, Reverse Proxy &amp; Load Balancing (Nginx, HAProxy)</v>
      </c>
      <c r="D1388" s="7" t="str">
        <f>IFERROR(__xludf.DUMMYFUNCTION("""COMPUTED_VALUE"""),"S185")</f>
        <v>S185</v>
      </c>
      <c r="E1388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88" s="7" t="str">
        <f>IFERROR(__xludf.DUMMYFUNCTION("""COMPUTED_VALUE"""),"S183 unlocks S185")</f>
        <v>S183 unlocks S185</v>
      </c>
    </row>
    <row r="1389">
      <c r="A1389" s="7" t="str">
        <f>IFERROR(__xludf.DUMMYFUNCTION("""COMPUTED_VALUE"""),"PE1388")</f>
        <v>PE1388</v>
      </c>
      <c r="B1389" s="7" t="str">
        <f>IFERROR(__xludf.DUMMYFUNCTION("""COMPUTED_VALUE"""),"S183")</f>
        <v>S183</v>
      </c>
      <c r="C1389" s="7" t="str">
        <f>IFERROR(__xludf.DUMMYFUNCTION("""COMPUTED_VALUE"""),"Web Servers, Reverse Proxy &amp; Load Balancing (Nginx, HAProxy)")</f>
        <v>Web Servers, Reverse Proxy &amp; Load Balancing (Nginx, HAProxy)</v>
      </c>
      <c r="D1389" s="7" t="str">
        <f>IFERROR(__xludf.DUMMYFUNCTION("""COMPUTED_VALUE"""),"S186")</f>
        <v>S186</v>
      </c>
      <c r="E1389" s="7" t="str">
        <f>IFERROR(__xludf.DUMMYFUNCTION("""COMPUTED_VALUE"""),"Site Reliability Engineering (SLIs, SLOs, SLAs &amp; Error Budgets)")</f>
        <v>Site Reliability Engineering (SLIs, SLOs, SLAs &amp; Error Budgets)</v>
      </c>
      <c r="F1389" s="7" t="str">
        <f>IFERROR(__xludf.DUMMYFUNCTION("""COMPUTED_VALUE"""),"S183 unlocks S186")</f>
        <v>S183 unlocks S186</v>
      </c>
    </row>
    <row r="1390">
      <c r="A1390" s="7" t="str">
        <f>IFERROR(__xludf.DUMMYFUNCTION("""COMPUTED_VALUE"""),"PE1389")</f>
        <v>PE1389</v>
      </c>
      <c r="B1390" s="7" t="str">
        <f>IFERROR(__xludf.DUMMYFUNCTION("""COMPUTED_VALUE"""),"S183")</f>
        <v>S183</v>
      </c>
      <c r="C1390" s="7" t="str">
        <f>IFERROR(__xludf.DUMMYFUNCTION("""COMPUTED_VALUE"""),"Web Servers, Reverse Proxy &amp; Load Balancing (Nginx, HAProxy)")</f>
        <v>Web Servers, Reverse Proxy &amp; Load Balancing (Nginx, HAProxy)</v>
      </c>
      <c r="D1390" s="7" t="str">
        <f>IFERROR(__xludf.DUMMYFUNCTION("""COMPUTED_VALUE"""),"S187")</f>
        <v>S187</v>
      </c>
      <c r="E1390" s="7" t="str">
        <f>IFERROR(__xludf.DUMMYFUNCTION("""COMPUTED_VALUE"""),"Chaos Engineering &amp; Fault Injection")</f>
        <v>Chaos Engineering &amp; Fault Injection</v>
      </c>
      <c r="F1390" s="7" t="str">
        <f>IFERROR(__xludf.DUMMYFUNCTION("""COMPUTED_VALUE"""),"S183 unlocks S187")</f>
        <v>S183 unlocks S187</v>
      </c>
    </row>
    <row r="1391">
      <c r="A1391" s="7" t="str">
        <f>IFERROR(__xludf.DUMMYFUNCTION("""COMPUTED_VALUE"""),"PE1390")</f>
        <v>PE1390</v>
      </c>
      <c r="B1391" s="7" t="str">
        <f>IFERROR(__xludf.DUMMYFUNCTION("""COMPUTED_VALUE"""),"S183")</f>
        <v>S183</v>
      </c>
      <c r="C1391" s="7" t="str">
        <f>IFERROR(__xludf.DUMMYFUNCTION("""COMPUTED_VALUE"""),"Web Servers, Reverse Proxy &amp; Load Balancing (Nginx, HAProxy)")</f>
        <v>Web Servers, Reverse Proxy &amp; Load Balancing (Nginx, HAProxy)</v>
      </c>
      <c r="D1391" s="7" t="str">
        <f>IFERROR(__xludf.DUMMYFUNCTION("""COMPUTED_VALUE"""),"S188")</f>
        <v>S188</v>
      </c>
      <c r="E1391" s="7" t="str">
        <f>IFERROR(__xludf.DUMMYFUNCTION("""COMPUTED_VALUE"""),"High Availability, Failover &amp; Disaster Recovery")</f>
        <v>High Availability, Failover &amp; Disaster Recovery</v>
      </c>
      <c r="F1391" s="7" t="str">
        <f>IFERROR(__xludf.DUMMYFUNCTION("""COMPUTED_VALUE"""),"S183 unlocks S188")</f>
        <v>S183 unlocks S188</v>
      </c>
    </row>
    <row r="1392">
      <c r="A1392" s="7" t="str">
        <f>IFERROR(__xludf.DUMMYFUNCTION("""COMPUTED_VALUE"""),"PE1391")</f>
        <v>PE1391</v>
      </c>
      <c r="B1392" s="7" t="str">
        <f>IFERROR(__xludf.DUMMYFUNCTION("""COMPUTED_VALUE"""),"S183")</f>
        <v>S183</v>
      </c>
      <c r="C1392" s="7" t="str">
        <f>IFERROR(__xludf.DUMMYFUNCTION("""COMPUTED_VALUE"""),"Web Servers, Reverse Proxy &amp; Load Balancing (Nginx, HAProxy)")</f>
        <v>Web Servers, Reverse Proxy &amp; Load Balancing (Nginx, HAProxy)</v>
      </c>
      <c r="D1392" s="7" t="str">
        <f>IFERROR(__xludf.DUMMYFUNCTION("""COMPUTED_VALUE"""),"S190")</f>
        <v>S190</v>
      </c>
      <c r="E1392" s="7" t="str">
        <f>IFERROR(__xludf.DUMMYFUNCTION("""COMPUTED_VALUE"""),"Internal Developer Platforms (IDP &amp; Backstage)")</f>
        <v>Internal Developer Platforms (IDP &amp; Backstage)</v>
      </c>
      <c r="F1392" s="7" t="str">
        <f>IFERROR(__xludf.DUMMYFUNCTION("""COMPUTED_VALUE"""),"S183 unlocks S190")</f>
        <v>S183 unlocks S190</v>
      </c>
    </row>
    <row r="1393">
      <c r="A1393" s="7" t="str">
        <f>IFERROR(__xludf.DUMMYFUNCTION("""COMPUTED_VALUE"""),"PE1392")</f>
        <v>PE1392</v>
      </c>
      <c r="B1393" s="7" t="str">
        <f>IFERROR(__xludf.DUMMYFUNCTION("""COMPUTED_VALUE"""),"S183")</f>
        <v>S183</v>
      </c>
      <c r="C1393" s="7" t="str">
        <f>IFERROR(__xludf.DUMMYFUNCTION("""COMPUTED_VALUE"""),"Web Servers, Reverse Proxy &amp; Load Balancing (Nginx, HAProxy)")</f>
        <v>Web Servers, Reverse Proxy &amp; Load Balancing (Nginx, HAProxy)</v>
      </c>
      <c r="D1393" s="7" t="str">
        <f>IFERROR(__xludf.DUMMYFUNCTION("""COMPUTED_VALUE"""),"S195")</f>
        <v>S195</v>
      </c>
      <c r="E1393" s="7" t="str">
        <f>IFERROR(__xludf.DUMMYFUNCTION("""COMPUTED_VALUE"""),"Enterprise Routing &amp; Switching (BGP, OSPF, Cisco IOS)")</f>
        <v>Enterprise Routing &amp; Switching (BGP, OSPF, Cisco IOS)</v>
      </c>
      <c r="F1393" s="7" t="str">
        <f>IFERROR(__xludf.DUMMYFUNCTION("""COMPUTED_VALUE"""),"S183 unlocks S195")</f>
        <v>S183 unlocks S195</v>
      </c>
    </row>
    <row r="1394">
      <c r="A1394" s="7" t="str">
        <f>IFERROR(__xludf.DUMMYFUNCTION("""COMPUTED_VALUE"""),"PE1393")</f>
        <v>PE1393</v>
      </c>
      <c r="B1394" s="7" t="str">
        <f>IFERROR(__xludf.DUMMYFUNCTION("""COMPUTED_VALUE"""),"S184")</f>
        <v>S184</v>
      </c>
      <c r="C1394" s="7" t="str">
        <f>IFERROR(__xludf.DUMMYFUNCTION("""COMPUTED_VALUE"""),"Infrastructure &amp; Metrics Monitoring (Prometheus &amp; Grafana)")</f>
        <v>Infrastructure &amp; Metrics Monitoring (Prometheus &amp; Grafana)</v>
      </c>
      <c r="D1394" s="7" t="str">
        <f>IFERROR(__xludf.DUMMYFUNCTION("""COMPUTED_VALUE"""),"S172")</f>
        <v>S172</v>
      </c>
      <c r="E1394" s="7" t="str">
        <f>IFERROR(__xludf.DUMMYFUNCTION("""COMPUTED_VALUE"""),"Kubernetes Cluster Orchestration (K8s)")</f>
        <v>Kubernetes Cluster Orchestration (K8s)</v>
      </c>
      <c r="F1394" s="7" t="str">
        <f>IFERROR(__xludf.DUMMYFUNCTION("""COMPUTED_VALUE"""),"S184 unlocks S172")</f>
        <v>S184 unlocks S172</v>
      </c>
    </row>
    <row r="1395">
      <c r="A1395" s="7" t="str">
        <f>IFERROR(__xludf.DUMMYFUNCTION("""COMPUTED_VALUE"""),"PE1394")</f>
        <v>PE1394</v>
      </c>
      <c r="B1395" s="7" t="str">
        <f>IFERROR(__xludf.DUMMYFUNCTION("""COMPUTED_VALUE"""),"S184")</f>
        <v>S184</v>
      </c>
      <c r="C1395" s="7" t="str">
        <f>IFERROR(__xludf.DUMMYFUNCTION("""COMPUTED_VALUE"""),"Infrastructure &amp; Metrics Monitoring (Prometheus &amp; Grafana)")</f>
        <v>Infrastructure &amp; Metrics Monitoring (Prometheus &amp; Grafana)</v>
      </c>
      <c r="D1395" s="7" t="str">
        <f>IFERROR(__xludf.DUMMYFUNCTION("""COMPUTED_VALUE"""),"S178")</f>
        <v>S178</v>
      </c>
      <c r="E1395" s="7" t="str">
        <f>IFERROR(__xludf.DUMMYFUNCTION("""COMPUTED_VALUE"""),"Infrastructure as Code (Terraform &amp; OpenTofu)")</f>
        <v>Infrastructure as Code (Terraform &amp; OpenTofu)</v>
      </c>
      <c r="F1395" s="7" t="str">
        <f>IFERROR(__xludf.DUMMYFUNCTION("""COMPUTED_VALUE"""),"S184 unlocks S178")</f>
        <v>S184 unlocks S178</v>
      </c>
    </row>
    <row r="1396">
      <c r="A1396" s="7" t="str">
        <f>IFERROR(__xludf.DUMMYFUNCTION("""COMPUTED_VALUE"""),"PE1395")</f>
        <v>PE1395</v>
      </c>
      <c r="B1396" s="7" t="str">
        <f>IFERROR(__xludf.DUMMYFUNCTION("""COMPUTED_VALUE"""),"S184")</f>
        <v>S184</v>
      </c>
      <c r="C1396" s="7" t="str">
        <f>IFERROR(__xludf.DUMMYFUNCTION("""COMPUTED_VALUE"""),"Infrastructure &amp; Metrics Monitoring (Prometheus &amp; Grafana)")</f>
        <v>Infrastructure &amp; Metrics Monitoring (Prometheus &amp; Grafana)</v>
      </c>
      <c r="D1396" s="7" t="str">
        <f>IFERROR(__xludf.DUMMYFUNCTION("""COMPUTED_VALUE"""),"S182")</f>
        <v>S182</v>
      </c>
      <c r="E1396" s="7" t="str">
        <f>IFERROR(__xludf.DUMMYFUNCTION("""COMPUTED_VALUE"""),"GitOps &amp; Continuous Delivery (ArgoCD, Flux)")</f>
        <v>GitOps &amp; Continuous Delivery (ArgoCD, Flux)</v>
      </c>
      <c r="F1396" s="7" t="str">
        <f>IFERROR(__xludf.DUMMYFUNCTION("""COMPUTED_VALUE"""),"S184 unlocks S182")</f>
        <v>S184 unlocks S182</v>
      </c>
    </row>
    <row r="1397">
      <c r="A1397" s="7" t="str">
        <f>IFERROR(__xludf.DUMMYFUNCTION("""COMPUTED_VALUE"""),"PE1396")</f>
        <v>PE1396</v>
      </c>
      <c r="B1397" s="7" t="str">
        <f>IFERROR(__xludf.DUMMYFUNCTION("""COMPUTED_VALUE"""),"S184")</f>
        <v>S184</v>
      </c>
      <c r="C1397" s="7" t="str">
        <f>IFERROR(__xludf.DUMMYFUNCTION("""COMPUTED_VALUE"""),"Infrastructure &amp; Metrics Monitoring (Prometheus &amp; Grafana)")</f>
        <v>Infrastructure &amp; Metrics Monitoring (Prometheus &amp; Grafana)</v>
      </c>
      <c r="D1397" s="7" t="str">
        <f>IFERROR(__xludf.DUMMYFUNCTION("""COMPUTED_VALUE"""),"S185")</f>
        <v>S185</v>
      </c>
      <c r="E1397" s="7" t="str">
        <f>IFERROR(__xludf.DUMMYFUNCTION("""COMPUTED_VALUE"""),"Centralized Logging &amp; Observability (ELK Stack, OpenTelemetry, Datadog)")</f>
        <v>Centralized Logging &amp; Observability (ELK Stack, OpenTelemetry, Datadog)</v>
      </c>
      <c r="F1397" s="7" t="str">
        <f>IFERROR(__xludf.DUMMYFUNCTION("""COMPUTED_VALUE"""),"S184 unlocks S185")</f>
        <v>S184 unlocks S185</v>
      </c>
    </row>
    <row r="1398">
      <c r="A1398" s="7" t="str">
        <f>IFERROR(__xludf.DUMMYFUNCTION("""COMPUTED_VALUE"""),"PE1397")</f>
        <v>PE1397</v>
      </c>
      <c r="B1398" s="7" t="str">
        <f>IFERROR(__xludf.DUMMYFUNCTION("""COMPUTED_VALUE"""),"S184")</f>
        <v>S184</v>
      </c>
      <c r="C1398" s="7" t="str">
        <f>IFERROR(__xludf.DUMMYFUNCTION("""COMPUTED_VALUE"""),"Infrastructure &amp; Metrics Monitoring (Prometheus &amp; Grafana)")</f>
        <v>Infrastructure &amp; Metrics Monitoring (Prometheus &amp; Grafana)</v>
      </c>
      <c r="D1398" s="7" t="str">
        <f>IFERROR(__xludf.DUMMYFUNCTION("""COMPUTED_VALUE"""),"S186")</f>
        <v>S186</v>
      </c>
      <c r="E1398" s="7" t="str">
        <f>IFERROR(__xludf.DUMMYFUNCTION("""COMPUTED_VALUE"""),"Site Reliability Engineering (SLIs, SLOs, SLAs &amp; Error Budgets)")</f>
        <v>Site Reliability Engineering (SLIs, SLOs, SLAs &amp; Error Budgets)</v>
      </c>
      <c r="F1398" s="7" t="str">
        <f>IFERROR(__xludf.DUMMYFUNCTION("""COMPUTED_VALUE"""),"S184 unlocks S186")</f>
        <v>S184 unlocks S186</v>
      </c>
    </row>
    <row r="1399">
      <c r="A1399" s="7" t="str">
        <f>IFERROR(__xludf.DUMMYFUNCTION("""COMPUTED_VALUE"""),"PE1398")</f>
        <v>PE1398</v>
      </c>
      <c r="B1399" s="7" t="str">
        <f>IFERROR(__xludf.DUMMYFUNCTION("""COMPUTED_VALUE"""),"S184")</f>
        <v>S184</v>
      </c>
      <c r="C1399" s="7" t="str">
        <f>IFERROR(__xludf.DUMMYFUNCTION("""COMPUTED_VALUE"""),"Infrastructure &amp; Metrics Monitoring (Prometheus &amp; Grafana)")</f>
        <v>Infrastructure &amp; Metrics Monitoring (Prometheus &amp; Grafana)</v>
      </c>
      <c r="D1399" s="7" t="str">
        <f>IFERROR(__xludf.DUMMYFUNCTION("""COMPUTED_VALUE"""),"S187")</f>
        <v>S187</v>
      </c>
      <c r="E1399" s="7" t="str">
        <f>IFERROR(__xludf.DUMMYFUNCTION("""COMPUTED_VALUE"""),"Chaos Engineering &amp; Fault Injection")</f>
        <v>Chaos Engineering &amp; Fault Injection</v>
      </c>
      <c r="F1399" s="7" t="str">
        <f>IFERROR(__xludf.DUMMYFUNCTION("""COMPUTED_VALUE"""),"S184 unlocks S187")</f>
        <v>S184 unlocks S187</v>
      </c>
    </row>
    <row r="1400">
      <c r="A1400" s="7" t="str">
        <f>IFERROR(__xludf.DUMMYFUNCTION("""COMPUTED_VALUE"""),"PE1399")</f>
        <v>PE1399</v>
      </c>
      <c r="B1400" s="7" t="str">
        <f>IFERROR(__xludf.DUMMYFUNCTION("""COMPUTED_VALUE"""),"S184")</f>
        <v>S184</v>
      </c>
      <c r="C1400" s="7" t="str">
        <f>IFERROR(__xludf.DUMMYFUNCTION("""COMPUTED_VALUE"""),"Infrastructure &amp; Metrics Monitoring (Prometheus &amp; Grafana)")</f>
        <v>Infrastructure &amp; Metrics Monitoring (Prometheus &amp; Grafana)</v>
      </c>
      <c r="D1400" s="7" t="str">
        <f>IFERROR(__xludf.DUMMYFUNCTION("""COMPUTED_VALUE"""),"S188")</f>
        <v>S188</v>
      </c>
      <c r="E1400" s="7" t="str">
        <f>IFERROR(__xludf.DUMMYFUNCTION("""COMPUTED_VALUE"""),"High Availability, Failover &amp; Disaster Recovery")</f>
        <v>High Availability, Failover &amp; Disaster Recovery</v>
      </c>
      <c r="F1400" s="7" t="str">
        <f>IFERROR(__xludf.DUMMYFUNCTION("""COMPUTED_VALUE"""),"S184 unlocks S188")</f>
        <v>S184 unlocks S188</v>
      </c>
    </row>
    <row r="1401">
      <c r="A1401" s="7" t="str">
        <f>IFERROR(__xludf.DUMMYFUNCTION("""COMPUTED_VALUE"""),"PE1400")</f>
        <v>PE1400</v>
      </c>
      <c r="B1401" s="7" t="str">
        <f>IFERROR(__xludf.DUMMYFUNCTION("""COMPUTED_VALUE"""),"S184")</f>
        <v>S184</v>
      </c>
      <c r="C1401" s="7" t="str">
        <f>IFERROR(__xludf.DUMMYFUNCTION("""COMPUTED_VALUE"""),"Infrastructure &amp; Metrics Monitoring (Prometheus &amp; Grafana)")</f>
        <v>Infrastructure &amp; Metrics Monitoring (Prometheus &amp; Grafana)</v>
      </c>
      <c r="D1401" s="7" t="str">
        <f>IFERROR(__xludf.DUMMYFUNCTION("""COMPUTED_VALUE"""),"S190")</f>
        <v>S190</v>
      </c>
      <c r="E1401" s="7" t="str">
        <f>IFERROR(__xludf.DUMMYFUNCTION("""COMPUTED_VALUE"""),"Internal Developer Platforms (IDP &amp; Backstage)")</f>
        <v>Internal Developer Platforms (IDP &amp; Backstage)</v>
      </c>
      <c r="F1401" s="7" t="str">
        <f>IFERROR(__xludf.DUMMYFUNCTION("""COMPUTED_VALUE"""),"S184 unlocks S190")</f>
        <v>S184 unlocks S190</v>
      </c>
    </row>
    <row r="1402">
      <c r="A1402" s="7" t="str">
        <f>IFERROR(__xludf.DUMMYFUNCTION("""COMPUTED_VALUE"""),"PE1401")</f>
        <v>PE1401</v>
      </c>
      <c r="B1402" s="7" t="str">
        <f>IFERROR(__xludf.DUMMYFUNCTION("""COMPUTED_VALUE"""),"S184")</f>
        <v>S184</v>
      </c>
      <c r="C1402" s="7" t="str">
        <f>IFERROR(__xludf.DUMMYFUNCTION("""COMPUTED_VALUE"""),"Infrastructure &amp; Metrics Monitoring (Prometheus &amp; Grafana)")</f>
        <v>Infrastructure &amp; Metrics Monitoring (Prometheus &amp; Grafana)</v>
      </c>
      <c r="D1402" s="7" t="str">
        <f>IFERROR(__xludf.DUMMYFUNCTION("""COMPUTED_VALUE"""),"S195")</f>
        <v>S195</v>
      </c>
      <c r="E1402" s="7" t="str">
        <f>IFERROR(__xludf.DUMMYFUNCTION("""COMPUTED_VALUE"""),"Enterprise Routing &amp; Switching (BGP, OSPF, Cisco IOS)")</f>
        <v>Enterprise Routing &amp; Switching (BGP, OSPF, Cisco IOS)</v>
      </c>
      <c r="F1402" s="7" t="str">
        <f>IFERROR(__xludf.DUMMYFUNCTION("""COMPUTED_VALUE"""),"S184 unlocks S195")</f>
        <v>S184 unlocks S195</v>
      </c>
    </row>
    <row r="1403">
      <c r="A1403" s="7" t="str">
        <f>IFERROR(__xludf.DUMMYFUNCTION("""COMPUTED_VALUE"""),"PE1402")</f>
        <v>PE1402</v>
      </c>
      <c r="B1403" s="7" t="str">
        <f>IFERROR(__xludf.DUMMYFUNCTION("""COMPUTED_VALUE"""),"S189")</f>
        <v>S189</v>
      </c>
      <c r="C1403" s="7" t="str">
        <f>IFERROR(__xludf.DUMMYFUNCTION("""COMPUTED_VALUE"""),"Cloud FinOps &amp; Cost Optimization")</f>
        <v>Cloud FinOps &amp; Cost Optimization</v>
      </c>
      <c r="D1403" s="7" t="str">
        <f>IFERROR(__xludf.DUMMYFUNCTION("""COMPUTED_VALUE"""),"S172")</f>
        <v>S172</v>
      </c>
      <c r="E1403" s="7" t="str">
        <f>IFERROR(__xludf.DUMMYFUNCTION("""COMPUTED_VALUE"""),"Kubernetes Cluster Orchestration (K8s)")</f>
        <v>Kubernetes Cluster Orchestration (K8s)</v>
      </c>
      <c r="F1403" s="7" t="str">
        <f>IFERROR(__xludf.DUMMYFUNCTION("""COMPUTED_VALUE"""),"S189 unlocks S172")</f>
        <v>S189 unlocks S172</v>
      </c>
    </row>
    <row r="1404">
      <c r="A1404" s="7" t="str">
        <f>IFERROR(__xludf.DUMMYFUNCTION("""COMPUTED_VALUE"""),"PE1403")</f>
        <v>PE1403</v>
      </c>
      <c r="B1404" s="7" t="str">
        <f>IFERROR(__xludf.DUMMYFUNCTION("""COMPUTED_VALUE"""),"S189")</f>
        <v>S189</v>
      </c>
      <c r="C1404" s="7" t="str">
        <f>IFERROR(__xludf.DUMMYFUNCTION("""COMPUTED_VALUE"""),"Cloud FinOps &amp; Cost Optimization")</f>
        <v>Cloud FinOps &amp; Cost Optimization</v>
      </c>
      <c r="D1404" s="7" t="str">
        <f>IFERROR(__xludf.DUMMYFUNCTION("""COMPUTED_VALUE"""),"S178")</f>
        <v>S178</v>
      </c>
      <c r="E1404" s="7" t="str">
        <f>IFERROR(__xludf.DUMMYFUNCTION("""COMPUTED_VALUE"""),"Infrastructure as Code (Terraform &amp; OpenTofu)")</f>
        <v>Infrastructure as Code (Terraform &amp; OpenTofu)</v>
      </c>
      <c r="F1404" s="7" t="str">
        <f>IFERROR(__xludf.DUMMYFUNCTION("""COMPUTED_VALUE"""),"S189 unlocks S178")</f>
        <v>S189 unlocks S178</v>
      </c>
    </row>
    <row r="1405">
      <c r="A1405" s="7" t="str">
        <f>IFERROR(__xludf.DUMMYFUNCTION("""COMPUTED_VALUE"""),"PE1404")</f>
        <v>PE1404</v>
      </c>
      <c r="B1405" s="7" t="str">
        <f>IFERROR(__xludf.DUMMYFUNCTION("""COMPUTED_VALUE"""),"S189")</f>
        <v>S189</v>
      </c>
      <c r="C1405" s="7" t="str">
        <f>IFERROR(__xludf.DUMMYFUNCTION("""COMPUTED_VALUE"""),"Cloud FinOps &amp; Cost Optimization")</f>
        <v>Cloud FinOps &amp; Cost Optimization</v>
      </c>
      <c r="D1405" s="7" t="str">
        <f>IFERROR(__xludf.DUMMYFUNCTION("""COMPUTED_VALUE"""),"S182")</f>
        <v>S182</v>
      </c>
      <c r="E1405" s="7" t="str">
        <f>IFERROR(__xludf.DUMMYFUNCTION("""COMPUTED_VALUE"""),"GitOps &amp; Continuous Delivery (ArgoCD, Flux)")</f>
        <v>GitOps &amp; Continuous Delivery (ArgoCD, Flux)</v>
      </c>
      <c r="F1405" s="7" t="str">
        <f>IFERROR(__xludf.DUMMYFUNCTION("""COMPUTED_VALUE"""),"S189 unlocks S182")</f>
        <v>S189 unlocks S182</v>
      </c>
    </row>
    <row r="1406">
      <c r="A1406" s="7" t="str">
        <f>IFERROR(__xludf.DUMMYFUNCTION("""COMPUTED_VALUE"""),"PE1405")</f>
        <v>PE1405</v>
      </c>
      <c r="B1406" s="7" t="str">
        <f>IFERROR(__xludf.DUMMYFUNCTION("""COMPUTED_VALUE"""),"S189")</f>
        <v>S189</v>
      </c>
      <c r="C1406" s="7" t="str">
        <f>IFERROR(__xludf.DUMMYFUNCTION("""COMPUTED_VALUE"""),"Cloud FinOps &amp; Cost Optimization")</f>
        <v>Cloud FinOps &amp; Cost Optimization</v>
      </c>
      <c r="D1406" s="7" t="str">
        <f>IFERROR(__xludf.DUMMYFUNCTION("""COMPUTED_VALUE"""),"S185")</f>
        <v>S185</v>
      </c>
      <c r="E1406" s="7" t="str">
        <f>IFERROR(__xludf.DUMMYFUNCTION("""COMPUTED_VALUE"""),"Centralized Logging &amp; Observability (ELK Stack, OpenTelemetry, Datadog)")</f>
        <v>Centralized Logging &amp; Observability (ELK Stack, OpenTelemetry, Datadog)</v>
      </c>
      <c r="F1406" s="7" t="str">
        <f>IFERROR(__xludf.DUMMYFUNCTION("""COMPUTED_VALUE"""),"S189 unlocks S185")</f>
        <v>S189 unlocks S185</v>
      </c>
    </row>
    <row r="1407">
      <c r="A1407" s="7" t="str">
        <f>IFERROR(__xludf.DUMMYFUNCTION("""COMPUTED_VALUE"""),"PE1406")</f>
        <v>PE1406</v>
      </c>
      <c r="B1407" s="7" t="str">
        <f>IFERROR(__xludf.DUMMYFUNCTION("""COMPUTED_VALUE"""),"S189")</f>
        <v>S189</v>
      </c>
      <c r="C1407" s="7" t="str">
        <f>IFERROR(__xludf.DUMMYFUNCTION("""COMPUTED_VALUE"""),"Cloud FinOps &amp; Cost Optimization")</f>
        <v>Cloud FinOps &amp; Cost Optimization</v>
      </c>
      <c r="D1407" s="7" t="str">
        <f>IFERROR(__xludf.DUMMYFUNCTION("""COMPUTED_VALUE"""),"S186")</f>
        <v>S186</v>
      </c>
      <c r="E1407" s="7" t="str">
        <f>IFERROR(__xludf.DUMMYFUNCTION("""COMPUTED_VALUE"""),"Site Reliability Engineering (SLIs, SLOs, SLAs &amp; Error Budgets)")</f>
        <v>Site Reliability Engineering (SLIs, SLOs, SLAs &amp; Error Budgets)</v>
      </c>
      <c r="F1407" s="7" t="str">
        <f>IFERROR(__xludf.DUMMYFUNCTION("""COMPUTED_VALUE"""),"S189 unlocks S186")</f>
        <v>S189 unlocks S186</v>
      </c>
    </row>
    <row r="1408">
      <c r="A1408" s="7" t="str">
        <f>IFERROR(__xludf.DUMMYFUNCTION("""COMPUTED_VALUE"""),"PE1407")</f>
        <v>PE1407</v>
      </c>
      <c r="B1408" s="7" t="str">
        <f>IFERROR(__xludf.DUMMYFUNCTION("""COMPUTED_VALUE"""),"S189")</f>
        <v>S189</v>
      </c>
      <c r="C1408" s="7" t="str">
        <f>IFERROR(__xludf.DUMMYFUNCTION("""COMPUTED_VALUE"""),"Cloud FinOps &amp; Cost Optimization")</f>
        <v>Cloud FinOps &amp; Cost Optimization</v>
      </c>
      <c r="D1408" s="7" t="str">
        <f>IFERROR(__xludf.DUMMYFUNCTION("""COMPUTED_VALUE"""),"S187")</f>
        <v>S187</v>
      </c>
      <c r="E1408" s="7" t="str">
        <f>IFERROR(__xludf.DUMMYFUNCTION("""COMPUTED_VALUE"""),"Chaos Engineering &amp; Fault Injection")</f>
        <v>Chaos Engineering &amp; Fault Injection</v>
      </c>
      <c r="F1408" s="7" t="str">
        <f>IFERROR(__xludf.DUMMYFUNCTION("""COMPUTED_VALUE"""),"S189 unlocks S187")</f>
        <v>S189 unlocks S187</v>
      </c>
    </row>
    <row r="1409">
      <c r="A1409" s="7" t="str">
        <f>IFERROR(__xludf.DUMMYFUNCTION("""COMPUTED_VALUE"""),"PE1408")</f>
        <v>PE1408</v>
      </c>
      <c r="B1409" s="7" t="str">
        <f>IFERROR(__xludf.DUMMYFUNCTION("""COMPUTED_VALUE"""),"S189")</f>
        <v>S189</v>
      </c>
      <c r="C1409" s="7" t="str">
        <f>IFERROR(__xludf.DUMMYFUNCTION("""COMPUTED_VALUE"""),"Cloud FinOps &amp; Cost Optimization")</f>
        <v>Cloud FinOps &amp; Cost Optimization</v>
      </c>
      <c r="D1409" s="7" t="str">
        <f>IFERROR(__xludf.DUMMYFUNCTION("""COMPUTED_VALUE"""),"S188")</f>
        <v>S188</v>
      </c>
      <c r="E1409" s="7" t="str">
        <f>IFERROR(__xludf.DUMMYFUNCTION("""COMPUTED_VALUE"""),"High Availability, Failover &amp; Disaster Recovery")</f>
        <v>High Availability, Failover &amp; Disaster Recovery</v>
      </c>
      <c r="F1409" s="7" t="str">
        <f>IFERROR(__xludf.DUMMYFUNCTION("""COMPUTED_VALUE"""),"S189 unlocks S188")</f>
        <v>S189 unlocks S188</v>
      </c>
    </row>
    <row r="1410">
      <c r="A1410" s="7" t="str">
        <f>IFERROR(__xludf.DUMMYFUNCTION("""COMPUTED_VALUE"""),"PE1409")</f>
        <v>PE1409</v>
      </c>
      <c r="B1410" s="7" t="str">
        <f>IFERROR(__xludf.DUMMYFUNCTION("""COMPUTED_VALUE"""),"S189")</f>
        <v>S189</v>
      </c>
      <c r="C1410" s="7" t="str">
        <f>IFERROR(__xludf.DUMMYFUNCTION("""COMPUTED_VALUE"""),"Cloud FinOps &amp; Cost Optimization")</f>
        <v>Cloud FinOps &amp; Cost Optimization</v>
      </c>
      <c r="D1410" s="7" t="str">
        <f>IFERROR(__xludf.DUMMYFUNCTION("""COMPUTED_VALUE"""),"S190")</f>
        <v>S190</v>
      </c>
      <c r="E1410" s="7" t="str">
        <f>IFERROR(__xludf.DUMMYFUNCTION("""COMPUTED_VALUE"""),"Internal Developer Platforms (IDP &amp; Backstage)")</f>
        <v>Internal Developer Platforms (IDP &amp; Backstage)</v>
      </c>
      <c r="F1410" s="7" t="str">
        <f>IFERROR(__xludf.DUMMYFUNCTION("""COMPUTED_VALUE"""),"S189 unlocks S190")</f>
        <v>S189 unlocks S190</v>
      </c>
    </row>
    <row r="1411">
      <c r="A1411" s="7" t="str">
        <f>IFERROR(__xludf.DUMMYFUNCTION("""COMPUTED_VALUE"""),"PE1410")</f>
        <v>PE1410</v>
      </c>
      <c r="B1411" s="7" t="str">
        <f>IFERROR(__xludf.DUMMYFUNCTION("""COMPUTED_VALUE"""),"S189")</f>
        <v>S189</v>
      </c>
      <c r="C1411" s="7" t="str">
        <f>IFERROR(__xludf.DUMMYFUNCTION("""COMPUTED_VALUE"""),"Cloud FinOps &amp; Cost Optimization")</f>
        <v>Cloud FinOps &amp; Cost Optimization</v>
      </c>
      <c r="D1411" s="7" t="str">
        <f>IFERROR(__xludf.DUMMYFUNCTION("""COMPUTED_VALUE"""),"S195")</f>
        <v>S195</v>
      </c>
      <c r="E1411" s="7" t="str">
        <f>IFERROR(__xludf.DUMMYFUNCTION("""COMPUTED_VALUE"""),"Enterprise Routing &amp; Switching (BGP, OSPF, Cisco IOS)")</f>
        <v>Enterprise Routing &amp; Switching (BGP, OSPF, Cisco IOS)</v>
      </c>
      <c r="F1411" s="7" t="str">
        <f>IFERROR(__xludf.DUMMYFUNCTION("""COMPUTED_VALUE"""),"S189 unlocks S195")</f>
        <v>S189 unlocks S195</v>
      </c>
    </row>
    <row r="1412">
      <c r="A1412" s="7" t="str">
        <f>IFERROR(__xludf.DUMMYFUNCTION("""COMPUTED_VALUE"""),"PE1411")</f>
        <v>PE1411</v>
      </c>
      <c r="B1412" s="7" t="str">
        <f>IFERROR(__xludf.DUMMYFUNCTION("""COMPUTED_VALUE"""),"S191")</f>
        <v>S191</v>
      </c>
      <c r="C1412" s="7" t="str">
        <f>IFERROR(__xludf.DUMMYFUNCTION("""COMPUTED_VALUE"""),"Enterprise Linux System Administration (RHEL, Ubuntu, systemd)")</f>
        <v>Enterprise Linux System Administration (RHEL, Ubuntu, systemd)</v>
      </c>
      <c r="D1412" s="7" t="str">
        <f>IFERROR(__xludf.DUMMYFUNCTION("""COMPUTED_VALUE"""),"S172")</f>
        <v>S172</v>
      </c>
      <c r="E1412" s="7" t="str">
        <f>IFERROR(__xludf.DUMMYFUNCTION("""COMPUTED_VALUE"""),"Kubernetes Cluster Orchestration (K8s)")</f>
        <v>Kubernetes Cluster Orchestration (K8s)</v>
      </c>
      <c r="F1412" s="7" t="str">
        <f>IFERROR(__xludf.DUMMYFUNCTION("""COMPUTED_VALUE"""),"S191 unlocks S172")</f>
        <v>S191 unlocks S172</v>
      </c>
    </row>
    <row r="1413">
      <c r="A1413" s="7" t="str">
        <f>IFERROR(__xludf.DUMMYFUNCTION("""COMPUTED_VALUE"""),"PE1412")</f>
        <v>PE1412</v>
      </c>
      <c r="B1413" s="7" t="str">
        <f>IFERROR(__xludf.DUMMYFUNCTION("""COMPUTED_VALUE"""),"S191")</f>
        <v>S191</v>
      </c>
      <c r="C1413" s="7" t="str">
        <f>IFERROR(__xludf.DUMMYFUNCTION("""COMPUTED_VALUE"""),"Enterprise Linux System Administration (RHEL, Ubuntu, systemd)")</f>
        <v>Enterprise Linux System Administration (RHEL, Ubuntu, systemd)</v>
      </c>
      <c r="D1413" s="7" t="str">
        <f>IFERROR(__xludf.DUMMYFUNCTION("""COMPUTED_VALUE"""),"S178")</f>
        <v>S178</v>
      </c>
      <c r="E1413" s="7" t="str">
        <f>IFERROR(__xludf.DUMMYFUNCTION("""COMPUTED_VALUE"""),"Infrastructure as Code (Terraform &amp; OpenTofu)")</f>
        <v>Infrastructure as Code (Terraform &amp; OpenTofu)</v>
      </c>
      <c r="F1413" s="7" t="str">
        <f>IFERROR(__xludf.DUMMYFUNCTION("""COMPUTED_VALUE"""),"S191 unlocks S178")</f>
        <v>S191 unlocks S178</v>
      </c>
    </row>
    <row r="1414">
      <c r="A1414" s="7" t="str">
        <f>IFERROR(__xludf.DUMMYFUNCTION("""COMPUTED_VALUE"""),"PE1413")</f>
        <v>PE1413</v>
      </c>
      <c r="B1414" s="7" t="str">
        <f>IFERROR(__xludf.DUMMYFUNCTION("""COMPUTED_VALUE"""),"S191")</f>
        <v>S191</v>
      </c>
      <c r="C1414" s="7" t="str">
        <f>IFERROR(__xludf.DUMMYFUNCTION("""COMPUTED_VALUE"""),"Enterprise Linux System Administration (RHEL, Ubuntu, systemd)")</f>
        <v>Enterprise Linux System Administration (RHEL, Ubuntu, systemd)</v>
      </c>
      <c r="D1414" s="7" t="str">
        <f>IFERROR(__xludf.DUMMYFUNCTION("""COMPUTED_VALUE"""),"S182")</f>
        <v>S182</v>
      </c>
      <c r="E1414" s="7" t="str">
        <f>IFERROR(__xludf.DUMMYFUNCTION("""COMPUTED_VALUE"""),"GitOps &amp; Continuous Delivery (ArgoCD, Flux)")</f>
        <v>GitOps &amp; Continuous Delivery (ArgoCD, Flux)</v>
      </c>
      <c r="F1414" s="7" t="str">
        <f>IFERROR(__xludf.DUMMYFUNCTION("""COMPUTED_VALUE"""),"S191 unlocks S182")</f>
        <v>S191 unlocks S182</v>
      </c>
    </row>
    <row r="1415">
      <c r="A1415" s="7" t="str">
        <f>IFERROR(__xludf.DUMMYFUNCTION("""COMPUTED_VALUE"""),"PE1414")</f>
        <v>PE1414</v>
      </c>
      <c r="B1415" s="7" t="str">
        <f>IFERROR(__xludf.DUMMYFUNCTION("""COMPUTED_VALUE"""),"S191")</f>
        <v>S191</v>
      </c>
      <c r="C1415" s="7" t="str">
        <f>IFERROR(__xludf.DUMMYFUNCTION("""COMPUTED_VALUE"""),"Enterprise Linux System Administration (RHEL, Ubuntu, systemd)")</f>
        <v>Enterprise Linux System Administration (RHEL, Ubuntu, systemd)</v>
      </c>
      <c r="D1415" s="7" t="str">
        <f>IFERROR(__xludf.DUMMYFUNCTION("""COMPUTED_VALUE"""),"S185")</f>
        <v>S185</v>
      </c>
      <c r="E1415" s="7" t="str">
        <f>IFERROR(__xludf.DUMMYFUNCTION("""COMPUTED_VALUE"""),"Centralized Logging &amp; Observability (ELK Stack, OpenTelemetry, Datadog)")</f>
        <v>Centralized Logging &amp; Observability (ELK Stack, OpenTelemetry, Datadog)</v>
      </c>
      <c r="F1415" s="7" t="str">
        <f>IFERROR(__xludf.DUMMYFUNCTION("""COMPUTED_VALUE"""),"S191 unlocks S185")</f>
        <v>S191 unlocks S185</v>
      </c>
    </row>
    <row r="1416">
      <c r="A1416" s="7" t="str">
        <f>IFERROR(__xludf.DUMMYFUNCTION("""COMPUTED_VALUE"""),"PE1415")</f>
        <v>PE1415</v>
      </c>
      <c r="B1416" s="7" t="str">
        <f>IFERROR(__xludf.DUMMYFUNCTION("""COMPUTED_VALUE"""),"S191")</f>
        <v>S191</v>
      </c>
      <c r="C1416" s="7" t="str">
        <f>IFERROR(__xludf.DUMMYFUNCTION("""COMPUTED_VALUE"""),"Enterprise Linux System Administration (RHEL, Ubuntu, systemd)")</f>
        <v>Enterprise Linux System Administration (RHEL, Ubuntu, systemd)</v>
      </c>
      <c r="D1416" s="7" t="str">
        <f>IFERROR(__xludf.DUMMYFUNCTION("""COMPUTED_VALUE"""),"S186")</f>
        <v>S186</v>
      </c>
      <c r="E1416" s="7" t="str">
        <f>IFERROR(__xludf.DUMMYFUNCTION("""COMPUTED_VALUE"""),"Site Reliability Engineering (SLIs, SLOs, SLAs &amp; Error Budgets)")</f>
        <v>Site Reliability Engineering (SLIs, SLOs, SLAs &amp; Error Budgets)</v>
      </c>
      <c r="F1416" s="7" t="str">
        <f>IFERROR(__xludf.DUMMYFUNCTION("""COMPUTED_VALUE"""),"S191 unlocks S186")</f>
        <v>S191 unlocks S186</v>
      </c>
    </row>
    <row r="1417">
      <c r="A1417" s="7" t="str">
        <f>IFERROR(__xludf.DUMMYFUNCTION("""COMPUTED_VALUE"""),"PE1416")</f>
        <v>PE1416</v>
      </c>
      <c r="B1417" s="7" t="str">
        <f>IFERROR(__xludf.DUMMYFUNCTION("""COMPUTED_VALUE"""),"S191")</f>
        <v>S191</v>
      </c>
      <c r="C1417" s="7" t="str">
        <f>IFERROR(__xludf.DUMMYFUNCTION("""COMPUTED_VALUE"""),"Enterprise Linux System Administration (RHEL, Ubuntu, systemd)")</f>
        <v>Enterprise Linux System Administration (RHEL, Ubuntu, systemd)</v>
      </c>
      <c r="D1417" s="7" t="str">
        <f>IFERROR(__xludf.DUMMYFUNCTION("""COMPUTED_VALUE"""),"S187")</f>
        <v>S187</v>
      </c>
      <c r="E1417" s="7" t="str">
        <f>IFERROR(__xludf.DUMMYFUNCTION("""COMPUTED_VALUE"""),"Chaos Engineering &amp; Fault Injection")</f>
        <v>Chaos Engineering &amp; Fault Injection</v>
      </c>
      <c r="F1417" s="7" t="str">
        <f>IFERROR(__xludf.DUMMYFUNCTION("""COMPUTED_VALUE"""),"S191 unlocks S187")</f>
        <v>S191 unlocks S187</v>
      </c>
    </row>
    <row r="1418">
      <c r="A1418" s="7" t="str">
        <f>IFERROR(__xludf.DUMMYFUNCTION("""COMPUTED_VALUE"""),"PE1417")</f>
        <v>PE1417</v>
      </c>
      <c r="B1418" s="7" t="str">
        <f>IFERROR(__xludf.DUMMYFUNCTION("""COMPUTED_VALUE"""),"S191")</f>
        <v>S191</v>
      </c>
      <c r="C1418" s="7" t="str">
        <f>IFERROR(__xludf.DUMMYFUNCTION("""COMPUTED_VALUE"""),"Enterprise Linux System Administration (RHEL, Ubuntu, systemd)")</f>
        <v>Enterprise Linux System Administration (RHEL, Ubuntu, systemd)</v>
      </c>
      <c r="D1418" s="7" t="str">
        <f>IFERROR(__xludf.DUMMYFUNCTION("""COMPUTED_VALUE"""),"S188")</f>
        <v>S188</v>
      </c>
      <c r="E1418" s="7" t="str">
        <f>IFERROR(__xludf.DUMMYFUNCTION("""COMPUTED_VALUE"""),"High Availability, Failover &amp; Disaster Recovery")</f>
        <v>High Availability, Failover &amp; Disaster Recovery</v>
      </c>
      <c r="F1418" s="7" t="str">
        <f>IFERROR(__xludf.DUMMYFUNCTION("""COMPUTED_VALUE"""),"S191 unlocks S188")</f>
        <v>S191 unlocks S188</v>
      </c>
    </row>
    <row r="1419">
      <c r="A1419" s="7" t="str">
        <f>IFERROR(__xludf.DUMMYFUNCTION("""COMPUTED_VALUE"""),"PE1418")</f>
        <v>PE1418</v>
      </c>
      <c r="B1419" s="7" t="str">
        <f>IFERROR(__xludf.DUMMYFUNCTION("""COMPUTED_VALUE"""),"S191")</f>
        <v>S191</v>
      </c>
      <c r="C1419" s="7" t="str">
        <f>IFERROR(__xludf.DUMMYFUNCTION("""COMPUTED_VALUE"""),"Enterprise Linux System Administration (RHEL, Ubuntu, systemd)")</f>
        <v>Enterprise Linux System Administration (RHEL, Ubuntu, systemd)</v>
      </c>
      <c r="D1419" s="7" t="str">
        <f>IFERROR(__xludf.DUMMYFUNCTION("""COMPUTED_VALUE"""),"S190")</f>
        <v>S190</v>
      </c>
      <c r="E1419" s="7" t="str">
        <f>IFERROR(__xludf.DUMMYFUNCTION("""COMPUTED_VALUE"""),"Internal Developer Platforms (IDP &amp; Backstage)")</f>
        <v>Internal Developer Platforms (IDP &amp; Backstage)</v>
      </c>
      <c r="F1419" s="7" t="str">
        <f>IFERROR(__xludf.DUMMYFUNCTION("""COMPUTED_VALUE"""),"S191 unlocks S190")</f>
        <v>S191 unlocks S190</v>
      </c>
    </row>
    <row r="1420">
      <c r="A1420" s="7" t="str">
        <f>IFERROR(__xludf.DUMMYFUNCTION("""COMPUTED_VALUE"""),"PE1419")</f>
        <v>PE1419</v>
      </c>
      <c r="B1420" s="7" t="str">
        <f>IFERROR(__xludf.DUMMYFUNCTION("""COMPUTED_VALUE"""),"S191")</f>
        <v>S191</v>
      </c>
      <c r="C1420" s="7" t="str">
        <f>IFERROR(__xludf.DUMMYFUNCTION("""COMPUTED_VALUE"""),"Enterprise Linux System Administration (RHEL, Ubuntu, systemd)")</f>
        <v>Enterprise Linux System Administration (RHEL, Ubuntu, systemd)</v>
      </c>
      <c r="D1420" s="7" t="str">
        <f>IFERROR(__xludf.DUMMYFUNCTION("""COMPUTED_VALUE"""),"S195")</f>
        <v>S195</v>
      </c>
      <c r="E1420" s="7" t="str">
        <f>IFERROR(__xludf.DUMMYFUNCTION("""COMPUTED_VALUE"""),"Enterprise Routing &amp; Switching (BGP, OSPF, Cisco IOS)")</f>
        <v>Enterprise Routing &amp; Switching (BGP, OSPF, Cisco IOS)</v>
      </c>
      <c r="F1420" s="7" t="str">
        <f>IFERROR(__xludf.DUMMYFUNCTION("""COMPUTED_VALUE"""),"S191 unlocks S195")</f>
        <v>S191 unlocks S195</v>
      </c>
    </row>
    <row r="1421">
      <c r="A1421" s="7" t="str">
        <f>IFERROR(__xludf.DUMMYFUNCTION("""COMPUTED_VALUE"""),"PE1420")</f>
        <v>PE1420</v>
      </c>
      <c r="B1421" s="7" t="str">
        <f>IFERROR(__xludf.DUMMYFUNCTION("""COMPUTED_VALUE"""),"S192")</f>
        <v>S192</v>
      </c>
      <c r="C1421" s="7" t="str">
        <f>IFERROR(__xludf.DUMMYFUNCTION("""COMPUTED_VALUE"""),"Windows Server &amp; Active Directory Administration")</f>
        <v>Windows Server &amp; Active Directory Administration</v>
      </c>
      <c r="D1421" s="7" t="str">
        <f>IFERROR(__xludf.DUMMYFUNCTION("""COMPUTED_VALUE"""),"S172")</f>
        <v>S172</v>
      </c>
      <c r="E1421" s="7" t="str">
        <f>IFERROR(__xludf.DUMMYFUNCTION("""COMPUTED_VALUE"""),"Kubernetes Cluster Orchestration (K8s)")</f>
        <v>Kubernetes Cluster Orchestration (K8s)</v>
      </c>
      <c r="F1421" s="7" t="str">
        <f>IFERROR(__xludf.DUMMYFUNCTION("""COMPUTED_VALUE"""),"S192 unlocks S172")</f>
        <v>S192 unlocks S172</v>
      </c>
    </row>
    <row r="1422">
      <c r="A1422" s="7" t="str">
        <f>IFERROR(__xludf.DUMMYFUNCTION("""COMPUTED_VALUE"""),"PE1421")</f>
        <v>PE1421</v>
      </c>
      <c r="B1422" s="7" t="str">
        <f>IFERROR(__xludf.DUMMYFUNCTION("""COMPUTED_VALUE"""),"S192")</f>
        <v>S192</v>
      </c>
      <c r="C1422" s="7" t="str">
        <f>IFERROR(__xludf.DUMMYFUNCTION("""COMPUTED_VALUE"""),"Windows Server &amp; Active Directory Administration")</f>
        <v>Windows Server &amp; Active Directory Administration</v>
      </c>
      <c r="D1422" s="7" t="str">
        <f>IFERROR(__xludf.DUMMYFUNCTION("""COMPUTED_VALUE"""),"S178")</f>
        <v>S178</v>
      </c>
      <c r="E1422" s="7" t="str">
        <f>IFERROR(__xludf.DUMMYFUNCTION("""COMPUTED_VALUE"""),"Infrastructure as Code (Terraform &amp; OpenTofu)")</f>
        <v>Infrastructure as Code (Terraform &amp; OpenTofu)</v>
      </c>
      <c r="F1422" s="7" t="str">
        <f>IFERROR(__xludf.DUMMYFUNCTION("""COMPUTED_VALUE"""),"S192 unlocks S178")</f>
        <v>S192 unlocks S178</v>
      </c>
    </row>
    <row r="1423">
      <c r="A1423" s="7" t="str">
        <f>IFERROR(__xludf.DUMMYFUNCTION("""COMPUTED_VALUE"""),"PE1422")</f>
        <v>PE1422</v>
      </c>
      <c r="B1423" s="7" t="str">
        <f>IFERROR(__xludf.DUMMYFUNCTION("""COMPUTED_VALUE"""),"S192")</f>
        <v>S192</v>
      </c>
      <c r="C1423" s="7" t="str">
        <f>IFERROR(__xludf.DUMMYFUNCTION("""COMPUTED_VALUE"""),"Windows Server &amp; Active Directory Administration")</f>
        <v>Windows Server &amp; Active Directory Administration</v>
      </c>
      <c r="D1423" s="7" t="str">
        <f>IFERROR(__xludf.DUMMYFUNCTION("""COMPUTED_VALUE"""),"S182")</f>
        <v>S182</v>
      </c>
      <c r="E1423" s="7" t="str">
        <f>IFERROR(__xludf.DUMMYFUNCTION("""COMPUTED_VALUE"""),"GitOps &amp; Continuous Delivery (ArgoCD, Flux)")</f>
        <v>GitOps &amp; Continuous Delivery (ArgoCD, Flux)</v>
      </c>
      <c r="F1423" s="7" t="str">
        <f>IFERROR(__xludf.DUMMYFUNCTION("""COMPUTED_VALUE"""),"S192 unlocks S182")</f>
        <v>S192 unlocks S182</v>
      </c>
    </row>
    <row r="1424">
      <c r="A1424" s="7" t="str">
        <f>IFERROR(__xludf.DUMMYFUNCTION("""COMPUTED_VALUE"""),"PE1423")</f>
        <v>PE1423</v>
      </c>
      <c r="B1424" s="7" t="str">
        <f>IFERROR(__xludf.DUMMYFUNCTION("""COMPUTED_VALUE"""),"S192")</f>
        <v>S192</v>
      </c>
      <c r="C1424" s="7" t="str">
        <f>IFERROR(__xludf.DUMMYFUNCTION("""COMPUTED_VALUE"""),"Windows Server &amp; Active Directory Administration")</f>
        <v>Windows Server &amp; Active Directory Administration</v>
      </c>
      <c r="D1424" s="7" t="str">
        <f>IFERROR(__xludf.DUMMYFUNCTION("""COMPUTED_VALUE"""),"S185")</f>
        <v>S185</v>
      </c>
      <c r="E1424" s="7" t="str">
        <f>IFERROR(__xludf.DUMMYFUNCTION("""COMPUTED_VALUE"""),"Centralized Logging &amp; Observability (ELK Stack, OpenTelemetry, Datadog)")</f>
        <v>Centralized Logging &amp; Observability (ELK Stack, OpenTelemetry, Datadog)</v>
      </c>
      <c r="F1424" s="7" t="str">
        <f>IFERROR(__xludf.DUMMYFUNCTION("""COMPUTED_VALUE"""),"S192 unlocks S185")</f>
        <v>S192 unlocks S185</v>
      </c>
    </row>
    <row r="1425">
      <c r="A1425" s="7" t="str">
        <f>IFERROR(__xludf.DUMMYFUNCTION("""COMPUTED_VALUE"""),"PE1424")</f>
        <v>PE1424</v>
      </c>
      <c r="B1425" s="7" t="str">
        <f>IFERROR(__xludf.DUMMYFUNCTION("""COMPUTED_VALUE"""),"S192")</f>
        <v>S192</v>
      </c>
      <c r="C1425" s="7" t="str">
        <f>IFERROR(__xludf.DUMMYFUNCTION("""COMPUTED_VALUE"""),"Windows Server &amp; Active Directory Administration")</f>
        <v>Windows Server &amp; Active Directory Administration</v>
      </c>
      <c r="D1425" s="7" t="str">
        <f>IFERROR(__xludf.DUMMYFUNCTION("""COMPUTED_VALUE"""),"S186")</f>
        <v>S186</v>
      </c>
      <c r="E1425" s="7" t="str">
        <f>IFERROR(__xludf.DUMMYFUNCTION("""COMPUTED_VALUE"""),"Site Reliability Engineering (SLIs, SLOs, SLAs &amp; Error Budgets)")</f>
        <v>Site Reliability Engineering (SLIs, SLOs, SLAs &amp; Error Budgets)</v>
      </c>
      <c r="F1425" s="7" t="str">
        <f>IFERROR(__xludf.DUMMYFUNCTION("""COMPUTED_VALUE"""),"S192 unlocks S186")</f>
        <v>S192 unlocks S186</v>
      </c>
    </row>
    <row r="1426">
      <c r="A1426" s="7" t="str">
        <f>IFERROR(__xludf.DUMMYFUNCTION("""COMPUTED_VALUE"""),"PE1425")</f>
        <v>PE1425</v>
      </c>
      <c r="B1426" s="7" t="str">
        <f>IFERROR(__xludf.DUMMYFUNCTION("""COMPUTED_VALUE"""),"S192")</f>
        <v>S192</v>
      </c>
      <c r="C1426" s="7" t="str">
        <f>IFERROR(__xludf.DUMMYFUNCTION("""COMPUTED_VALUE"""),"Windows Server &amp; Active Directory Administration")</f>
        <v>Windows Server &amp; Active Directory Administration</v>
      </c>
      <c r="D1426" s="7" t="str">
        <f>IFERROR(__xludf.DUMMYFUNCTION("""COMPUTED_VALUE"""),"S187")</f>
        <v>S187</v>
      </c>
      <c r="E1426" s="7" t="str">
        <f>IFERROR(__xludf.DUMMYFUNCTION("""COMPUTED_VALUE"""),"Chaos Engineering &amp; Fault Injection")</f>
        <v>Chaos Engineering &amp; Fault Injection</v>
      </c>
      <c r="F1426" s="7" t="str">
        <f>IFERROR(__xludf.DUMMYFUNCTION("""COMPUTED_VALUE"""),"S192 unlocks S187")</f>
        <v>S192 unlocks S187</v>
      </c>
    </row>
    <row r="1427">
      <c r="A1427" s="7" t="str">
        <f>IFERROR(__xludf.DUMMYFUNCTION("""COMPUTED_VALUE"""),"PE1426")</f>
        <v>PE1426</v>
      </c>
      <c r="B1427" s="7" t="str">
        <f>IFERROR(__xludf.DUMMYFUNCTION("""COMPUTED_VALUE"""),"S192")</f>
        <v>S192</v>
      </c>
      <c r="C1427" s="7" t="str">
        <f>IFERROR(__xludf.DUMMYFUNCTION("""COMPUTED_VALUE"""),"Windows Server &amp; Active Directory Administration")</f>
        <v>Windows Server &amp; Active Directory Administration</v>
      </c>
      <c r="D1427" s="7" t="str">
        <f>IFERROR(__xludf.DUMMYFUNCTION("""COMPUTED_VALUE"""),"S188")</f>
        <v>S188</v>
      </c>
      <c r="E1427" s="7" t="str">
        <f>IFERROR(__xludf.DUMMYFUNCTION("""COMPUTED_VALUE"""),"High Availability, Failover &amp; Disaster Recovery")</f>
        <v>High Availability, Failover &amp; Disaster Recovery</v>
      </c>
      <c r="F1427" s="7" t="str">
        <f>IFERROR(__xludf.DUMMYFUNCTION("""COMPUTED_VALUE"""),"S192 unlocks S188")</f>
        <v>S192 unlocks S188</v>
      </c>
    </row>
    <row r="1428">
      <c r="A1428" s="7" t="str">
        <f>IFERROR(__xludf.DUMMYFUNCTION("""COMPUTED_VALUE"""),"PE1427")</f>
        <v>PE1427</v>
      </c>
      <c r="B1428" s="7" t="str">
        <f>IFERROR(__xludf.DUMMYFUNCTION("""COMPUTED_VALUE"""),"S192")</f>
        <v>S192</v>
      </c>
      <c r="C1428" s="7" t="str">
        <f>IFERROR(__xludf.DUMMYFUNCTION("""COMPUTED_VALUE"""),"Windows Server &amp; Active Directory Administration")</f>
        <v>Windows Server &amp; Active Directory Administration</v>
      </c>
      <c r="D1428" s="7" t="str">
        <f>IFERROR(__xludf.DUMMYFUNCTION("""COMPUTED_VALUE"""),"S190")</f>
        <v>S190</v>
      </c>
      <c r="E1428" s="7" t="str">
        <f>IFERROR(__xludf.DUMMYFUNCTION("""COMPUTED_VALUE"""),"Internal Developer Platforms (IDP &amp; Backstage)")</f>
        <v>Internal Developer Platforms (IDP &amp; Backstage)</v>
      </c>
      <c r="F1428" s="7" t="str">
        <f>IFERROR(__xludf.DUMMYFUNCTION("""COMPUTED_VALUE"""),"S192 unlocks S190")</f>
        <v>S192 unlocks S190</v>
      </c>
    </row>
    <row r="1429">
      <c r="A1429" s="7" t="str">
        <f>IFERROR(__xludf.DUMMYFUNCTION("""COMPUTED_VALUE"""),"PE1428")</f>
        <v>PE1428</v>
      </c>
      <c r="B1429" s="7" t="str">
        <f>IFERROR(__xludf.DUMMYFUNCTION("""COMPUTED_VALUE"""),"S192")</f>
        <v>S192</v>
      </c>
      <c r="C1429" s="7" t="str">
        <f>IFERROR(__xludf.DUMMYFUNCTION("""COMPUTED_VALUE"""),"Windows Server &amp; Active Directory Administration")</f>
        <v>Windows Server &amp; Active Directory Administration</v>
      </c>
      <c r="D1429" s="7" t="str">
        <f>IFERROR(__xludf.DUMMYFUNCTION("""COMPUTED_VALUE"""),"S195")</f>
        <v>S195</v>
      </c>
      <c r="E1429" s="7" t="str">
        <f>IFERROR(__xludf.DUMMYFUNCTION("""COMPUTED_VALUE"""),"Enterprise Routing &amp; Switching (BGP, OSPF, Cisco IOS)")</f>
        <v>Enterprise Routing &amp; Switching (BGP, OSPF, Cisco IOS)</v>
      </c>
      <c r="F1429" s="7" t="str">
        <f>IFERROR(__xludf.DUMMYFUNCTION("""COMPUTED_VALUE"""),"S192 unlocks S195")</f>
        <v>S192 unlocks S195</v>
      </c>
    </row>
    <row r="1430">
      <c r="A1430" s="7" t="str">
        <f>IFERROR(__xludf.DUMMYFUNCTION("""COMPUTED_VALUE"""),"PE1429")</f>
        <v>PE1429</v>
      </c>
      <c r="B1430" s="7" t="str">
        <f>IFERROR(__xludf.DUMMYFUNCTION("""COMPUTED_VALUE"""),"S193")</f>
        <v>S193</v>
      </c>
      <c r="C1430" s="7" t="str">
        <f>IFERROR(__xludf.DUMMYFUNCTION("""COMPUTED_VALUE"""),"Virtualization &amp; Hypervisors (VMware vSphere, Proxmox, KVM)")</f>
        <v>Virtualization &amp; Hypervisors (VMware vSphere, Proxmox, KVM)</v>
      </c>
      <c r="D1430" s="7" t="str">
        <f>IFERROR(__xludf.DUMMYFUNCTION("""COMPUTED_VALUE"""),"S172")</f>
        <v>S172</v>
      </c>
      <c r="E1430" s="7" t="str">
        <f>IFERROR(__xludf.DUMMYFUNCTION("""COMPUTED_VALUE"""),"Kubernetes Cluster Orchestration (K8s)")</f>
        <v>Kubernetes Cluster Orchestration (K8s)</v>
      </c>
      <c r="F1430" s="7" t="str">
        <f>IFERROR(__xludf.DUMMYFUNCTION("""COMPUTED_VALUE"""),"S193 unlocks S172")</f>
        <v>S193 unlocks S172</v>
      </c>
    </row>
    <row r="1431">
      <c r="A1431" s="7" t="str">
        <f>IFERROR(__xludf.DUMMYFUNCTION("""COMPUTED_VALUE"""),"PE1430")</f>
        <v>PE1430</v>
      </c>
      <c r="B1431" s="7" t="str">
        <f>IFERROR(__xludf.DUMMYFUNCTION("""COMPUTED_VALUE"""),"S193")</f>
        <v>S193</v>
      </c>
      <c r="C1431" s="7" t="str">
        <f>IFERROR(__xludf.DUMMYFUNCTION("""COMPUTED_VALUE"""),"Virtualization &amp; Hypervisors (VMware vSphere, Proxmox, KVM)")</f>
        <v>Virtualization &amp; Hypervisors (VMware vSphere, Proxmox, KVM)</v>
      </c>
      <c r="D1431" s="7" t="str">
        <f>IFERROR(__xludf.DUMMYFUNCTION("""COMPUTED_VALUE"""),"S178")</f>
        <v>S178</v>
      </c>
      <c r="E1431" s="7" t="str">
        <f>IFERROR(__xludf.DUMMYFUNCTION("""COMPUTED_VALUE"""),"Infrastructure as Code (Terraform &amp; OpenTofu)")</f>
        <v>Infrastructure as Code (Terraform &amp; OpenTofu)</v>
      </c>
      <c r="F1431" s="7" t="str">
        <f>IFERROR(__xludf.DUMMYFUNCTION("""COMPUTED_VALUE"""),"S193 unlocks S178")</f>
        <v>S193 unlocks S178</v>
      </c>
    </row>
    <row r="1432">
      <c r="A1432" s="7" t="str">
        <f>IFERROR(__xludf.DUMMYFUNCTION("""COMPUTED_VALUE"""),"PE1431")</f>
        <v>PE1431</v>
      </c>
      <c r="B1432" s="7" t="str">
        <f>IFERROR(__xludf.DUMMYFUNCTION("""COMPUTED_VALUE"""),"S193")</f>
        <v>S193</v>
      </c>
      <c r="C1432" s="7" t="str">
        <f>IFERROR(__xludf.DUMMYFUNCTION("""COMPUTED_VALUE"""),"Virtualization &amp; Hypervisors (VMware vSphere, Proxmox, KVM)")</f>
        <v>Virtualization &amp; Hypervisors (VMware vSphere, Proxmox, KVM)</v>
      </c>
      <c r="D1432" s="7" t="str">
        <f>IFERROR(__xludf.DUMMYFUNCTION("""COMPUTED_VALUE"""),"S182")</f>
        <v>S182</v>
      </c>
      <c r="E1432" s="7" t="str">
        <f>IFERROR(__xludf.DUMMYFUNCTION("""COMPUTED_VALUE"""),"GitOps &amp; Continuous Delivery (ArgoCD, Flux)")</f>
        <v>GitOps &amp; Continuous Delivery (ArgoCD, Flux)</v>
      </c>
      <c r="F1432" s="7" t="str">
        <f>IFERROR(__xludf.DUMMYFUNCTION("""COMPUTED_VALUE"""),"S193 unlocks S182")</f>
        <v>S193 unlocks S182</v>
      </c>
    </row>
    <row r="1433">
      <c r="A1433" s="7" t="str">
        <f>IFERROR(__xludf.DUMMYFUNCTION("""COMPUTED_VALUE"""),"PE1432")</f>
        <v>PE1432</v>
      </c>
      <c r="B1433" s="7" t="str">
        <f>IFERROR(__xludf.DUMMYFUNCTION("""COMPUTED_VALUE"""),"S193")</f>
        <v>S193</v>
      </c>
      <c r="C1433" s="7" t="str">
        <f>IFERROR(__xludf.DUMMYFUNCTION("""COMPUTED_VALUE"""),"Virtualization &amp; Hypervisors (VMware vSphere, Proxmox, KVM)")</f>
        <v>Virtualization &amp; Hypervisors (VMware vSphere, Proxmox, KVM)</v>
      </c>
      <c r="D1433" s="7" t="str">
        <f>IFERROR(__xludf.DUMMYFUNCTION("""COMPUTED_VALUE"""),"S185")</f>
        <v>S185</v>
      </c>
      <c r="E1433" s="7" t="str">
        <f>IFERROR(__xludf.DUMMYFUNCTION("""COMPUTED_VALUE"""),"Centralized Logging &amp; Observability (ELK Stack, OpenTelemetry, Datadog)")</f>
        <v>Centralized Logging &amp; Observability (ELK Stack, OpenTelemetry, Datadog)</v>
      </c>
      <c r="F1433" s="7" t="str">
        <f>IFERROR(__xludf.DUMMYFUNCTION("""COMPUTED_VALUE"""),"S193 unlocks S185")</f>
        <v>S193 unlocks S185</v>
      </c>
    </row>
    <row r="1434">
      <c r="A1434" s="7" t="str">
        <f>IFERROR(__xludf.DUMMYFUNCTION("""COMPUTED_VALUE"""),"PE1433")</f>
        <v>PE1433</v>
      </c>
      <c r="B1434" s="7" t="str">
        <f>IFERROR(__xludf.DUMMYFUNCTION("""COMPUTED_VALUE"""),"S193")</f>
        <v>S193</v>
      </c>
      <c r="C1434" s="7" t="str">
        <f>IFERROR(__xludf.DUMMYFUNCTION("""COMPUTED_VALUE"""),"Virtualization &amp; Hypervisors (VMware vSphere, Proxmox, KVM)")</f>
        <v>Virtualization &amp; Hypervisors (VMware vSphere, Proxmox, KVM)</v>
      </c>
      <c r="D1434" s="7" t="str">
        <f>IFERROR(__xludf.DUMMYFUNCTION("""COMPUTED_VALUE"""),"S186")</f>
        <v>S186</v>
      </c>
      <c r="E1434" s="7" t="str">
        <f>IFERROR(__xludf.DUMMYFUNCTION("""COMPUTED_VALUE"""),"Site Reliability Engineering (SLIs, SLOs, SLAs &amp; Error Budgets)")</f>
        <v>Site Reliability Engineering (SLIs, SLOs, SLAs &amp; Error Budgets)</v>
      </c>
      <c r="F1434" s="7" t="str">
        <f>IFERROR(__xludf.DUMMYFUNCTION("""COMPUTED_VALUE"""),"S193 unlocks S186")</f>
        <v>S193 unlocks S186</v>
      </c>
    </row>
    <row r="1435">
      <c r="A1435" s="7" t="str">
        <f>IFERROR(__xludf.DUMMYFUNCTION("""COMPUTED_VALUE"""),"PE1434")</f>
        <v>PE1434</v>
      </c>
      <c r="B1435" s="7" t="str">
        <f>IFERROR(__xludf.DUMMYFUNCTION("""COMPUTED_VALUE"""),"S193")</f>
        <v>S193</v>
      </c>
      <c r="C1435" s="7" t="str">
        <f>IFERROR(__xludf.DUMMYFUNCTION("""COMPUTED_VALUE"""),"Virtualization &amp; Hypervisors (VMware vSphere, Proxmox, KVM)")</f>
        <v>Virtualization &amp; Hypervisors (VMware vSphere, Proxmox, KVM)</v>
      </c>
      <c r="D1435" s="7" t="str">
        <f>IFERROR(__xludf.DUMMYFUNCTION("""COMPUTED_VALUE"""),"S187")</f>
        <v>S187</v>
      </c>
      <c r="E1435" s="7" t="str">
        <f>IFERROR(__xludf.DUMMYFUNCTION("""COMPUTED_VALUE"""),"Chaos Engineering &amp; Fault Injection")</f>
        <v>Chaos Engineering &amp; Fault Injection</v>
      </c>
      <c r="F1435" s="7" t="str">
        <f>IFERROR(__xludf.DUMMYFUNCTION("""COMPUTED_VALUE"""),"S193 unlocks S187")</f>
        <v>S193 unlocks S187</v>
      </c>
    </row>
    <row r="1436">
      <c r="A1436" s="7" t="str">
        <f>IFERROR(__xludf.DUMMYFUNCTION("""COMPUTED_VALUE"""),"PE1435")</f>
        <v>PE1435</v>
      </c>
      <c r="B1436" s="7" t="str">
        <f>IFERROR(__xludf.DUMMYFUNCTION("""COMPUTED_VALUE"""),"S193")</f>
        <v>S193</v>
      </c>
      <c r="C1436" s="7" t="str">
        <f>IFERROR(__xludf.DUMMYFUNCTION("""COMPUTED_VALUE"""),"Virtualization &amp; Hypervisors (VMware vSphere, Proxmox, KVM)")</f>
        <v>Virtualization &amp; Hypervisors (VMware vSphere, Proxmox, KVM)</v>
      </c>
      <c r="D1436" s="7" t="str">
        <f>IFERROR(__xludf.DUMMYFUNCTION("""COMPUTED_VALUE"""),"S188")</f>
        <v>S188</v>
      </c>
      <c r="E1436" s="7" t="str">
        <f>IFERROR(__xludf.DUMMYFUNCTION("""COMPUTED_VALUE"""),"High Availability, Failover &amp; Disaster Recovery")</f>
        <v>High Availability, Failover &amp; Disaster Recovery</v>
      </c>
      <c r="F1436" s="7" t="str">
        <f>IFERROR(__xludf.DUMMYFUNCTION("""COMPUTED_VALUE"""),"S193 unlocks S188")</f>
        <v>S193 unlocks S188</v>
      </c>
    </row>
    <row r="1437">
      <c r="A1437" s="7" t="str">
        <f>IFERROR(__xludf.DUMMYFUNCTION("""COMPUTED_VALUE"""),"PE1436")</f>
        <v>PE1436</v>
      </c>
      <c r="B1437" s="7" t="str">
        <f>IFERROR(__xludf.DUMMYFUNCTION("""COMPUTED_VALUE"""),"S193")</f>
        <v>S193</v>
      </c>
      <c r="C1437" s="7" t="str">
        <f>IFERROR(__xludf.DUMMYFUNCTION("""COMPUTED_VALUE"""),"Virtualization &amp; Hypervisors (VMware vSphere, Proxmox, KVM)")</f>
        <v>Virtualization &amp; Hypervisors (VMware vSphere, Proxmox, KVM)</v>
      </c>
      <c r="D1437" s="7" t="str">
        <f>IFERROR(__xludf.DUMMYFUNCTION("""COMPUTED_VALUE"""),"S190")</f>
        <v>S190</v>
      </c>
      <c r="E1437" s="7" t="str">
        <f>IFERROR(__xludf.DUMMYFUNCTION("""COMPUTED_VALUE"""),"Internal Developer Platforms (IDP &amp; Backstage)")</f>
        <v>Internal Developer Platforms (IDP &amp; Backstage)</v>
      </c>
      <c r="F1437" s="7" t="str">
        <f>IFERROR(__xludf.DUMMYFUNCTION("""COMPUTED_VALUE"""),"S193 unlocks S190")</f>
        <v>S193 unlocks S190</v>
      </c>
    </row>
    <row r="1438">
      <c r="A1438" s="7" t="str">
        <f>IFERROR(__xludf.DUMMYFUNCTION("""COMPUTED_VALUE"""),"PE1437")</f>
        <v>PE1437</v>
      </c>
      <c r="B1438" s="7" t="str">
        <f>IFERROR(__xludf.DUMMYFUNCTION("""COMPUTED_VALUE"""),"S193")</f>
        <v>S193</v>
      </c>
      <c r="C1438" s="7" t="str">
        <f>IFERROR(__xludf.DUMMYFUNCTION("""COMPUTED_VALUE"""),"Virtualization &amp; Hypervisors (VMware vSphere, Proxmox, KVM)")</f>
        <v>Virtualization &amp; Hypervisors (VMware vSphere, Proxmox, KVM)</v>
      </c>
      <c r="D1438" s="7" t="str">
        <f>IFERROR(__xludf.DUMMYFUNCTION("""COMPUTED_VALUE"""),"S195")</f>
        <v>S195</v>
      </c>
      <c r="E1438" s="7" t="str">
        <f>IFERROR(__xludf.DUMMYFUNCTION("""COMPUTED_VALUE"""),"Enterprise Routing &amp; Switching (BGP, OSPF, Cisco IOS)")</f>
        <v>Enterprise Routing &amp; Switching (BGP, OSPF, Cisco IOS)</v>
      </c>
      <c r="F1438" s="7" t="str">
        <f>IFERROR(__xludf.DUMMYFUNCTION("""COMPUTED_VALUE"""),"S193 unlocks S195")</f>
        <v>S193 unlocks S195</v>
      </c>
    </row>
    <row r="1439">
      <c r="A1439" s="7" t="str">
        <f>IFERROR(__xludf.DUMMYFUNCTION("""COMPUTED_VALUE"""),"PE1438")</f>
        <v>PE1438</v>
      </c>
      <c r="B1439" s="7" t="str">
        <f>IFERROR(__xludf.DUMMYFUNCTION("""COMPUTED_VALUE"""),"S198")</f>
        <v>S198</v>
      </c>
      <c r="C1439" s="7" t="str">
        <f>IFERROR(__xludf.DUMMYFUNCTION("""COMPUTED_VALUE"""),"Intrusion Detection &amp; Prevention Systems (IDS/IPS, Snort, Suricata)")</f>
        <v>Intrusion Detection &amp; Prevention Systems (IDS/IPS, Snort, Suricata)</v>
      </c>
      <c r="D1439" s="7" t="str">
        <f>IFERROR(__xludf.DUMMYFUNCTION("""COMPUTED_VALUE"""),"S202")</f>
        <v>S202</v>
      </c>
      <c r="E1439" s="7" t="str">
        <f>IFERROR(__xludf.DUMMYFUNCTION("""COMPUTED_VALUE"""),"Network &amp; System Exploitation (Metasploit, Kali Linux)")</f>
        <v>Network &amp; System Exploitation (Metasploit, Kali Linux)</v>
      </c>
      <c r="F1439" s="7" t="str">
        <f>IFERROR(__xludf.DUMMYFUNCTION("""COMPUTED_VALUE"""),"S198 unlocks S202")</f>
        <v>S198 unlocks S202</v>
      </c>
    </row>
    <row r="1440">
      <c r="A1440" s="7" t="str">
        <f>IFERROR(__xludf.DUMMYFUNCTION("""COMPUTED_VALUE"""),"PE1439")</f>
        <v>PE1439</v>
      </c>
      <c r="B1440" s="7" t="str">
        <f>IFERROR(__xludf.DUMMYFUNCTION("""COMPUTED_VALUE"""),"S198")</f>
        <v>S198</v>
      </c>
      <c r="C1440" s="7" t="str">
        <f>IFERROR(__xludf.DUMMYFUNCTION("""COMPUTED_VALUE"""),"Intrusion Detection &amp; Prevention Systems (IDS/IPS, Snort, Suricata)")</f>
        <v>Intrusion Detection &amp; Prevention Systems (IDS/IPS, Snort, Suricata)</v>
      </c>
      <c r="D1440" s="7" t="str">
        <f>IFERROR(__xludf.DUMMYFUNCTION("""COMPUTED_VALUE"""),"S207")</f>
        <v>S207</v>
      </c>
      <c r="E1440" s="7" t="str">
        <f>IFERROR(__xludf.DUMMYFUNCTION("""COMPUTED_VALUE"""),"Incident Response &amp; Digital Forensics (DFIR)")</f>
        <v>Incident Response &amp; Digital Forensics (DFIR)</v>
      </c>
      <c r="F1440" s="7" t="str">
        <f>IFERROR(__xludf.DUMMYFUNCTION("""COMPUTED_VALUE"""),"S198 unlocks S207")</f>
        <v>S198 unlocks S207</v>
      </c>
    </row>
    <row r="1441">
      <c r="A1441" s="7" t="str">
        <f>IFERROR(__xludf.DUMMYFUNCTION("""COMPUTED_VALUE"""),"PE1440")</f>
        <v>PE1440</v>
      </c>
      <c r="B1441" s="7" t="str">
        <f>IFERROR(__xludf.DUMMYFUNCTION("""COMPUTED_VALUE"""),"S198")</f>
        <v>S198</v>
      </c>
      <c r="C1441" s="7" t="str">
        <f>IFERROR(__xludf.DUMMYFUNCTION("""COMPUTED_VALUE"""),"Intrusion Detection &amp; Prevention Systems (IDS/IPS, Snort, Suricata)")</f>
        <v>Intrusion Detection &amp; Prevention Systems (IDS/IPS, Snort, Suricata)</v>
      </c>
      <c r="D1441" s="7" t="str">
        <f>IFERROR(__xludf.DUMMYFUNCTION("""COMPUTED_VALUE"""),"S208")</f>
        <v>S208</v>
      </c>
      <c r="E1441" s="7" t="str">
        <f>IFERROR(__xludf.DUMMYFUNCTION("""COMPUTED_VALUE"""),"Malware Analysis &amp; Reverse Engineering (Ghidra, IDA Pro)")</f>
        <v>Malware Analysis &amp; Reverse Engineering (Ghidra, IDA Pro)</v>
      </c>
      <c r="F1441" s="7" t="str">
        <f>IFERROR(__xludf.DUMMYFUNCTION("""COMPUTED_VALUE"""),"S198 unlocks S208")</f>
        <v>S198 unlocks S208</v>
      </c>
    </row>
    <row r="1442">
      <c r="A1442" s="7" t="str">
        <f>IFERROR(__xludf.DUMMYFUNCTION("""COMPUTED_VALUE"""),"PE1441")</f>
        <v>PE1441</v>
      </c>
      <c r="B1442" s="7" t="str">
        <f>IFERROR(__xludf.DUMMYFUNCTION("""COMPUTED_VALUE"""),"S198")</f>
        <v>S198</v>
      </c>
      <c r="C1442" s="7" t="str">
        <f>IFERROR(__xludf.DUMMYFUNCTION("""COMPUTED_VALUE"""),"Intrusion Detection &amp; Prevention Systems (IDS/IPS, Snort, Suricata)")</f>
        <v>Intrusion Detection &amp; Prevention Systems (IDS/IPS, Snort, Suricata)</v>
      </c>
      <c r="D1442" s="7" t="str">
        <f>IFERROR(__xludf.DUMMYFUNCTION("""COMPUTED_VALUE"""),"S211")</f>
        <v>S211</v>
      </c>
      <c r="E1442" s="7" t="str">
        <f>IFERROR(__xludf.DUMMYFUNCTION("""COMPUTED_VALUE"""),"Zero Trust Network Architecture")</f>
        <v>Zero Trust Network Architecture</v>
      </c>
      <c r="F1442" s="7" t="str">
        <f>IFERROR(__xludf.DUMMYFUNCTION("""COMPUTED_VALUE"""),"S198 unlocks S211")</f>
        <v>S198 unlocks S211</v>
      </c>
    </row>
    <row r="1443">
      <c r="A1443" s="7" t="str">
        <f>IFERROR(__xludf.DUMMYFUNCTION("""COMPUTED_VALUE"""),"PE1442")</f>
        <v>PE1442</v>
      </c>
      <c r="B1443" s="7" t="str">
        <f>IFERROR(__xludf.DUMMYFUNCTION("""COMPUTED_VALUE"""),"S198")</f>
        <v>S198</v>
      </c>
      <c r="C1443" s="7" t="str">
        <f>IFERROR(__xludf.DUMMYFUNCTION("""COMPUTED_VALUE"""),"Intrusion Detection &amp; Prevention Systems (IDS/IPS, Snort, Suricata)")</f>
        <v>Intrusion Detection &amp; Prevention Systems (IDS/IPS, Snort, Suricata)</v>
      </c>
      <c r="D1443" s="7" t="str">
        <f>IFERROR(__xludf.DUMMYFUNCTION("""COMPUTED_VALUE"""),"S212")</f>
        <v>S212</v>
      </c>
      <c r="E1443" s="7" t="str">
        <f>IFERROR(__xludf.DUMMYFUNCTION("""COMPUTED_VALUE"""),"Cloud Security Posture Management (AWS/Azure Security, CSPM)")</f>
        <v>Cloud Security Posture Management (AWS/Azure Security, CSPM)</v>
      </c>
      <c r="F1443" s="7" t="str">
        <f>IFERROR(__xludf.DUMMYFUNCTION("""COMPUTED_VALUE"""),"S198 unlocks S212")</f>
        <v>S198 unlocks S212</v>
      </c>
    </row>
    <row r="1444">
      <c r="A1444" s="7" t="str">
        <f>IFERROR(__xludf.DUMMYFUNCTION("""COMPUTED_VALUE"""),"PE1443")</f>
        <v>PE1443</v>
      </c>
      <c r="B1444" s="7" t="str">
        <f>IFERROR(__xludf.DUMMYFUNCTION("""COMPUTED_VALUE"""),"S198")</f>
        <v>S198</v>
      </c>
      <c r="C1444" s="7" t="str">
        <f>IFERROR(__xludf.DUMMYFUNCTION("""COMPUTED_VALUE"""),"Intrusion Detection &amp; Prevention Systems (IDS/IPS, Snort, Suricata)")</f>
        <v>Intrusion Detection &amp; Prevention Systems (IDS/IPS, Snort, Suricata)</v>
      </c>
      <c r="D1444" s="7" t="str">
        <f>IFERROR(__xludf.DUMMYFUNCTION("""COMPUTED_VALUE"""),"S213")</f>
        <v>S213</v>
      </c>
      <c r="E1444" s="7" t="str">
        <f>IFERROR(__xludf.DUMMYFUNCTION("""COMPUTED_VALUE"""),"Container &amp; Kubernetes Security (Trivy, Falco, RBAC)")</f>
        <v>Container &amp; Kubernetes Security (Trivy, Falco, RBAC)</v>
      </c>
      <c r="F1444" s="7" t="str">
        <f>IFERROR(__xludf.DUMMYFUNCTION("""COMPUTED_VALUE"""),"S198 unlocks S213")</f>
        <v>S198 unlocks S213</v>
      </c>
    </row>
    <row r="1445">
      <c r="A1445" s="7" t="str">
        <f>IFERROR(__xludf.DUMMYFUNCTION("""COMPUTED_VALUE"""),"PE1444")</f>
        <v>PE1444</v>
      </c>
      <c r="B1445" s="7" t="str">
        <f>IFERROR(__xludf.DUMMYFUNCTION("""COMPUTED_VALUE"""),"S198")</f>
        <v>S198</v>
      </c>
      <c r="C1445" s="7" t="str">
        <f>IFERROR(__xludf.DUMMYFUNCTION("""COMPUTED_VALUE"""),"Intrusion Detection &amp; Prevention Systems (IDS/IPS, Snort, Suricata)")</f>
        <v>Intrusion Detection &amp; Prevention Systems (IDS/IPS, Snort, Suricata)</v>
      </c>
      <c r="D1445" s="7" t="str">
        <f>IFERROR(__xludf.DUMMYFUNCTION("""COMPUTED_VALUE"""),"S216")</f>
        <v>S216</v>
      </c>
      <c r="E1445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45" s="7" t="str">
        <f>IFERROR(__xludf.DUMMYFUNCTION("""COMPUTED_VALUE"""),"S198 unlocks S216")</f>
        <v>S198 unlocks S216</v>
      </c>
    </row>
    <row r="1446">
      <c r="A1446" s="7" t="str">
        <f>IFERROR(__xludf.DUMMYFUNCTION("""COMPUTED_VALUE"""),"PE1445")</f>
        <v>PE1445</v>
      </c>
      <c r="B1446" s="7" t="str">
        <f>IFERROR(__xludf.DUMMYFUNCTION("""COMPUTED_VALUE"""),"S198")</f>
        <v>S198</v>
      </c>
      <c r="C1446" s="7" t="str">
        <f>IFERROR(__xludf.DUMMYFUNCTION("""COMPUTED_VALUE"""),"Intrusion Detection &amp; Prevention Systems (IDS/IPS, Snort, Suricata)")</f>
        <v>Intrusion Detection &amp; Prevention Systems (IDS/IPS, Snort, Suricata)</v>
      </c>
      <c r="D1446" s="7" t="str">
        <f>IFERROR(__xludf.DUMMYFUNCTION("""COMPUTED_VALUE"""),"S220")</f>
        <v>S220</v>
      </c>
      <c r="E1446" s="7" t="str">
        <f>IFERROR(__xludf.DUMMYFUNCTION("""COMPUTED_VALUE"""),"Wireless, IoT &amp; Hardware Security Testing")</f>
        <v>Wireless, IoT &amp; Hardware Security Testing</v>
      </c>
      <c r="F1446" s="7" t="str">
        <f>IFERROR(__xludf.DUMMYFUNCTION("""COMPUTED_VALUE"""),"S198 unlocks S220")</f>
        <v>S198 unlocks S220</v>
      </c>
    </row>
    <row r="1447">
      <c r="A1447" s="7" t="str">
        <f>IFERROR(__xludf.DUMMYFUNCTION("""COMPUTED_VALUE"""),"PE1446")</f>
        <v>PE1446</v>
      </c>
      <c r="B1447" s="7" t="str">
        <f>IFERROR(__xludf.DUMMYFUNCTION("""COMPUTED_VALUE"""),"S201")</f>
        <v>S201</v>
      </c>
      <c r="C1447" s="7" t="str">
        <f>IFERROR(__xludf.DUMMYFUNCTION("""COMPUTED_VALUE"""),"Web Application Penetration Testing (Burp Suite, OWASP ZAP)")</f>
        <v>Web Application Penetration Testing (Burp Suite, OWASP ZAP)</v>
      </c>
      <c r="D1447" s="7" t="str">
        <f>IFERROR(__xludf.DUMMYFUNCTION("""COMPUTED_VALUE"""),"S202")</f>
        <v>S202</v>
      </c>
      <c r="E1447" s="7" t="str">
        <f>IFERROR(__xludf.DUMMYFUNCTION("""COMPUTED_VALUE"""),"Network &amp; System Exploitation (Metasploit, Kali Linux)")</f>
        <v>Network &amp; System Exploitation (Metasploit, Kali Linux)</v>
      </c>
      <c r="F1447" s="7" t="str">
        <f>IFERROR(__xludf.DUMMYFUNCTION("""COMPUTED_VALUE"""),"S201 unlocks S202")</f>
        <v>S201 unlocks S202</v>
      </c>
    </row>
    <row r="1448">
      <c r="A1448" s="7" t="str">
        <f>IFERROR(__xludf.DUMMYFUNCTION("""COMPUTED_VALUE"""),"PE1447")</f>
        <v>PE1447</v>
      </c>
      <c r="B1448" s="7" t="str">
        <f>IFERROR(__xludf.DUMMYFUNCTION("""COMPUTED_VALUE"""),"S201")</f>
        <v>S201</v>
      </c>
      <c r="C1448" s="7" t="str">
        <f>IFERROR(__xludf.DUMMYFUNCTION("""COMPUTED_VALUE"""),"Web Application Penetration Testing (Burp Suite, OWASP ZAP)")</f>
        <v>Web Application Penetration Testing (Burp Suite, OWASP ZAP)</v>
      </c>
      <c r="D1448" s="7" t="str">
        <f>IFERROR(__xludf.DUMMYFUNCTION("""COMPUTED_VALUE"""),"S207")</f>
        <v>S207</v>
      </c>
      <c r="E1448" s="7" t="str">
        <f>IFERROR(__xludf.DUMMYFUNCTION("""COMPUTED_VALUE"""),"Incident Response &amp; Digital Forensics (DFIR)")</f>
        <v>Incident Response &amp; Digital Forensics (DFIR)</v>
      </c>
      <c r="F1448" s="7" t="str">
        <f>IFERROR(__xludf.DUMMYFUNCTION("""COMPUTED_VALUE"""),"S201 unlocks S207")</f>
        <v>S201 unlocks S207</v>
      </c>
    </row>
    <row r="1449">
      <c r="A1449" s="7" t="str">
        <f>IFERROR(__xludf.DUMMYFUNCTION("""COMPUTED_VALUE"""),"PE1448")</f>
        <v>PE1448</v>
      </c>
      <c r="B1449" s="7" t="str">
        <f>IFERROR(__xludf.DUMMYFUNCTION("""COMPUTED_VALUE"""),"S201")</f>
        <v>S201</v>
      </c>
      <c r="C1449" s="7" t="str">
        <f>IFERROR(__xludf.DUMMYFUNCTION("""COMPUTED_VALUE"""),"Web Application Penetration Testing (Burp Suite, OWASP ZAP)")</f>
        <v>Web Application Penetration Testing (Burp Suite, OWASP ZAP)</v>
      </c>
      <c r="D1449" s="7" t="str">
        <f>IFERROR(__xludf.DUMMYFUNCTION("""COMPUTED_VALUE"""),"S208")</f>
        <v>S208</v>
      </c>
      <c r="E1449" s="7" t="str">
        <f>IFERROR(__xludf.DUMMYFUNCTION("""COMPUTED_VALUE"""),"Malware Analysis &amp; Reverse Engineering (Ghidra, IDA Pro)")</f>
        <v>Malware Analysis &amp; Reverse Engineering (Ghidra, IDA Pro)</v>
      </c>
      <c r="F1449" s="7" t="str">
        <f>IFERROR(__xludf.DUMMYFUNCTION("""COMPUTED_VALUE"""),"S201 unlocks S208")</f>
        <v>S201 unlocks S208</v>
      </c>
    </row>
    <row r="1450">
      <c r="A1450" s="7" t="str">
        <f>IFERROR(__xludf.DUMMYFUNCTION("""COMPUTED_VALUE"""),"PE1449")</f>
        <v>PE1449</v>
      </c>
      <c r="B1450" s="7" t="str">
        <f>IFERROR(__xludf.DUMMYFUNCTION("""COMPUTED_VALUE"""),"S201")</f>
        <v>S201</v>
      </c>
      <c r="C1450" s="7" t="str">
        <f>IFERROR(__xludf.DUMMYFUNCTION("""COMPUTED_VALUE"""),"Web Application Penetration Testing (Burp Suite, OWASP ZAP)")</f>
        <v>Web Application Penetration Testing (Burp Suite, OWASP ZAP)</v>
      </c>
      <c r="D1450" s="7" t="str">
        <f>IFERROR(__xludf.DUMMYFUNCTION("""COMPUTED_VALUE"""),"S211")</f>
        <v>S211</v>
      </c>
      <c r="E1450" s="7" t="str">
        <f>IFERROR(__xludf.DUMMYFUNCTION("""COMPUTED_VALUE"""),"Zero Trust Network Architecture")</f>
        <v>Zero Trust Network Architecture</v>
      </c>
      <c r="F1450" s="7" t="str">
        <f>IFERROR(__xludf.DUMMYFUNCTION("""COMPUTED_VALUE"""),"S201 unlocks S211")</f>
        <v>S201 unlocks S211</v>
      </c>
    </row>
    <row r="1451">
      <c r="A1451" s="7" t="str">
        <f>IFERROR(__xludf.DUMMYFUNCTION("""COMPUTED_VALUE"""),"PE1450")</f>
        <v>PE1450</v>
      </c>
      <c r="B1451" s="7" t="str">
        <f>IFERROR(__xludf.DUMMYFUNCTION("""COMPUTED_VALUE"""),"S201")</f>
        <v>S201</v>
      </c>
      <c r="C1451" s="7" t="str">
        <f>IFERROR(__xludf.DUMMYFUNCTION("""COMPUTED_VALUE"""),"Web Application Penetration Testing (Burp Suite, OWASP ZAP)")</f>
        <v>Web Application Penetration Testing (Burp Suite, OWASP ZAP)</v>
      </c>
      <c r="D1451" s="7" t="str">
        <f>IFERROR(__xludf.DUMMYFUNCTION("""COMPUTED_VALUE"""),"S212")</f>
        <v>S212</v>
      </c>
      <c r="E1451" s="7" t="str">
        <f>IFERROR(__xludf.DUMMYFUNCTION("""COMPUTED_VALUE"""),"Cloud Security Posture Management (AWS/Azure Security, CSPM)")</f>
        <v>Cloud Security Posture Management (AWS/Azure Security, CSPM)</v>
      </c>
      <c r="F1451" s="7" t="str">
        <f>IFERROR(__xludf.DUMMYFUNCTION("""COMPUTED_VALUE"""),"S201 unlocks S212")</f>
        <v>S201 unlocks S212</v>
      </c>
    </row>
    <row r="1452">
      <c r="A1452" s="7" t="str">
        <f>IFERROR(__xludf.DUMMYFUNCTION("""COMPUTED_VALUE"""),"PE1451")</f>
        <v>PE1451</v>
      </c>
      <c r="B1452" s="7" t="str">
        <f>IFERROR(__xludf.DUMMYFUNCTION("""COMPUTED_VALUE"""),"S201")</f>
        <v>S201</v>
      </c>
      <c r="C1452" s="7" t="str">
        <f>IFERROR(__xludf.DUMMYFUNCTION("""COMPUTED_VALUE"""),"Web Application Penetration Testing (Burp Suite, OWASP ZAP)")</f>
        <v>Web Application Penetration Testing (Burp Suite, OWASP ZAP)</v>
      </c>
      <c r="D1452" s="7" t="str">
        <f>IFERROR(__xludf.DUMMYFUNCTION("""COMPUTED_VALUE"""),"S213")</f>
        <v>S213</v>
      </c>
      <c r="E1452" s="7" t="str">
        <f>IFERROR(__xludf.DUMMYFUNCTION("""COMPUTED_VALUE"""),"Container &amp; Kubernetes Security (Trivy, Falco, RBAC)")</f>
        <v>Container &amp; Kubernetes Security (Trivy, Falco, RBAC)</v>
      </c>
      <c r="F1452" s="7" t="str">
        <f>IFERROR(__xludf.DUMMYFUNCTION("""COMPUTED_VALUE"""),"S201 unlocks S213")</f>
        <v>S201 unlocks S213</v>
      </c>
    </row>
    <row r="1453">
      <c r="A1453" s="7" t="str">
        <f>IFERROR(__xludf.DUMMYFUNCTION("""COMPUTED_VALUE"""),"PE1452")</f>
        <v>PE1452</v>
      </c>
      <c r="B1453" s="7" t="str">
        <f>IFERROR(__xludf.DUMMYFUNCTION("""COMPUTED_VALUE"""),"S201")</f>
        <v>S201</v>
      </c>
      <c r="C1453" s="7" t="str">
        <f>IFERROR(__xludf.DUMMYFUNCTION("""COMPUTED_VALUE"""),"Web Application Penetration Testing (Burp Suite, OWASP ZAP)")</f>
        <v>Web Application Penetration Testing (Burp Suite, OWASP ZAP)</v>
      </c>
      <c r="D1453" s="7" t="str">
        <f>IFERROR(__xludf.DUMMYFUNCTION("""COMPUTED_VALUE"""),"S216")</f>
        <v>S216</v>
      </c>
      <c r="E1453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53" s="7" t="str">
        <f>IFERROR(__xludf.DUMMYFUNCTION("""COMPUTED_VALUE"""),"S201 unlocks S216")</f>
        <v>S201 unlocks S216</v>
      </c>
    </row>
    <row r="1454">
      <c r="A1454" s="7" t="str">
        <f>IFERROR(__xludf.DUMMYFUNCTION("""COMPUTED_VALUE"""),"PE1453")</f>
        <v>PE1453</v>
      </c>
      <c r="B1454" s="7" t="str">
        <f>IFERROR(__xludf.DUMMYFUNCTION("""COMPUTED_VALUE"""),"S201")</f>
        <v>S201</v>
      </c>
      <c r="C1454" s="7" t="str">
        <f>IFERROR(__xludf.DUMMYFUNCTION("""COMPUTED_VALUE"""),"Web Application Penetration Testing (Burp Suite, OWASP ZAP)")</f>
        <v>Web Application Penetration Testing (Burp Suite, OWASP ZAP)</v>
      </c>
      <c r="D1454" s="7" t="str">
        <f>IFERROR(__xludf.DUMMYFUNCTION("""COMPUTED_VALUE"""),"S220")</f>
        <v>S220</v>
      </c>
      <c r="E1454" s="7" t="str">
        <f>IFERROR(__xludf.DUMMYFUNCTION("""COMPUTED_VALUE"""),"Wireless, IoT &amp; Hardware Security Testing")</f>
        <v>Wireless, IoT &amp; Hardware Security Testing</v>
      </c>
      <c r="F1454" s="7" t="str">
        <f>IFERROR(__xludf.DUMMYFUNCTION("""COMPUTED_VALUE"""),"S201 unlocks S220")</f>
        <v>S201 unlocks S220</v>
      </c>
    </row>
    <row r="1455">
      <c r="A1455" s="7" t="str">
        <f>IFERROR(__xludf.DUMMYFUNCTION("""COMPUTED_VALUE"""),"PE1454")</f>
        <v>PE1454</v>
      </c>
      <c r="B1455" s="7" t="str">
        <f>IFERROR(__xludf.DUMMYFUNCTION("""COMPUTED_VALUE"""),"S203")</f>
        <v>S203</v>
      </c>
      <c r="C1455" s="7" t="str">
        <f>IFERROR(__xludf.DUMMYFUNCTION("""COMPUTED_VALUE"""),"Vulnerability Assessment &amp; Management (Nessus, OpenVAS, Qualys)")</f>
        <v>Vulnerability Assessment &amp; Management (Nessus, OpenVAS, Qualys)</v>
      </c>
      <c r="D1455" s="7" t="str">
        <f>IFERROR(__xludf.DUMMYFUNCTION("""COMPUTED_VALUE"""),"S202")</f>
        <v>S202</v>
      </c>
      <c r="E1455" s="7" t="str">
        <f>IFERROR(__xludf.DUMMYFUNCTION("""COMPUTED_VALUE"""),"Network &amp; System Exploitation (Metasploit, Kali Linux)")</f>
        <v>Network &amp; System Exploitation (Metasploit, Kali Linux)</v>
      </c>
      <c r="F1455" s="7" t="str">
        <f>IFERROR(__xludf.DUMMYFUNCTION("""COMPUTED_VALUE"""),"S203 unlocks S202")</f>
        <v>S203 unlocks S202</v>
      </c>
    </row>
    <row r="1456">
      <c r="A1456" s="7" t="str">
        <f>IFERROR(__xludf.DUMMYFUNCTION("""COMPUTED_VALUE"""),"PE1455")</f>
        <v>PE1455</v>
      </c>
      <c r="B1456" s="7" t="str">
        <f>IFERROR(__xludf.DUMMYFUNCTION("""COMPUTED_VALUE"""),"S203")</f>
        <v>S203</v>
      </c>
      <c r="C1456" s="7" t="str">
        <f>IFERROR(__xludf.DUMMYFUNCTION("""COMPUTED_VALUE"""),"Vulnerability Assessment &amp; Management (Nessus, OpenVAS, Qualys)")</f>
        <v>Vulnerability Assessment &amp; Management (Nessus, OpenVAS, Qualys)</v>
      </c>
      <c r="D1456" s="7" t="str">
        <f>IFERROR(__xludf.DUMMYFUNCTION("""COMPUTED_VALUE"""),"S207")</f>
        <v>S207</v>
      </c>
      <c r="E1456" s="7" t="str">
        <f>IFERROR(__xludf.DUMMYFUNCTION("""COMPUTED_VALUE"""),"Incident Response &amp; Digital Forensics (DFIR)")</f>
        <v>Incident Response &amp; Digital Forensics (DFIR)</v>
      </c>
      <c r="F1456" s="7" t="str">
        <f>IFERROR(__xludf.DUMMYFUNCTION("""COMPUTED_VALUE"""),"S203 unlocks S207")</f>
        <v>S203 unlocks S207</v>
      </c>
    </row>
    <row r="1457">
      <c r="A1457" s="7" t="str">
        <f>IFERROR(__xludf.DUMMYFUNCTION("""COMPUTED_VALUE"""),"PE1456")</f>
        <v>PE1456</v>
      </c>
      <c r="B1457" s="7" t="str">
        <f>IFERROR(__xludf.DUMMYFUNCTION("""COMPUTED_VALUE"""),"S203")</f>
        <v>S203</v>
      </c>
      <c r="C1457" s="7" t="str">
        <f>IFERROR(__xludf.DUMMYFUNCTION("""COMPUTED_VALUE"""),"Vulnerability Assessment &amp; Management (Nessus, OpenVAS, Qualys)")</f>
        <v>Vulnerability Assessment &amp; Management (Nessus, OpenVAS, Qualys)</v>
      </c>
      <c r="D1457" s="7" t="str">
        <f>IFERROR(__xludf.DUMMYFUNCTION("""COMPUTED_VALUE"""),"S208")</f>
        <v>S208</v>
      </c>
      <c r="E1457" s="7" t="str">
        <f>IFERROR(__xludf.DUMMYFUNCTION("""COMPUTED_VALUE"""),"Malware Analysis &amp; Reverse Engineering (Ghidra, IDA Pro)")</f>
        <v>Malware Analysis &amp; Reverse Engineering (Ghidra, IDA Pro)</v>
      </c>
      <c r="F1457" s="7" t="str">
        <f>IFERROR(__xludf.DUMMYFUNCTION("""COMPUTED_VALUE"""),"S203 unlocks S208")</f>
        <v>S203 unlocks S208</v>
      </c>
    </row>
    <row r="1458">
      <c r="A1458" s="7" t="str">
        <f>IFERROR(__xludf.DUMMYFUNCTION("""COMPUTED_VALUE"""),"PE1457")</f>
        <v>PE1457</v>
      </c>
      <c r="B1458" s="7" t="str">
        <f>IFERROR(__xludf.DUMMYFUNCTION("""COMPUTED_VALUE"""),"S203")</f>
        <v>S203</v>
      </c>
      <c r="C1458" s="7" t="str">
        <f>IFERROR(__xludf.DUMMYFUNCTION("""COMPUTED_VALUE"""),"Vulnerability Assessment &amp; Management (Nessus, OpenVAS, Qualys)")</f>
        <v>Vulnerability Assessment &amp; Management (Nessus, OpenVAS, Qualys)</v>
      </c>
      <c r="D1458" s="7" t="str">
        <f>IFERROR(__xludf.DUMMYFUNCTION("""COMPUTED_VALUE"""),"S211")</f>
        <v>S211</v>
      </c>
      <c r="E1458" s="7" t="str">
        <f>IFERROR(__xludf.DUMMYFUNCTION("""COMPUTED_VALUE"""),"Zero Trust Network Architecture")</f>
        <v>Zero Trust Network Architecture</v>
      </c>
      <c r="F1458" s="7" t="str">
        <f>IFERROR(__xludf.DUMMYFUNCTION("""COMPUTED_VALUE"""),"S203 unlocks S211")</f>
        <v>S203 unlocks S211</v>
      </c>
    </row>
    <row r="1459">
      <c r="A1459" s="7" t="str">
        <f>IFERROR(__xludf.DUMMYFUNCTION("""COMPUTED_VALUE"""),"PE1458")</f>
        <v>PE1458</v>
      </c>
      <c r="B1459" s="7" t="str">
        <f>IFERROR(__xludf.DUMMYFUNCTION("""COMPUTED_VALUE"""),"S203")</f>
        <v>S203</v>
      </c>
      <c r="C1459" s="7" t="str">
        <f>IFERROR(__xludf.DUMMYFUNCTION("""COMPUTED_VALUE"""),"Vulnerability Assessment &amp; Management (Nessus, OpenVAS, Qualys)")</f>
        <v>Vulnerability Assessment &amp; Management (Nessus, OpenVAS, Qualys)</v>
      </c>
      <c r="D1459" s="7" t="str">
        <f>IFERROR(__xludf.DUMMYFUNCTION("""COMPUTED_VALUE"""),"S212")</f>
        <v>S212</v>
      </c>
      <c r="E1459" s="7" t="str">
        <f>IFERROR(__xludf.DUMMYFUNCTION("""COMPUTED_VALUE"""),"Cloud Security Posture Management (AWS/Azure Security, CSPM)")</f>
        <v>Cloud Security Posture Management (AWS/Azure Security, CSPM)</v>
      </c>
      <c r="F1459" s="7" t="str">
        <f>IFERROR(__xludf.DUMMYFUNCTION("""COMPUTED_VALUE"""),"S203 unlocks S212")</f>
        <v>S203 unlocks S212</v>
      </c>
    </row>
    <row r="1460">
      <c r="A1460" s="7" t="str">
        <f>IFERROR(__xludf.DUMMYFUNCTION("""COMPUTED_VALUE"""),"PE1459")</f>
        <v>PE1459</v>
      </c>
      <c r="B1460" s="7" t="str">
        <f>IFERROR(__xludf.DUMMYFUNCTION("""COMPUTED_VALUE"""),"S203")</f>
        <v>S203</v>
      </c>
      <c r="C1460" s="7" t="str">
        <f>IFERROR(__xludf.DUMMYFUNCTION("""COMPUTED_VALUE"""),"Vulnerability Assessment &amp; Management (Nessus, OpenVAS, Qualys)")</f>
        <v>Vulnerability Assessment &amp; Management (Nessus, OpenVAS, Qualys)</v>
      </c>
      <c r="D1460" s="7" t="str">
        <f>IFERROR(__xludf.DUMMYFUNCTION("""COMPUTED_VALUE"""),"S213")</f>
        <v>S213</v>
      </c>
      <c r="E1460" s="7" t="str">
        <f>IFERROR(__xludf.DUMMYFUNCTION("""COMPUTED_VALUE"""),"Container &amp; Kubernetes Security (Trivy, Falco, RBAC)")</f>
        <v>Container &amp; Kubernetes Security (Trivy, Falco, RBAC)</v>
      </c>
      <c r="F1460" s="7" t="str">
        <f>IFERROR(__xludf.DUMMYFUNCTION("""COMPUTED_VALUE"""),"S203 unlocks S213")</f>
        <v>S203 unlocks S213</v>
      </c>
    </row>
    <row r="1461">
      <c r="A1461" s="7" t="str">
        <f>IFERROR(__xludf.DUMMYFUNCTION("""COMPUTED_VALUE"""),"PE1460")</f>
        <v>PE1460</v>
      </c>
      <c r="B1461" s="7" t="str">
        <f>IFERROR(__xludf.DUMMYFUNCTION("""COMPUTED_VALUE"""),"S203")</f>
        <v>S203</v>
      </c>
      <c r="C1461" s="7" t="str">
        <f>IFERROR(__xludf.DUMMYFUNCTION("""COMPUTED_VALUE"""),"Vulnerability Assessment &amp; Management (Nessus, OpenVAS, Qualys)")</f>
        <v>Vulnerability Assessment &amp; Management (Nessus, OpenVAS, Qualys)</v>
      </c>
      <c r="D1461" s="7" t="str">
        <f>IFERROR(__xludf.DUMMYFUNCTION("""COMPUTED_VALUE"""),"S216")</f>
        <v>S216</v>
      </c>
      <c r="E1461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61" s="7" t="str">
        <f>IFERROR(__xludf.DUMMYFUNCTION("""COMPUTED_VALUE"""),"S203 unlocks S216")</f>
        <v>S203 unlocks S216</v>
      </c>
    </row>
    <row r="1462">
      <c r="A1462" s="7" t="str">
        <f>IFERROR(__xludf.DUMMYFUNCTION("""COMPUTED_VALUE"""),"PE1461")</f>
        <v>PE1461</v>
      </c>
      <c r="B1462" s="7" t="str">
        <f>IFERROR(__xludf.DUMMYFUNCTION("""COMPUTED_VALUE"""),"S203")</f>
        <v>S203</v>
      </c>
      <c r="C1462" s="7" t="str">
        <f>IFERROR(__xludf.DUMMYFUNCTION("""COMPUTED_VALUE"""),"Vulnerability Assessment &amp; Management (Nessus, OpenVAS, Qualys)")</f>
        <v>Vulnerability Assessment &amp; Management (Nessus, OpenVAS, Qualys)</v>
      </c>
      <c r="D1462" s="7" t="str">
        <f>IFERROR(__xludf.DUMMYFUNCTION("""COMPUTED_VALUE"""),"S220")</f>
        <v>S220</v>
      </c>
      <c r="E1462" s="7" t="str">
        <f>IFERROR(__xludf.DUMMYFUNCTION("""COMPUTED_VALUE"""),"Wireless, IoT &amp; Hardware Security Testing")</f>
        <v>Wireless, IoT &amp; Hardware Security Testing</v>
      </c>
      <c r="F1462" s="7" t="str">
        <f>IFERROR(__xludf.DUMMYFUNCTION("""COMPUTED_VALUE"""),"S203 unlocks S220")</f>
        <v>S203 unlocks S220</v>
      </c>
    </row>
    <row r="1463">
      <c r="A1463" s="7" t="str">
        <f>IFERROR(__xludf.DUMMYFUNCTION("""COMPUTED_VALUE"""),"PE1462")</f>
        <v>PE1462</v>
      </c>
      <c r="B1463" s="7" t="str">
        <f>IFERROR(__xludf.DUMMYFUNCTION("""COMPUTED_VALUE"""),"S204")</f>
        <v>S204</v>
      </c>
      <c r="C1463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3" s="7" t="str">
        <f>IFERROR(__xludf.DUMMYFUNCTION("""COMPUTED_VALUE"""),"S202")</f>
        <v>S202</v>
      </c>
      <c r="E1463" s="7" t="str">
        <f>IFERROR(__xludf.DUMMYFUNCTION("""COMPUTED_VALUE"""),"Network &amp; System Exploitation (Metasploit, Kali Linux)")</f>
        <v>Network &amp; System Exploitation (Metasploit, Kali Linux)</v>
      </c>
      <c r="F1463" s="7" t="str">
        <f>IFERROR(__xludf.DUMMYFUNCTION("""COMPUTED_VALUE"""),"S204 unlocks S202")</f>
        <v>S204 unlocks S202</v>
      </c>
    </row>
    <row r="1464">
      <c r="A1464" s="7" t="str">
        <f>IFERROR(__xludf.DUMMYFUNCTION("""COMPUTED_VALUE"""),"PE1463")</f>
        <v>PE1463</v>
      </c>
      <c r="B1464" s="7" t="str">
        <f>IFERROR(__xludf.DUMMYFUNCTION("""COMPUTED_VALUE"""),"S204")</f>
        <v>S204</v>
      </c>
      <c r="C1464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4" s="7" t="str">
        <f>IFERROR(__xludf.DUMMYFUNCTION("""COMPUTED_VALUE"""),"S207")</f>
        <v>S207</v>
      </c>
      <c r="E1464" s="7" t="str">
        <f>IFERROR(__xludf.DUMMYFUNCTION("""COMPUTED_VALUE"""),"Incident Response &amp; Digital Forensics (DFIR)")</f>
        <v>Incident Response &amp; Digital Forensics (DFIR)</v>
      </c>
      <c r="F1464" s="7" t="str">
        <f>IFERROR(__xludf.DUMMYFUNCTION("""COMPUTED_VALUE"""),"S204 unlocks S207")</f>
        <v>S204 unlocks S207</v>
      </c>
    </row>
    <row r="1465">
      <c r="A1465" s="7" t="str">
        <f>IFERROR(__xludf.DUMMYFUNCTION("""COMPUTED_VALUE"""),"PE1464")</f>
        <v>PE1464</v>
      </c>
      <c r="B1465" s="7" t="str">
        <f>IFERROR(__xludf.DUMMYFUNCTION("""COMPUTED_VALUE"""),"S204")</f>
        <v>S204</v>
      </c>
      <c r="C1465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5" s="7" t="str">
        <f>IFERROR(__xludf.DUMMYFUNCTION("""COMPUTED_VALUE"""),"S208")</f>
        <v>S208</v>
      </c>
      <c r="E1465" s="7" t="str">
        <f>IFERROR(__xludf.DUMMYFUNCTION("""COMPUTED_VALUE"""),"Malware Analysis &amp; Reverse Engineering (Ghidra, IDA Pro)")</f>
        <v>Malware Analysis &amp; Reverse Engineering (Ghidra, IDA Pro)</v>
      </c>
      <c r="F1465" s="7" t="str">
        <f>IFERROR(__xludf.DUMMYFUNCTION("""COMPUTED_VALUE"""),"S204 unlocks S208")</f>
        <v>S204 unlocks S208</v>
      </c>
    </row>
    <row r="1466">
      <c r="A1466" s="7" t="str">
        <f>IFERROR(__xludf.DUMMYFUNCTION("""COMPUTED_VALUE"""),"PE1465")</f>
        <v>PE1465</v>
      </c>
      <c r="B1466" s="7" t="str">
        <f>IFERROR(__xludf.DUMMYFUNCTION("""COMPUTED_VALUE"""),"S204")</f>
        <v>S204</v>
      </c>
      <c r="C1466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6" s="7" t="str">
        <f>IFERROR(__xludf.DUMMYFUNCTION("""COMPUTED_VALUE"""),"S211")</f>
        <v>S211</v>
      </c>
      <c r="E1466" s="7" t="str">
        <f>IFERROR(__xludf.DUMMYFUNCTION("""COMPUTED_VALUE"""),"Zero Trust Network Architecture")</f>
        <v>Zero Trust Network Architecture</v>
      </c>
      <c r="F1466" s="7" t="str">
        <f>IFERROR(__xludf.DUMMYFUNCTION("""COMPUTED_VALUE"""),"S204 unlocks S211")</f>
        <v>S204 unlocks S211</v>
      </c>
    </row>
    <row r="1467">
      <c r="A1467" s="7" t="str">
        <f>IFERROR(__xludf.DUMMYFUNCTION("""COMPUTED_VALUE"""),"PE1466")</f>
        <v>PE1466</v>
      </c>
      <c r="B1467" s="7" t="str">
        <f>IFERROR(__xludf.DUMMYFUNCTION("""COMPUTED_VALUE"""),"S204")</f>
        <v>S204</v>
      </c>
      <c r="C1467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7" s="7" t="str">
        <f>IFERROR(__xludf.DUMMYFUNCTION("""COMPUTED_VALUE"""),"S212")</f>
        <v>S212</v>
      </c>
      <c r="E1467" s="7" t="str">
        <f>IFERROR(__xludf.DUMMYFUNCTION("""COMPUTED_VALUE"""),"Cloud Security Posture Management (AWS/Azure Security, CSPM)")</f>
        <v>Cloud Security Posture Management (AWS/Azure Security, CSPM)</v>
      </c>
      <c r="F1467" s="7" t="str">
        <f>IFERROR(__xludf.DUMMYFUNCTION("""COMPUTED_VALUE"""),"S204 unlocks S212")</f>
        <v>S204 unlocks S212</v>
      </c>
    </row>
    <row r="1468">
      <c r="A1468" s="7" t="str">
        <f>IFERROR(__xludf.DUMMYFUNCTION("""COMPUTED_VALUE"""),"PE1467")</f>
        <v>PE1467</v>
      </c>
      <c r="B1468" s="7" t="str">
        <f>IFERROR(__xludf.DUMMYFUNCTION("""COMPUTED_VALUE"""),"S204")</f>
        <v>S204</v>
      </c>
      <c r="C1468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8" s="7" t="str">
        <f>IFERROR(__xludf.DUMMYFUNCTION("""COMPUTED_VALUE"""),"S213")</f>
        <v>S213</v>
      </c>
      <c r="E1468" s="7" t="str">
        <f>IFERROR(__xludf.DUMMYFUNCTION("""COMPUTED_VALUE"""),"Container &amp; Kubernetes Security (Trivy, Falco, RBAC)")</f>
        <v>Container &amp; Kubernetes Security (Trivy, Falco, RBAC)</v>
      </c>
      <c r="F1468" s="7" t="str">
        <f>IFERROR(__xludf.DUMMYFUNCTION("""COMPUTED_VALUE"""),"S204 unlocks S213")</f>
        <v>S204 unlocks S213</v>
      </c>
    </row>
    <row r="1469">
      <c r="A1469" s="7" t="str">
        <f>IFERROR(__xludf.DUMMYFUNCTION("""COMPUTED_VALUE"""),"PE1468")</f>
        <v>PE1468</v>
      </c>
      <c r="B1469" s="7" t="str">
        <f>IFERROR(__xludf.DUMMYFUNCTION("""COMPUTED_VALUE"""),"S204")</f>
        <v>S204</v>
      </c>
      <c r="C1469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69" s="7" t="str">
        <f>IFERROR(__xludf.DUMMYFUNCTION("""COMPUTED_VALUE"""),"S216")</f>
        <v>S216</v>
      </c>
      <c r="E1469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69" s="7" t="str">
        <f>IFERROR(__xludf.DUMMYFUNCTION("""COMPUTED_VALUE"""),"S204 unlocks S216")</f>
        <v>S204 unlocks S216</v>
      </c>
    </row>
    <row r="1470">
      <c r="A1470" s="7" t="str">
        <f>IFERROR(__xludf.DUMMYFUNCTION("""COMPUTED_VALUE"""),"PE1469")</f>
        <v>PE1469</v>
      </c>
      <c r="B1470" s="7" t="str">
        <f>IFERROR(__xludf.DUMMYFUNCTION("""COMPUTED_VALUE"""),"S204")</f>
        <v>S204</v>
      </c>
      <c r="C1470" s="7" t="str">
        <f>IFERROR(__xludf.DUMMYFUNCTION("""COMPUTED_VALUE"""),"Security Information &amp; Event Management (SIEM: Splunk, Sentinel, QRadar)")</f>
        <v>Security Information &amp; Event Management (SIEM: Splunk, Sentinel, QRadar)</v>
      </c>
      <c r="D1470" s="7" t="str">
        <f>IFERROR(__xludf.DUMMYFUNCTION("""COMPUTED_VALUE"""),"S220")</f>
        <v>S220</v>
      </c>
      <c r="E1470" s="7" t="str">
        <f>IFERROR(__xludf.DUMMYFUNCTION("""COMPUTED_VALUE"""),"Wireless, IoT &amp; Hardware Security Testing")</f>
        <v>Wireless, IoT &amp; Hardware Security Testing</v>
      </c>
      <c r="F1470" s="7" t="str">
        <f>IFERROR(__xludf.DUMMYFUNCTION("""COMPUTED_VALUE"""),"S204 unlocks S220")</f>
        <v>S204 unlocks S220</v>
      </c>
    </row>
    <row r="1471">
      <c r="A1471" s="7" t="str">
        <f>IFERROR(__xludf.DUMMYFUNCTION("""COMPUTED_VALUE"""),"PE1470")</f>
        <v>PE1470</v>
      </c>
      <c r="B1471" s="7" t="str">
        <f>IFERROR(__xludf.DUMMYFUNCTION("""COMPUTED_VALUE"""),"S205")</f>
        <v>S205</v>
      </c>
      <c r="C1471" s="7" t="str">
        <f>IFERROR(__xludf.DUMMYFUNCTION("""COMPUTED_VALUE"""),"Security Operations Center (SOC) &amp; Threat Hunting")</f>
        <v>Security Operations Center (SOC) &amp; Threat Hunting</v>
      </c>
      <c r="D1471" s="7" t="str">
        <f>IFERROR(__xludf.DUMMYFUNCTION("""COMPUTED_VALUE"""),"S202")</f>
        <v>S202</v>
      </c>
      <c r="E1471" s="7" t="str">
        <f>IFERROR(__xludf.DUMMYFUNCTION("""COMPUTED_VALUE"""),"Network &amp; System Exploitation (Metasploit, Kali Linux)")</f>
        <v>Network &amp; System Exploitation (Metasploit, Kali Linux)</v>
      </c>
      <c r="F1471" s="7" t="str">
        <f>IFERROR(__xludf.DUMMYFUNCTION("""COMPUTED_VALUE"""),"S205 unlocks S202")</f>
        <v>S205 unlocks S202</v>
      </c>
    </row>
    <row r="1472">
      <c r="A1472" s="7" t="str">
        <f>IFERROR(__xludf.DUMMYFUNCTION("""COMPUTED_VALUE"""),"PE1471")</f>
        <v>PE1471</v>
      </c>
      <c r="B1472" s="7" t="str">
        <f>IFERROR(__xludf.DUMMYFUNCTION("""COMPUTED_VALUE"""),"S205")</f>
        <v>S205</v>
      </c>
      <c r="C1472" s="7" t="str">
        <f>IFERROR(__xludf.DUMMYFUNCTION("""COMPUTED_VALUE"""),"Security Operations Center (SOC) &amp; Threat Hunting")</f>
        <v>Security Operations Center (SOC) &amp; Threat Hunting</v>
      </c>
      <c r="D1472" s="7" t="str">
        <f>IFERROR(__xludf.DUMMYFUNCTION("""COMPUTED_VALUE"""),"S207")</f>
        <v>S207</v>
      </c>
      <c r="E1472" s="7" t="str">
        <f>IFERROR(__xludf.DUMMYFUNCTION("""COMPUTED_VALUE"""),"Incident Response &amp; Digital Forensics (DFIR)")</f>
        <v>Incident Response &amp; Digital Forensics (DFIR)</v>
      </c>
      <c r="F1472" s="7" t="str">
        <f>IFERROR(__xludf.DUMMYFUNCTION("""COMPUTED_VALUE"""),"S205 unlocks S207")</f>
        <v>S205 unlocks S207</v>
      </c>
    </row>
    <row r="1473">
      <c r="A1473" s="7" t="str">
        <f>IFERROR(__xludf.DUMMYFUNCTION("""COMPUTED_VALUE"""),"PE1472")</f>
        <v>PE1472</v>
      </c>
      <c r="B1473" s="7" t="str">
        <f>IFERROR(__xludf.DUMMYFUNCTION("""COMPUTED_VALUE"""),"S205")</f>
        <v>S205</v>
      </c>
      <c r="C1473" s="7" t="str">
        <f>IFERROR(__xludf.DUMMYFUNCTION("""COMPUTED_VALUE"""),"Security Operations Center (SOC) &amp; Threat Hunting")</f>
        <v>Security Operations Center (SOC) &amp; Threat Hunting</v>
      </c>
      <c r="D1473" s="7" t="str">
        <f>IFERROR(__xludf.DUMMYFUNCTION("""COMPUTED_VALUE"""),"S208")</f>
        <v>S208</v>
      </c>
      <c r="E1473" s="7" t="str">
        <f>IFERROR(__xludf.DUMMYFUNCTION("""COMPUTED_VALUE"""),"Malware Analysis &amp; Reverse Engineering (Ghidra, IDA Pro)")</f>
        <v>Malware Analysis &amp; Reverse Engineering (Ghidra, IDA Pro)</v>
      </c>
      <c r="F1473" s="7" t="str">
        <f>IFERROR(__xludf.DUMMYFUNCTION("""COMPUTED_VALUE"""),"S205 unlocks S208")</f>
        <v>S205 unlocks S208</v>
      </c>
    </row>
    <row r="1474">
      <c r="A1474" s="7" t="str">
        <f>IFERROR(__xludf.DUMMYFUNCTION("""COMPUTED_VALUE"""),"PE1473")</f>
        <v>PE1473</v>
      </c>
      <c r="B1474" s="7" t="str">
        <f>IFERROR(__xludf.DUMMYFUNCTION("""COMPUTED_VALUE"""),"S205")</f>
        <v>S205</v>
      </c>
      <c r="C1474" s="7" t="str">
        <f>IFERROR(__xludf.DUMMYFUNCTION("""COMPUTED_VALUE"""),"Security Operations Center (SOC) &amp; Threat Hunting")</f>
        <v>Security Operations Center (SOC) &amp; Threat Hunting</v>
      </c>
      <c r="D1474" s="7" t="str">
        <f>IFERROR(__xludf.DUMMYFUNCTION("""COMPUTED_VALUE"""),"S211")</f>
        <v>S211</v>
      </c>
      <c r="E1474" s="7" t="str">
        <f>IFERROR(__xludf.DUMMYFUNCTION("""COMPUTED_VALUE"""),"Zero Trust Network Architecture")</f>
        <v>Zero Trust Network Architecture</v>
      </c>
      <c r="F1474" s="7" t="str">
        <f>IFERROR(__xludf.DUMMYFUNCTION("""COMPUTED_VALUE"""),"S205 unlocks S211")</f>
        <v>S205 unlocks S211</v>
      </c>
    </row>
    <row r="1475">
      <c r="A1475" s="7" t="str">
        <f>IFERROR(__xludf.DUMMYFUNCTION("""COMPUTED_VALUE"""),"PE1474")</f>
        <v>PE1474</v>
      </c>
      <c r="B1475" s="7" t="str">
        <f>IFERROR(__xludf.DUMMYFUNCTION("""COMPUTED_VALUE"""),"S205")</f>
        <v>S205</v>
      </c>
      <c r="C1475" s="7" t="str">
        <f>IFERROR(__xludf.DUMMYFUNCTION("""COMPUTED_VALUE"""),"Security Operations Center (SOC) &amp; Threat Hunting")</f>
        <v>Security Operations Center (SOC) &amp; Threat Hunting</v>
      </c>
      <c r="D1475" s="7" t="str">
        <f>IFERROR(__xludf.DUMMYFUNCTION("""COMPUTED_VALUE"""),"S212")</f>
        <v>S212</v>
      </c>
      <c r="E1475" s="7" t="str">
        <f>IFERROR(__xludf.DUMMYFUNCTION("""COMPUTED_VALUE"""),"Cloud Security Posture Management (AWS/Azure Security, CSPM)")</f>
        <v>Cloud Security Posture Management (AWS/Azure Security, CSPM)</v>
      </c>
      <c r="F1475" s="7" t="str">
        <f>IFERROR(__xludf.DUMMYFUNCTION("""COMPUTED_VALUE"""),"S205 unlocks S212")</f>
        <v>S205 unlocks S212</v>
      </c>
    </row>
    <row r="1476">
      <c r="A1476" s="7" t="str">
        <f>IFERROR(__xludf.DUMMYFUNCTION("""COMPUTED_VALUE"""),"PE1475")</f>
        <v>PE1475</v>
      </c>
      <c r="B1476" s="7" t="str">
        <f>IFERROR(__xludf.DUMMYFUNCTION("""COMPUTED_VALUE"""),"S205")</f>
        <v>S205</v>
      </c>
      <c r="C1476" s="7" t="str">
        <f>IFERROR(__xludf.DUMMYFUNCTION("""COMPUTED_VALUE"""),"Security Operations Center (SOC) &amp; Threat Hunting")</f>
        <v>Security Operations Center (SOC) &amp; Threat Hunting</v>
      </c>
      <c r="D1476" s="7" t="str">
        <f>IFERROR(__xludf.DUMMYFUNCTION("""COMPUTED_VALUE"""),"S213")</f>
        <v>S213</v>
      </c>
      <c r="E1476" s="7" t="str">
        <f>IFERROR(__xludf.DUMMYFUNCTION("""COMPUTED_VALUE"""),"Container &amp; Kubernetes Security (Trivy, Falco, RBAC)")</f>
        <v>Container &amp; Kubernetes Security (Trivy, Falco, RBAC)</v>
      </c>
      <c r="F1476" s="7" t="str">
        <f>IFERROR(__xludf.DUMMYFUNCTION("""COMPUTED_VALUE"""),"S205 unlocks S213")</f>
        <v>S205 unlocks S213</v>
      </c>
    </row>
    <row r="1477">
      <c r="A1477" s="7" t="str">
        <f>IFERROR(__xludf.DUMMYFUNCTION("""COMPUTED_VALUE"""),"PE1476")</f>
        <v>PE1476</v>
      </c>
      <c r="B1477" s="7" t="str">
        <f>IFERROR(__xludf.DUMMYFUNCTION("""COMPUTED_VALUE"""),"S205")</f>
        <v>S205</v>
      </c>
      <c r="C1477" s="7" t="str">
        <f>IFERROR(__xludf.DUMMYFUNCTION("""COMPUTED_VALUE"""),"Security Operations Center (SOC) &amp; Threat Hunting")</f>
        <v>Security Operations Center (SOC) &amp; Threat Hunting</v>
      </c>
      <c r="D1477" s="7" t="str">
        <f>IFERROR(__xludf.DUMMYFUNCTION("""COMPUTED_VALUE"""),"S216")</f>
        <v>S216</v>
      </c>
      <c r="E1477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77" s="7" t="str">
        <f>IFERROR(__xludf.DUMMYFUNCTION("""COMPUTED_VALUE"""),"S205 unlocks S216")</f>
        <v>S205 unlocks S216</v>
      </c>
    </row>
    <row r="1478">
      <c r="A1478" s="7" t="str">
        <f>IFERROR(__xludf.DUMMYFUNCTION("""COMPUTED_VALUE"""),"PE1477")</f>
        <v>PE1477</v>
      </c>
      <c r="B1478" s="7" t="str">
        <f>IFERROR(__xludf.DUMMYFUNCTION("""COMPUTED_VALUE"""),"S205")</f>
        <v>S205</v>
      </c>
      <c r="C1478" s="7" t="str">
        <f>IFERROR(__xludf.DUMMYFUNCTION("""COMPUTED_VALUE"""),"Security Operations Center (SOC) &amp; Threat Hunting")</f>
        <v>Security Operations Center (SOC) &amp; Threat Hunting</v>
      </c>
      <c r="D1478" s="7" t="str">
        <f>IFERROR(__xludf.DUMMYFUNCTION("""COMPUTED_VALUE"""),"S220")</f>
        <v>S220</v>
      </c>
      <c r="E1478" s="7" t="str">
        <f>IFERROR(__xludf.DUMMYFUNCTION("""COMPUTED_VALUE"""),"Wireless, IoT &amp; Hardware Security Testing")</f>
        <v>Wireless, IoT &amp; Hardware Security Testing</v>
      </c>
      <c r="F1478" s="7" t="str">
        <f>IFERROR(__xludf.DUMMYFUNCTION("""COMPUTED_VALUE"""),"S205 unlocks S220")</f>
        <v>S205 unlocks S220</v>
      </c>
    </row>
    <row r="1479">
      <c r="A1479" s="7" t="str">
        <f>IFERROR(__xludf.DUMMYFUNCTION("""COMPUTED_VALUE"""),"PE1478")</f>
        <v>PE1478</v>
      </c>
      <c r="B1479" s="7" t="str">
        <f>IFERROR(__xludf.DUMMYFUNCTION("""COMPUTED_VALUE"""),"S206")</f>
        <v>S206</v>
      </c>
      <c r="C1479" s="7" t="str">
        <f>IFERROR(__xludf.DUMMYFUNCTION("""COMPUTED_VALUE"""),"Endpoint Detection &amp; Response (EDR / XDR: CrowdStrike, Defender)")</f>
        <v>Endpoint Detection &amp; Response (EDR / XDR: CrowdStrike, Defender)</v>
      </c>
      <c r="D1479" s="7" t="str">
        <f>IFERROR(__xludf.DUMMYFUNCTION("""COMPUTED_VALUE"""),"S202")</f>
        <v>S202</v>
      </c>
      <c r="E1479" s="7" t="str">
        <f>IFERROR(__xludf.DUMMYFUNCTION("""COMPUTED_VALUE"""),"Network &amp; System Exploitation (Metasploit, Kali Linux)")</f>
        <v>Network &amp; System Exploitation (Metasploit, Kali Linux)</v>
      </c>
      <c r="F1479" s="7" t="str">
        <f>IFERROR(__xludf.DUMMYFUNCTION("""COMPUTED_VALUE"""),"S206 unlocks S202")</f>
        <v>S206 unlocks S202</v>
      </c>
    </row>
    <row r="1480">
      <c r="A1480" s="7" t="str">
        <f>IFERROR(__xludf.DUMMYFUNCTION("""COMPUTED_VALUE"""),"PE1479")</f>
        <v>PE1479</v>
      </c>
      <c r="B1480" s="7" t="str">
        <f>IFERROR(__xludf.DUMMYFUNCTION("""COMPUTED_VALUE"""),"S206")</f>
        <v>S206</v>
      </c>
      <c r="C1480" s="7" t="str">
        <f>IFERROR(__xludf.DUMMYFUNCTION("""COMPUTED_VALUE"""),"Endpoint Detection &amp; Response (EDR / XDR: CrowdStrike, Defender)")</f>
        <v>Endpoint Detection &amp; Response (EDR / XDR: CrowdStrike, Defender)</v>
      </c>
      <c r="D1480" s="7" t="str">
        <f>IFERROR(__xludf.DUMMYFUNCTION("""COMPUTED_VALUE"""),"S207")</f>
        <v>S207</v>
      </c>
      <c r="E1480" s="7" t="str">
        <f>IFERROR(__xludf.DUMMYFUNCTION("""COMPUTED_VALUE"""),"Incident Response &amp; Digital Forensics (DFIR)")</f>
        <v>Incident Response &amp; Digital Forensics (DFIR)</v>
      </c>
      <c r="F1480" s="7" t="str">
        <f>IFERROR(__xludf.DUMMYFUNCTION("""COMPUTED_VALUE"""),"S206 unlocks S207")</f>
        <v>S206 unlocks S207</v>
      </c>
    </row>
    <row r="1481">
      <c r="A1481" s="7" t="str">
        <f>IFERROR(__xludf.DUMMYFUNCTION("""COMPUTED_VALUE"""),"PE1480")</f>
        <v>PE1480</v>
      </c>
      <c r="B1481" s="7" t="str">
        <f>IFERROR(__xludf.DUMMYFUNCTION("""COMPUTED_VALUE"""),"S206")</f>
        <v>S206</v>
      </c>
      <c r="C1481" s="7" t="str">
        <f>IFERROR(__xludf.DUMMYFUNCTION("""COMPUTED_VALUE"""),"Endpoint Detection &amp; Response (EDR / XDR: CrowdStrike, Defender)")</f>
        <v>Endpoint Detection &amp; Response (EDR / XDR: CrowdStrike, Defender)</v>
      </c>
      <c r="D1481" s="7" t="str">
        <f>IFERROR(__xludf.DUMMYFUNCTION("""COMPUTED_VALUE"""),"S208")</f>
        <v>S208</v>
      </c>
      <c r="E1481" s="7" t="str">
        <f>IFERROR(__xludf.DUMMYFUNCTION("""COMPUTED_VALUE"""),"Malware Analysis &amp; Reverse Engineering (Ghidra, IDA Pro)")</f>
        <v>Malware Analysis &amp; Reverse Engineering (Ghidra, IDA Pro)</v>
      </c>
      <c r="F1481" s="7" t="str">
        <f>IFERROR(__xludf.DUMMYFUNCTION("""COMPUTED_VALUE"""),"S206 unlocks S208")</f>
        <v>S206 unlocks S208</v>
      </c>
    </row>
    <row r="1482">
      <c r="A1482" s="7" t="str">
        <f>IFERROR(__xludf.DUMMYFUNCTION("""COMPUTED_VALUE"""),"PE1481")</f>
        <v>PE1481</v>
      </c>
      <c r="B1482" s="7" t="str">
        <f>IFERROR(__xludf.DUMMYFUNCTION("""COMPUTED_VALUE"""),"S206")</f>
        <v>S206</v>
      </c>
      <c r="C1482" s="7" t="str">
        <f>IFERROR(__xludf.DUMMYFUNCTION("""COMPUTED_VALUE"""),"Endpoint Detection &amp; Response (EDR / XDR: CrowdStrike, Defender)")</f>
        <v>Endpoint Detection &amp; Response (EDR / XDR: CrowdStrike, Defender)</v>
      </c>
      <c r="D1482" s="7" t="str">
        <f>IFERROR(__xludf.DUMMYFUNCTION("""COMPUTED_VALUE"""),"S211")</f>
        <v>S211</v>
      </c>
      <c r="E1482" s="7" t="str">
        <f>IFERROR(__xludf.DUMMYFUNCTION("""COMPUTED_VALUE"""),"Zero Trust Network Architecture")</f>
        <v>Zero Trust Network Architecture</v>
      </c>
      <c r="F1482" s="7" t="str">
        <f>IFERROR(__xludf.DUMMYFUNCTION("""COMPUTED_VALUE"""),"S206 unlocks S211")</f>
        <v>S206 unlocks S211</v>
      </c>
    </row>
    <row r="1483">
      <c r="A1483" s="7" t="str">
        <f>IFERROR(__xludf.DUMMYFUNCTION("""COMPUTED_VALUE"""),"PE1482")</f>
        <v>PE1482</v>
      </c>
      <c r="B1483" s="7" t="str">
        <f>IFERROR(__xludf.DUMMYFUNCTION("""COMPUTED_VALUE"""),"S206")</f>
        <v>S206</v>
      </c>
      <c r="C1483" s="7" t="str">
        <f>IFERROR(__xludf.DUMMYFUNCTION("""COMPUTED_VALUE"""),"Endpoint Detection &amp; Response (EDR / XDR: CrowdStrike, Defender)")</f>
        <v>Endpoint Detection &amp; Response (EDR / XDR: CrowdStrike, Defender)</v>
      </c>
      <c r="D1483" s="7" t="str">
        <f>IFERROR(__xludf.DUMMYFUNCTION("""COMPUTED_VALUE"""),"S212")</f>
        <v>S212</v>
      </c>
      <c r="E1483" s="7" t="str">
        <f>IFERROR(__xludf.DUMMYFUNCTION("""COMPUTED_VALUE"""),"Cloud Security Posture Management (AWS/Azure Security, CSPM)")</f>
        <v>Cloud Security Posture Management (AWS/Azure Security, CSPM)</v>
      </c>
      <c r="F1483" s="7" t="str">
        <f>IFERROR(__xludf.DUMMYFUNCTION("""COMPUTED_VALUE"""),"S206 unlocks S212")</f>
        <v>S206 unlocks S212</v>
      </c>
    </row>
    <row r="1484">
      <c r="A1484" s="7" t="str">
        <f>IFERROR(__xludf.DUMMYFUNCTION("""COMPUTED_VALUE"""),"PE1483")</f>
        <v>PE1483</v>
      </c>
      <c r="B1484" s="7" t="str">
        <f>IFERROR(__xludf.DUMMYFUNCTION("""COMPUTED_VALUE"""),"S206")</f>
        <v>S206</v>
      </c>
      <c r="C1484" s="7" t="str">
        <f>IFERROR(__xludf.DUMMYFUNCTION("""COMPUTED_VALUE"""),"Endpoint Detection &amp; Response (EDR / XDR: CrowdStrike, Defender)")</f>
        <v>Endpoint Detection &amp; Response (EDR / XDR: CrowdStrike, Defender)</v>
      </c>
      <c r="D1484" s="7" t="str">
        <f>IFERROR(__xludf.DUMMYFUNCTION("""COMPUTED_VALUE"""),"S213")</f>
        <v>S213</v>
      </c>
      <c r="E1484" s="7" t="str">
        <f>IFERROR(__xludf.DUMMYFUNCTION("""COMPUTED_VALUE"""),"Container &amp; Kubernetes Security (Trivy, Falco, RBAC)")</f>
        <v>Container &amp; Kubernetes Security (Trivy, Falco, RBAC)</v>
      </c>
      <c r="F1484" s="7" t="str">
        <f>IFERROR(__xludf.DUMMYFUNCTION("""COMPUTED_VALUE"""),"S206 unlocks S213")</f>
        <v>S206 unlocks S213</v>
      </c>
    </row>
    <row r="1485">
      <c r="A1485" s="7" t="str">
        <f>IFERROR(__xludf.DUMMYFUNCTION("""COMPUTED_VALUE"""),"PE1484")</f>
        <v>PE1484</v>
      </c>
      <c r="B1485" s="7" t="str">
        <f>IFERROR(__xludf.DUMMYFUNCTION("""COMPUTED_VALUE"""),"S206")</f>
        <v>S206</v>
      </c>
      <c r="C1485" s="7" t="str">
        <f>IFERROR(__xludf.DUMMYFUNCTION("""COMPUTED_VALUE"""),"Endpoint Detection &amp; Response (EDR / XDR: CrowdStrike, Defender)")</f>
        <v>Endpoint Detection &amp; Response (EDR / XDR: CrowdStrike, Defender)</v>
      </c>
      <c r="D1485" s="7" t="str">
        <f>IFERROR(__xludf.DUMMYFUNCTION("""COMPUTED_VALUE"""),"S216")</f>
        <v>S216</v>
      </c>
      <c r="E1485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85" s="7" t="str">
        <f>IFERROR(__xludf.DUMMYFUNCTION("""COMPUTED_VALUE"""),"S206 unlocks S216")</f>
        <v>S206 unlocks S216</v>
      </c>
    </row>
    <row r="1486">
      <c r="A1486" s="7" t="str">
        <f>IFERROR(__xludf.DUMMYFUNCTION("""COMPUTED_VALUE"""),"PE1485")</f>
        <v>PE1485</v>
      </c>
      <c r="B1486" s="7" t="str">
        <f>IFERROR(__xludf.DUMMYFUNCTION("""COMPUTED_VALUE"""),"S206")</f>
        <v>S206</v>
      </c>
      <c r="C1486" s="7" t="str">
        <f>IFERROR(__xludf.DUMMYFUNCTION("""COMPUTED_VALUE"""),"Endpoint Detection &amp; Response (EDR / XDR: CrowdStrike, Defender)")</f>
        <v>Endpoint Detection &amp; Response (EDR / XDR: CrowdStrike, Defender)</v>
      </c>
      <c r="D1486" s="7" t="str">
        <f>IFERROR(__xludf.DUMMYFUNCTION("""COMPUTED_VALUE"""),"S220")</f>
        <v>S220</v>
      </c>
      <c r="E1486" s="7" t="str">
        <f>IFERROR(__xludf.DUMMYFUNCTION("""COMPUTED_VALUE"""),"Wireless, IoT &amp; Hardware Security Testing")</f>
        <v>Wireless, IoT &amp; Hardware Security Testing</v>
      </c>
      <c r="F1486" s="7" t="str">
        <f>IFERROR(__xludf.DUMMYFUNCTION("""COMPUTED_VALUE"""),"S206 unlocks S220")</f>
        <v>S206 unlocks S220</v>
      </c>
    </row>
    <row r="1487">
      <c r="A1487" s="7" t="str">
        <f>IFERROR(__xludf.DUMMYFUNCTION("""COMPUTED_VALUE"""),"PE1486")</f>
        <v>PE1486</v>
      </c>
      <c r="B1487" s="7" t="str">
        <f>IFERROR(__xludf.DUMMYFUNCTION("""COMPUTED_VALUE"""),"S209")</f>
        <v>S209</v>
      </c>
      <c r="C1487" s="7" t="str">
        <f>IFERROR(__xludf.DUMMYFUNCTION("""COMPUTED_VALUE"""),"Applied Cryptography, Hashing &amp; PKI Certificates")</f>
        <v>Applied Cryptography, Hashing &amp; PKI Certificates</v>
      </c>
      <c r="D1487" s="7" t="str">
        <f>IFERROR(__xludf.DUMMYFUNCTION("""COMPUTED_VALUE"""),"S202")</f>
        <v>S202</v>
      </c>
      <c r="E1487" s="7" t="str">
        <f>IFERROR(__xludf.DUMMYFUNCTION("""COMPUTED_VALUE"""),"Network &amp; System Exploitation (Metasploit, Kali Linux)")</f>
        <v>Network &amp; System Exploitation (Metasploit, Kali Linux)</v>
      </c>
      <c r="F1487" s="7" t="str">
        <f>IFERROR(__xludf.DUMMYFUNCTION("""COMPUTED_VALUE"""),"S209 unlocks S202")</f>
        <v>S209 unlocks S202</v>
      </c>
    </row>
    <row r="1488">
      <c r="A1488" s="7" t="str">
        <f>IFERROR(__xludf.DUMMYFUNCTION("""COMPUTED_VALUE"""),"PE1487")</f>
        <v>PE1487</v>
      </c>
      <c r="B1488" s="7" t="str">
        <f>IFERROR(__xludf.DUMMYFUNCTION("""COMPUTED_VALUE"""),"S209")</f>
        <v>S209</v>
      </c>
      <c r="C1488" s="7" t="str">
        <f>IFERROR(__xludf.DUMMYFUNCTION("""COMPUTED_VALUE"""),"Applied Cryptography, Hashing &amp; PKI Certificates")</f>
        <v>Applied Cryptography, Hashing &amp; PKI Certificates</v>
      </c>
      <c r="D1488" s="7" t="str">
        <f>IFERROR(__xludf.DUMMYFUNCTION("""COMPUTED_VALUE"""),"S207")</f>
        <v>S207</v>
      </c>
      <c r="E1488" s="7" t="str">
        <f>IFERROR(__xludf.DUMMYFUNCTION("""COMPUTED_VALUE"""),"Incident Response &amp; Digital Forensics (DFIR)")</f>
        <v>Incident Response &amp; Digital Forensics (DFIR)</v>
      </c>
      <c r="F1488" s="7" t="str">
        <f>IFERROR(__xludf.DUMMYFUNCTION("""COMPUTED_VALUE"""),"S209 unlocks S207")</f>
        <v>S209 unlocks S207</v>
      </c>
    </row>
    <row r="1489">
      <c r="A1489" s="7" t="str">
        <f>IFERROR(__xludf.DUMMYFUNCTION("""COMPUTED_VALUE"""),"PE1488")</f>
        <v>PE1488</v>
      </c>
      <c r="B1489" s="7" t="str">
        <f>IFERROR(__xludf.DUMMYFUNCTION("""COMPUTED_VALUE"""),"S209")</f>
        <v>S209</v>
      </c>
      <c r="C1489" s="7" t="str">
        <f>IFERROR(__xludf.DUMMYFUNCTION("""COMPUTED_VALUE"""),"Applied Cryptography, Hashing &amp; PKI Certificates")</f>
        <v>Applied Cryptography, Hashing &amp; PKI Certificates</v>
      </c>
      <c r="D1489" s="7" t="str">
        <f>IFERROR(__xludf.DUMMYFUNCTION("""COMPUTED_VALUE"""),"S208")</f>
        <v>S208</v>
      </c>
      <c r="E1489" s="7" t="str">
        <f>IFERROR(__xludf.DUMMYFUNCTION("""COMPUTED_VALUE"""),"Malware Analysis &amp; Reverse Engineering (Ghidra, IDA Pro)")</f>
        <v>Malware Analysis &amp; Reverse Engineering (Ghidra, IDA Pro)</v>
      </c>
      <c r="F1489" s="7" t="str">
        <f>IFERROR(__xludf.DUMMYFUNCTION("""COMPUTED_VALUE"""),"S209 unlocks S208")</f>
        <v>S209 unlocks S208</v>
      </c>
    </row>
    <row r="1490">
      <c r="A1490" s="7" t="str">
        <f>IFERROR(__xludf.DUMMYFUNCTION("""COMPUTED_VALUE"""),"PE1489")</f>
        <v>PE1489</v>
      </c>
      <c r="B1490" s="7" t="str">
        <f>IFERROR(__xludf.DUMMYFUNCTION("""COMPUTED_VALUE"""),"S209")</f>
        <v>S209</v>
      </c>
      <c r="C1490" s="7" t="str">
        <f>IFERROR(__xludf.DUMMYFUNCTION("""COMPUTED_VALUE"""),"Applied Cryptography, Hashing &amp; PKI Certificates")</f>
        <v>Applied Cryptography, Hashing &amp; PKI Certificates</v>
      </c>
      <c r="D1490" s="7" t="str">
        <f>IFERROR(__xludf.DUMMYFUNCTION("""COMPUTED_VALUE"""),"S211")</f>
        <v>S211</v>
      </c>
      <c r="E1490" s="7" t="str">
        <f>IFERROR(__xludf.DUMMYFUNCTION("""COMPUTED_VALUE"""),"Zero Trust Network Architecture")</f>
        <v>Zero Trust Network Architecture</v>
      </c>
      <c r="F1490" s="7" t="str">
        <f>IFERROR(__xludf.DUMMYFUNCTION("""COMPUTED_VALUE"""),"S209 unlocks S211")</f>
        <v>S209 unlocks S211</v>
      </c>
    </row>
    <row r="1491">
      <c r="A1491" s="7" t="str">
        <f>IFERROR(__xludf.DUMMYFUNCTION("""COMPUTED_VALUE"""),"PE1490")</f>
        <v>PE1490</v>
      </c>
      <c r="B1491" s="7" t="str">
        <f>IFERROR(__xludf.DUMMYFUNCTION("""COMPUTED_VALUE"""),"S209")</f>
        <v>S209</v>
      </c>
      <c r="C1491" s="7" t="str">
        <f>IFERROR(__xludf.DUMMYFUNCTION("""COMPUTED_VALUE"""),"Applied Cryptography, Hashing &amp; PKI Certificates")</f>
        <v>Applied Cryptography, Hashing &amp; PKI Certificates</v>
      </c>
      <c r="D1491" s="7" t="str">
        <f>IFERROR(__xludf.DUMMYFUNCTION("""COMPUTED_VALUE"""),"S212")</f>
        <v>S212</v>
      </c>
      <c r="E1491" s="7" t="str">
        <f>IFERROR(__xludf.DUMMYFUNCTION("""COMPUTED_VALUE"""),"Cloud Security Posture Management (AWS/Azure Security, CSPM)")</f>
        <v>Cloud Security Posture Management (AWS/Azure Security, CSPM)</v>
      </c>
      <c r="F1491" s="7" t="str">
        <f>IFERROR(__xludf.DUMMYFUNCTION("""COMPUTED_VALUE"""),"S209 unlocks S212")</f>
        <v>S209 unlocks S212</v>
      </c>
    </row>
    <row r="1492">
      <c r="A1492" s="7" t="str">
        <f>IFERROR(__xludf.DUMMYFUNCTION("""COMPUTED_VALUE"""),"PE1491")</f>
        <v>PE1491</v>
      </c>
      <c r="B1492" s="7" t="str">
        <f>IFERROR(__xludf.DUMMYFUNCTION("""COMPUTED_VALUE"""),"S209")</f>
        <v>S209</v>
      </c>
      <c r="C1492" s="7" t="str">
        <f>IFERROR(__xludf.DUMMYFUNCTION("""COMPUTED_VALUE"""),"Applied Cryptography, Hashing &amp; PKI Certificates")</f>
        <v>Applied Cryptography, Hashing &amp; PKI Certificates</v>
      </c>
      <c r="D1492" s="7" t="str">
        <f>IFERROR(__xludf.DUMMYFUNCTION("""COMPUTED_VALUE"""),"S213")</f>
        <v>S213</v>
      </c>
      <c r="E1492" s="7" t="str">
        <f>IFERROR(__xludf.DUMMYFUNCTION("""COMPUTED_VALUE"""),"Container &amp; Kubernetes Security (Trivy, Falco, RBAC)")</f>
        <v>Container &amp; Kubernetes Security (Trivy, Falco, RBAC)</v>
      </c>
      <c r="F1492" s="7" t="str">
        <f>IFERROR(__xludf.DUMMYFUNCTION("""COMPUTED_VALUE"""),"S209 unlocks S213")</f>
        <v>S209 unlocks S213</v>
      </c>
    </row>
    <row r="1493">
      <c r="A1493" s="7" t="str">
        <f>IFERROR(__xludf.DUMMYFUNCTION("""COMPUTED_VALUE"""),"PE1492")</f>
        <v>PE1492</v>
      </c>
      <c r="B1493" s="7" t="str">
        <f>IFERROR(__xludf.DUMMYFUNCTION("""COMPUTED_VALUE"""),"S209")</f>
        <v>S209</v>
      </c>
      <c r="C1493" s="7" t="str">
        <f>IFERROR(__xludf.DUMMYFUNCTION("""COMPUTED_VALUE"""),"Applied Cryptography, Hashing &amp; PKI Certificates")</f>
        <v>Applied Cryptography, Hashing &amp; PKI Certificates</v>
      </c>
      <c r="D1493" s="7" t="str">
        <f>IFERROR(__xludf.DUMMYFUNCTION("""COMPUTED_VALUE"""),"S216")</f>
        <v>S216</v>
      </c>
      <c r="E1493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493" s="7" t="str">
        <f>IFERROR(__xludf.DUMMYFUNCTION("""COMPUTED_VALUE"""),"S209 unlocks S216")</f>
        <v>S209 unlocks S216</v>
      </c>
    </row>
    <row r="1494">
      <c r="A1494" s="7" t="str">
        <f>IFERROR(__xludf.DUMMYFUNCTION("""COMPUTED_VALUE"""),"PE1493")</f>
        <v>PE1493</v>
      </c>
      <c r="B1494" s="7" t="str">
        <f>IFERROR(__xludf.DUMMYFUNCTION("""COMPUTED_VALUE"""),"S209")</f>
        <v>S209</v>
      </c>
      <c r="C1494" s="7" t="str">
        <f>IFERROR(__xludf.DUMMYFUNCTION("""COMPUTED_VALUE"""),"Applied Cryptography, Hashing &amp; PKI Certificates")</f>
        <v>Applied Cryptography, Hashing &amp; PKI Certificates</v>
      </c>
      <c r="D1494" s="7" t="str">
        <f>IFERROR(__xludf.DUMMYFUNCTION("""COMPUTED_VALUE"""),"S220")</f>
        <v>S220</v>
      </c>
      <c r="E1494" s="7" t="str">
        <f>IFERROR(__xludf.DUMMYFUNCTION("""COMPUTED_VALUE"""),"Wireless, IoT &amp; Hardware Security Testing")</f>
        <v>Wireless, IoT &amp; Hardware Security Testing</v>
      </c>
      <c r="F1494" s="7" t="str">
        <f>IFERROR(__xludf.DUMMYFUNCTION("""COMPUTED_VALUE"""),"S209 unlocks S220")</f>
        <v>S209 unlocks S220</v>
      </c>
    </row>
    <row r="1495">
      <c r="A1495" s="7" t="str">
        <f>IFERROR(__xludf.DUMMYFUNCTION("""COMPUTED_VALUE"""),"PE1494")</f>
        <v>PE1494</v>
      </c>
      <c r="B1495" s="7" t="str">
        <f>IFERROR(__xludf.DUMMYFUNCTION("""COMPUTED_VALUE"""),"S210")</f>
        <v>S210</v>
      </c>
      <c r="C1495" s="7" t="str">
        <f>IFERROR(__xludf.DUMMYFUNCTION("""COMPUTED_VALUE"""),"Enterprise Identity &amp; Access Management (IAM, Okta, Entra ID, Keycloak)")</f>
        <v>Enterprise Identity &amp; Access Management (IAM, Okta, Entra ID, Keycloak)</v>
      </c>
      <c r="D1495" s="7" t="str">
        <f>IFERROR(__xludf.DUMMYFUNCTION("""COMPUTED_VALUE"""),"S202")</f>
        <v>S202</v>
      </c>
      <c r="E1495" s="7" t="str">
        <f>IFERROR(__xludf.DUMMYFUNCTION("""COMPUTED_VALUE"""),"Network &amp; System Exploitation (Metasploit, Kali Linux)")</f>
        <v>Network &amp; System Exploitation (Metasploit, Kali Linux)</v>
      </c>
      <c r="F1495" s="7" t="str">
        <f>IFERROR(__xludf.DUMMYFUNCTION("""COMPUTED_VALUE"""),"S210 unlocks S202")</f>
        <v>S210 unlocks S202</v>
      </c>
    </row>
    <row r="1496">
      <c r="A1496" s="7" t="str">
        <f>IFERROR(__xludf.DUMMYFUNCTION("""COMPUTED_VALUE"""),"PE1495")</f>
        <v>PE1495</v>
      </c>
      <c r="B1496" s="7" t="str">
        <f>IFERROR(__xludf.DUMMYFUNCTION("""COMPUTED_VALUE"""),"S210")</f>
        <v>S210</v>
      </c>
      <c r="C1496" s="7" t="str">
        <f>IFERROR(__xludf.DUMMYFUNCTION("""COMPUTED_VALUE"""),"Enterprise Identity &amp; Access Management (IAM, Okta, Entra ID, Keycloak)")</f>
        <v>Enterprise Identity &amp; Access Management (IAM, Okta, Entra ID, Keycloak)</v>
      </c>
      <c r="D1496" s="7" t="str">
        <f>IFERROR(__xludf.DUMMYFUNCTION("""COMPUTED_VALUE"""),"S207")</f>
        <v>S207</v>
      </c>
      <c r="E1496" s="7" t="str">
        <f>IFERROR(__xludf.DUMMYFUNCTION("""COMPUTED_VALUE"""),"Incident Response &amp; Digital Forensics (DFIR)")</f>
        <v>Incident Response &amp; Digital Forensics (DFIR)</v>
      </c>
      <c r="F1496" s="7" t="str">
        <f>IFERROR(__xludf.DUMMYFUNCTION("""COMPUTED_VALUE"""),"S210 unlocks S207")</f>
        <v>S210 unlocks S207</v>
      </c>
    </row>
    <row r="1497">
      <c r="A1497" s="7" t="str">
        <f>IFERROR(__xludf.DUMMYFUNCTION("""COMPUTED_VALUE"""),"PE1496")</f>
        <v>PE1496</v>
      </c>
      <c r="B1497" s="7" t="str">
        <f>IFERROR(__xludf.DUMMYFUNCTION("""COMPUTED_VALUE"""),"S210")</f>
        <v>S210</v>
      </c>
      <c r="C1497" s="7" t="str">
        <f>IFERROR(__xludf.DUMMYFUNCTION("""COMPUTED_VALUE"""),"Enterprise Identity &amp; Access Management (IAM, Okta, Entra ID, Keycloak)")</f>
        <v>Enterprise Identity &amp; Access Management (IAM, Okta, Entra ID, Keycloak)</v>
      </c>
      <c r="D1497" s="7" t="str">
        <f>IFERROR(__xludf.DUMMYFUNCTION("""COMPUTED_VALUE"""),"S208")</f>
        <v>S208</v>
      </c>
      <c r="E1497" s="7" t="str">
        <f>IFERROR(__xludf.DUMMYFUNCTION("""COMPUTED_VALUE"""),"Malware Analysis &amp; Reverse Engineering (Ghidra, IDA Pro)")</f>
        <v>Malware Analysis &amp; Reverse Engineering (Ghidra, IDA Pro)</v>
      </c>
      <c r="F1497" s="7" t="str">
        <f>IFERROR(__xludf.DUMMYFUNCTION("""COMPUTED_VALUE"""),"S210 unlocks S208")</f>
        <v>S210 unlocks S208</v>
      </c>
    </row>
    <row r="1498">
      <c r="A1498" s="7" t="str">
        <f>IFERROR(__xludf.DUMMYFUNCTION("""COMPUTED_VALUE"""),"PE1497")</f>
        <v>PE1497</v>
      </c>
      <c r="B1498" s="7" t="str">
        <f>IFERROR(__xludf.DUMMYFUNCTION("""COMPUTED_VALUE"""),"S210")</f>
        <v>S210</v>
      </c>
      <c r="C1498" s="7" t="str">
        <f>IFERROR(__xludf.DUMMYFUNCTION("""COMPUTED_VALUE"""),"Enterprise Identity &amp; Access Management (IAM, Okta, Entra ID, Keycloak)")</f>
        <v>Enterprise Identity &amp; Access Management (IAM, Okta, Entra ID, Keycloak)</v>
      </c>
      <c r="D1498" s="7" t="str">
        <f>IFERROR(__xludf.DUMMYFUNCTION("""COMPUTED_VALUE"""),"S211")</f>
        <v>S211</v>
      </c>
      <c r="E1498" s="7" t="str">
        <f>IFERROR(__xludf.DUMMYFUNCTION("""COMPUTED_VALUE"""),"Zero Trust Network Architecture")</f>
        <v>Zero Trust Network Architecture</v>
      </c>
      <c r="F1498" s="7" t="str">
        <f>IFERROR(__xludf.DUMMYFUNCTION("""COMPUTED_VALUE"""),"S210 unlocks S211")</f>
        <v>S210 unlocks S211</v>
      </c>
    </row>
    <row r="1499">
      <c r="A1499" s="7" t="str">
        <f>IFERROR(__xludf.DUMMYFUNCTION("""COMPUTED_VALUE"""),"PE1498")</f>
        <v>PE1498</v>
      </c>
      <c r="B1499" s="7" t="str">
        <f>IFERROR(__xludf.DUMMYFUNCTION("""COMPUTED_VALUE"""),"S210")</f>
        <v>S210</v>
      </c>
      <c r="C1499" s="7" t="str">
        <f>IFERROR(__xludf.DUMMYFUNCTION("""COMPUTED_VALUE"""),"Enterprise Identity &amp; Access Management (IAM, Okta, Entra ID, Keycloak)")</f>
        <v>Enterprise Identity &amp; Access Management (IAM, Okta, Entra ID, Keycloak)</v>
      </c>
      <c r="D1499" s="7" t="str">
        <f>IFERROR(__xludf.DUMMYFUNCTION("""COMPUTED_VALUE"""),"S212")</f>
        <v>S212</v>
      </c>
      <c r="E1499" s="7" t="str">
        <f>IFERROR(__xludf.DUMMYFUNCTION("""COMPUTED_VALUE"""),"Cloud Security Posture Management (AWS/Azure Security, CSPM)")</f>
        <v>Cloud Security Posture Management (AWS/Azure Security, CSPM)</v>
      </c>
      <c r="F1499" s="7" t="str">
        <f>IFERROR(__xludf.DUMMYFUNCTION("""COMPUTED_VALUE"""),"S210 unlocks S212")</f>
        <v>S210 unlocks S212</v>
      </c>
    </row>
    <row r="1500">
      <c r="A1500" s="7" t="str">
        <f>IFERROR(__xludf.DUMMYFUNCTION("""COMPUTED_VALUE"""),"PE1499")</f>
        <v>PE1499</v>
      </c>
      <c r="B1500" s="7" t="str">
        <f>IFERROR(__xludf.DUMMYFUNCTION("""COMPUTED_VALUE"""),"S210")</f>
        <v>S210</v>
      </c>
      <c r="C1500" s="7" t="str">
        <f>IFERROR(__xludf.DUMMYFUNCTION("""COMPUTED_VALUE"""),"Enterprise Identity &amp; Access Management (IAM, Okta, Entra ID, Keycloak)")</f>
        <v>Enterprise Identity &amp; Access Management (IAM, Okta, Entra ID, Keycloak)</v>
      </c>
      <c r="D1500" s="7" t="str">
        <f>IFERROR(__xludf.DUMMYFUNCTION("""COMPUTED_VALUE"""),"S213")</f>
        <v>S213</v>
      </c>
      <c r="E1500" s="7" t="str">
        <f>IFERROR(__xludf.DUMMYFUNCTION("""COMPUTED_VALUE"""),"Container &amp; Kubernetes Security (Trivy, Falco, RBAC)")</f>
        <v>Container &amp; Kubernetes Security (Trivy, Falco, RBAC)</v>
      </c>
      <c r="F1500" s="7" t="str">
        <f>IFERROR(__xludf.DUMMYFUNCTION("""COMPUTED_VALUE"""),"S210 unlocks S213")</f>
        <v>S210 unlocks S213</v>
      </c>
    </row>
    <row r="1501">
      <c r="A1501" s="7" t="str">
        <f>IFERROR(__xludf.DUMMYFUNCTION("""COMPUTED_VALUE"""),"PE1500")</f>
        <v>PE1500</v>
      </c>
      <c r="B1501" s="7" t="str">
        <f>IFERROR(__xludf.DUMMYFUNCTION("""COMPUTED_VALUE"""),"S210")</f>
        <v>S210</v>
      </c>
      <c r="C1501" s="7" t="str">
        <f>IFERROR(__xludf.DUMMYFUNCTION("""COMPUTED_VALUE"""),"Enterprise Identity &amp; Access Management (IAM, Okta, Entra ID, Keycloak)")</f>
        <v>Enterprise Identity &amp; Access Management (IAM, Okta, Entra ID, Keycloak)</v>
      </c>
      <c r="D1501" s="7" t="str">
        <f>IFERROR(__xludf.DUMMYFUNCTION("""COMPUTED_VALUE"""),"S216")</f>
        <v>S216</v>
      </c>
      <c r="E1501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501" s="7" t="str">
        <f>IFERROR(__xludf.DUMMYFUNCTION("""COMPUTED_VALUE"""),"S210 unlocks S216")</f>
        <v>S210 unlocks S216</v>
      </c>
    </row>
    <row r="1502">
      <c r="A1502" s="7" t="str">
        <f>IFERROR(__xludf.DUMMYFUNCTION("""COMPUTED_VALUE"""),"PE1501")</f>
        <v>PE1501</v>
      </c>
      <c r="B1502" s="7" t="str">
        <f>IFERROR(__xludf.DUMMYFUNCTION("""COMPUTED_VALUE"""),"S210")</f>
        <v>S210</v>
      </c>
      <c r="C1502" s="7" t="str">
        <f>IFERROR(__xludf.DUMMYFUNCTION("""COMPUTED_VALUE"""),"Enterprise Identity &amp; Access Management (IAM, Okta, Entra ID, Keycloak)")</f>
        <v>Enterprise Identity &amp; Access Management (IAM, Okta, Entra ID, Keycloak)</v>
      </c>
      <c r="D1502" s="7" t="str">
        <f>IFERROR(__xludf.DUMMYFUNCTION("""COMPUTED_VALUE"""),"S220")</f>
        <v>S220</v>
      </c>
      <c r="E1502" s="7" t="str">
        <f>IFERROR(__xludf.DUMMYFUNCTION("""COMPUTED_VALUE"""),"Wireless, IoT &amp; Hardware Security Testing")</f>
        <v>Wireless, IoT &amp; Hardware Security Testing</v>
      </c>
      <c r="F1502" s="7" t="str">
        <f>IFERROR(__xludf.DUMMYFUNCTION("""COMPUTED_VALUE"""),"S210 unlocks S220")</f>
        <v>S210 unlocks S220</v>
      </c>
    </row>
    <row r="1503">
      <c r="A1503" s="7" t="str">
        <f>IFERROR(__xludf.DUMMYFUNCTION("""COMPUTED_VALUE"""),"PE1502")</f>
        <v>PE1502</v>
      </c>
      <c r="B1503" s="7" t="str">
        <f>IFERROR(__xludf.DUMMYFUNCTION("""COMPUTED_VALUE"""),"S214")</f>
        <v>S214</v>
      </c>
      <c r="C1503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3" s="7" t="str">
        <f>IFERROR(__xludf.DUMMYFUNCTION("""COMPUTED_VALUE"""),"S202")</f>
        <v>S202</v>
      </c>
      <c r="E1503" s="7" t="str">
        <f>IFERROR(__xludf.DUMMYFUNCTION("""COMPUTED_VALUE"""),"Network &amp; System Exploitation (Metasploit, Kali Linux)")</f>
        <v>Network &amp; System Exploitation (Metasploit, Kali Linux)</v>
      </c>
      <c r="F1503" s="7" t="str">
        <f>IFERROR(__xludf.DUMMYFUNCTION("""COMPUTED_VALUE"""),"S214 unlocks S202")</f>
        <v>S214 unlocks S202</v>
      </c>
    </row>
    <row r="1504">
      <c r="A1504" s="7" t="str">
        <f>IFERROR(__xludf.DUMMYFUNCTION("""COMPUTED_VALUE"""),"PE1503")</f>
        <v>PE1503</v>
      </c>
      <c r="B1504" s="7" t="str">
        <f>IFERROR(__xludf.DUMMYFUNCTION("""COMPUTED_VALUE"""),"S214")</f>
        <v>S214</v>
      </c>
      <c r="C1504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4" s="7" t="str">
        <f>IFERROR(__xludf.DUMMYFUNCTION("""COMPUTED_VALUE"""),"S207")</f>
        <v>S207</v>
      </c>
      <c r="E1504" s="7" t="str">
        <f>IFERROR(__xludf.DUMMYFUNCTION("""COMPUTED_VALUE"""),"Incident Response &amp; Digital Forensics (DFIR)")</f>
        <v>Incident Response &amp; Digital Forensics (DFIR)</v>
      </c>
      <c r="F1504" s="7" t="str">
        <f>IFERROR(__xludf.DUMMYFUNCTION("""COMPUTED_VALUE"""),"S214 unlocks S207")</f>
        <v>S214 unlocks S207</v>
      </c>
    </row>
    <row r="1505">
      <c r="A1505" s="7" t="str">
        <f>IFERROR(__xludf.DUMMYFUNCTION("""COMPUTED_VALUE"""),"PE1504")</f>
        <v>PE1504</v>
      </c>
      <c r="B1505" s="7" t="str">
        <f>IFERROR(__xludf.DUMMYFUNCTION("""COMPUTED_VALUE"""),"S214")</f>
        <v>S214</v>
      </c>
      <c r="C1505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5" s="7" t="str">
        <f>IFERROR(__xludf.DUMMYFUNCTION("""COMPUTED_VALUE"""),"S208")</f>
        <v>S208</v>
      </c>
      <c r="E1505" s="7" t="str">
        <f>IFERROR(__xludf.DUMMYFUNCTION("""COMPUTED_VALUE"""),"Malware Analysis &amp; Reverse Engineering (Ghidra, IDA Pro)")</f>
        <v>Malware Analysis &amp; Reverse Engineering (Ghidra, IDA Pro)</v>
      </c>
      <c r="F1505" s="7" t="str">
        <f>IFERROR(__xludf.DUMMYFUNCTION("""COMPUTED_VALUE"""),"S214 unlocks S208")</f>
        <v>S214 unlocks S208</v>
      </c>
    </row>
    <row r="1506">
      <c r="A1506" s="7" t="str">
        <f>IFERROR(__xludf.DUMMYFUNCTION("""COMPUTED_VALUE"""),"PE1505")</f>
        <v>PE1505</v>
      </c>
      <c r="B1506" s="7" t="str">
        <f>IFERROR(__xludf.DUMMYFUNCTION("""COMPUTED_VALUE"""),"S214")</f>
        <v>S214</v>
      </c>
      <c r="C1506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6" s="7" t="str">
        <f>IFERROR(__xludf.DUMMYFUNCTION("""COMPUTED_VALUE"""),"S211")</f>
        <v>S211</v>
      </c>
      <c r="E1506" s="7" t="str">
        <f>IFERROR(__xludf.DUMMYFUNCTION("""COMPUTED_VALUE"""),"Zero Trust Network Architecture")</f>
        <v>Zero Trust Network Architecture</v>
      </c>
      <c r="F1506" s="7" t="str">
        <f>IFERROR(__xludf.DUMMYFUNCTION("""COMPUTED_VALUE"""),"S214 unlocks S211")</f>
        <v>S214 unlocks S211</v>
      </c>
    </row>
    <row r="1507">
      <c r="A1507" s="7" t="str">
        <f>IFERROR(__xludf.DUMMYFUNCTION("""COMPUTED_VALUE"""),"PE1506")</f>
        <v>PE1506</v>
      </c>
      <c r="B1507" s="7" t="str">
        <f>IFERROR(__xludf.DUMMYFUNCTION("""COMPUTED_VALUE"""),"S214")</f>
        <v>S214</v>
      </c>
      <c r="C1507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7" s="7" t="str">
        <f>IFERROR(__xludf.DUMMYFUNCTION("""COMPUTED_VALUE"""),"S212")</f>
        <v>S212</v>
      </c>
      <c r="E1507" s="7" t="str">
        <f>IFERROR(__xludf.DUMMYFUNCTION("""COMPUTED_VALUE"""),"Cloud Security Posture Management (AWS/Azure Security, CSPM)")</f>
        <v>Cloud Security Posture Management (AWS/Azure Security, CSPM)</v>
      </c>
      <c r="F1507" s="7" t="str">
        <f>IFERROR(__xludf.DUMMYFUNCTION("""COMPUTED_VALUE"""),"S214 unlocks S212")</f>
        <v>S214 unlocks S212</v>
      </c>
    </row>
    <row r="1508">
      <c r="A1508" s="7" t="str">
        <f>IFERROR(__xludf.DUMMYFUNCTION("""COMPUTED_VALUE"""),"PE1507")</f>
        <v>PE1507</v>
      </c>
      <c r="B1508" s="7" t="str">
        <f>IFERROR(__xludf.DUMMYFUNCTION("""COMPUTED_VALUE"""),"S214")</f>
        <v>S214</v>
      </c>
      <c r="C1508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8" s="7" t="str">
        <f>IFERROR(__xludf.DUMMYFUNCTION("""COMPUTED_VALUE"""),"S213")</f>
        <v>S213</v>
      </c>
      <c r="E1508" s="7" t="str">
        <f>IFERROR(__xludf.DUMMYFUNCTION("""COMPUTED_VALUE"""),"Container &amp; Kubernetes Security (Trivy, Falco, RBAC)")</f>
        <v>Container &amp; Kubernetes Security (Trivy, Falco, RBAC)</v>
      </c>
      <c r="F1508" s="7" t="str">
        <f>IFERROR(__xludf.DUMMYFUNCTION("""COMPUTED_VALUE"""),"S214 unlocks S213")</f>
        <v>S214 unlocks S213</v>
      </c>
    </row>
    <row r="1509">
      <c r="A1509" s="7" t="str">
        <f>IFERROR(__xludf.DUMMYFUNCTION("""COMPUTED_VALUE"""),"PE1508")</f>
        <v>PE1508</v>
      </c>
      <c r="B1509" s="7" t="str">
        <f>IFERROR(__xludf.DUMMYFUNCTION("""COMPUTED_VALUE"""),"S214")</f>
        <v>S214</v>
      </c>
      <c r="C1509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09" s="7" t="str">
        <f>IFERROR(__xludf.DUMMYFUNCTION("""COMPUTED_VALUE"""),"S216")</f>
        <v>S216</v>
      </c>
      <c r="E1509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509" s="7" t="str">
        <f>IFERROR(__xludf.DUMMYFUNCTION("""COMPUTED_VALUE"""),"S214 unlocks S216")</f>
        <v>S214 unlocks S216</v>
      </c>
    </row>
    <row r="1510">
      <c r="A1510" s="7" t="str">
        <f>IFERROR(__xludf.DUMMYFUNCTION("""COMPUTED_VALUE"""),"PE1509")</f>
        <v>PE1509</v>
      </c>
      <c r="B1510" s="7" t="str">
        <f>IFERROR(__xludf.DUMMYFUNCTION("""COMPUTED_VALUE"""),"S214")</f>
        <v>S214</v>
      </c>
      <c r="C1510" s="7" t="str">
        <f>IFERROR(__xludf.DUMMYFUNCTION("""COMPUTED_VALUE"""),"DevSecOps &amp; Automated Security Scanning (SAST, DAST, SCA: SonarQube, Snyk)")</f>
        <v>DevSecOps &amp; Automated Security Scanning (SAST, DAST, SCA: SonarQube, Snyk)</v>
      </c>
      <c r="D1510" s="7" t="str">
        <f>IFERROR(__xludf.DUMMYFUNCTION("""COMPUTED_VALUE"""),"S220")</f>
        <v>S220</v>
      </c>
      <c r="E1510" s="7" t="str">
        <f>IFERROR(__xludf.DUMMYFUNCTION("""COMPUTED_VALUE"""),"Wireless, IoT &amp; Hardware Security Testing")</f>
        <v>Wireless, IoT &amp; Hardware Security Testing</v>
      </c>
      <c r="F1510" s="7" t="str">
        <f>IFERROR(__xludf.DUMMYFUNCTION("""COMPUTED_VALUE"""),"S214 unlocks S220")</f>
        <v>S214 unlocks S220</v>
      </c>
    </row>
    <row r="1511">
      <c r="A1511" s="7" t="str">
        <f>IFERROR(__xludf.DUMMYFUNCTION("""COMPUTED_VALUE"""),"PE1510")</f>
        <v>PE1510</v>
      </c>
      <c r="B1511" s="7" t="str">
        <f>IFERROR(__xludf.DUMMYFUNCTION("""COMPUTED_VALUE"""),"S215")</f>
        <v>S215</v>
      </c>
      <c r="C1511" s="7" t="str">
        <f>IFERROR(__xludf.DUMMYFUNCTION("""COMPUTED_VALUE"""),"Secrets Management (HashiCorp Vault, AWS Secrets Manager)")</f>
        <v>Secrets Management (HashiCorp Vault, AWS Secrets Manager)</v>
      </c>
      <c r="D1511" s="7" t="str">
        <f>IFERROR(__xludf.DUMMYFUNCTION("""COMPUTED_VALUE"""),"S202")</f>
        <v>S202</v>
      </c>
      <c r="E1511" s="7" t="str">
        <f>IFERROR(__xludf.DUMMYFUNCTION("""COMPUTED_VALUE"""),"Network &amp; System Exploitation (Metasploit, Kali Linux)")</f>
        <v>Network &amp; System Exploitation (Metasploit, Kali Linux)</v>
      </c>
      <c r="F1511" s="7" t="str">
        <f>IFERROR(__xludf.DUMMYFUNCTION("""COMPUTED_VALUE"""),"S215 unlocks S202")</f>
        <v>S215 unlocks S202</v>
      </c>
    </row>
    <row r="1512">
      <c r="A1512" s="7" t="str">
        <f>IFERROR(__xludf.DUMMYFUNCTION("""COMPUTED_VALUE"""),"PE1511")</f>
        <v>PE1511</v>
      </c>
      <c r="B1512" s="7" t="str">
        <f>IFERROR(__xludf.DUMMYFUNCTION("""COMPUTED_VALUE"""),"S215")</f>
        <v>S215</v>
      </c>
      <c r="C1512" s="7" t="str">
        <f>IFERROR(__xludf.DUMMYFUNCTION("""COMPUTED_VALUE"""),"Secrets Management (HashiCorp Vault, AWS Secrets Manager)")</f>
        <v>Secrets Management (HashiCorp Vault, AWS Secrets Manager)</v>
      </c>
      <c r="D1512" s="7" t="str">
        <f>IFERROR(__xludf.DUMMYFUNCTION("""COMPUTED_VALUE"""),"S207")</f>
        <v>S207</v>
      </c>
      <c r="E1512" s="7" t="str">
        <f>IFERROR(__xludf.DUMMYFUNCTION("""COMPUTED_VALUE"""),"Incident Response &amp; Digital Forensics (DFIR)")</f>
        <v>Incident Response &amp; Digital Forensics (DFIR)</v>
      </c>
      <c r="F1512" s="7" t="str">
        <f>IFERROR(__xludf.DUMMYFUNCTION("""COMPUTED_VALUE"""),"S215 unlocks S207")</f>
        <v>S215 unlocks S207</v>
      </c>
    </row>
    <row r="1513">
      <c r="A1513" s="7" t="str">
        <f>IFERROR(__xludf.DUMMYFUNCTION("""COMPUTED_VALUE"""),"PE1512")</f>
        <v>PE1512</v>
      </c>
      <c r="B1513" s="7" t="str">
        <f>IFERROR(__xludf.DUMMYFUNCTION("""COMPUTED_VALUE"""),"S215")</f>
        <v>S215</v>
      </c>
      <c r="C1513" s="7" t="str">
        <f>IFERROR(__xludf.DUMMYFUNCTION("""COMPUTED_VALUE"""),"Secrets Management (HashiCorp Vault, AWS Secrets Manager)")</f>
        <v>Secrets Management (HashiCorp Vault, AWS Secrets Manager)</v>
      </c>
      <c r="D1513" s="7" t="str">
        <f>IFERROR(__xludf.DUMMYFUNCTION("""COMPUTED_VALUE"""),"S208")</f>
        <v>S208</v>
      </c>
      <c r="E1513" s="7" t="str">
        <f>IFERROR(__xludf.DUMMYFUNCTION("""COMPUTED_VALUE"""),"Malware Analysis &amp; Reverse Engineering (Ghidra, IDA Pro)")</f>
        <v>Malware Analysis &amp; Reverse Engineering (Ghidra, IDA Pro)</v>
      </c>
      <c r="F1513" s="7" t="str">
        <f>IFERROR(__xludf.DUMMYFUNCTION("""COMPUTED_VALUE"""),"S215 unlocks S208")</f>
        <v>S215 unlocks S208</v>
      </c>
    </row>
    <row r="1514">
      <c r="A1514" s="7" t="str">
        <f>IFERROR(__xludf.DUMMYFUNCTION("""COMPUTED_VALUE"""),"PE1513")</f>
        <v>PE1513</v>
      </c>
      <c r="B1514" s="7" t="str">
        <f>IFERROR(__xludf.DUMMYFUNCTION("""COMPUTED_VALUE"""),"S215")</f>
        <v>S215</v>
      </c>
      <c r="C1514" s="7" t="str">
        <f>IFERROR(__xludf.DUMMYFUNCTION("""COMPUTED_VALUE"""),"Secrets Management (HashiCorp Vault, AWS Secrets Manager)")</f>
        <v>Secrets Management (HashiCorp Vault, AWS Secrets Manager)</v>
      </c>
      <c r="D1514" s="7" t="str">
        <f>IFERROR(__xludf.DUMMYFUNCTION("""COMPUTED_VALUE"""),"S211")</f>
        <v>S211</v>
      </c>
      <c r="E1514" s="7" t="str">
        <f>IFERROR(__xludf.DUMMYFUNCTION("""COMPUTED_VALUE"""),"Zero Trust Network Architecture")</f>
        <v>Zero Trust Network Architecture</v>
      </c>
      <c r="F1514" s="7" t="str">
        <f>IFERROR(__xludf.DUMMYFUNCTION("""COMPUTED_VALUE"""),"S215 unlocks S211")</f>
        <v>S215 unlocks S211</v>
      </c>
    </row>
    <row r="1515">
      <c r="A1515" s="7" t="str">
        <f>IFERROR(__xludf.DUMMYFUNCTION("""COMPUTED_VALUE"""),"PE1514")</f>
        <v>PE1514</v>
      </c>
      <c r="B1515" s="7" t="str">
        <f>IFERROR(__xludf.DUMMYFUNCTION("""COMPUTED_VALUE"""),"S215")</f>
        <v>S215</v>
      </c>
      <c r="C1515" s="7" t="str">
        <f>IFERROR(__xludf.DUMMYFUNCTION("""COMPUTED_VALUE"""),"Secrets Management (HashiCorp Vault, AWS Secrets Manager)")</f>
        <v>Secrets Management (HashiCorp Vault, AWS Secrets Manager)</v>
      </c>
      <c r="D1515" s="7" t="str">
        <f>IFERROR(__xludf.DUMMYFUNCTION("""COMPUTED_VALUE"""),"S212")</f>
        <v>S212</v>
      </c>
      <c r="E1515" s="7" t="str">
        <f>IFERROR(__xludf.DUMMYFUNCTION("""COMPUTED_VALUE"""),"Cloud Security Posture Management (AWS/Azure Security, CSPM)")</f>
        <v>Cloud Security Posture Management (AWS/Azure Security, CSPM)</v>
      </c>
      <c r="F1515" s="7" t="str">
        <f>IFERROR(__xludf.DUMMYFUNCTION("""COMPUTED_VALUE"""),"S215 unlocks S212")</f>
        <v>S215 unlocks S212</v>
      </c>
    </row>
    <row r="1516">
      <c r="A1516" s="7" t="str">
        <f>IFERROR(__xludf.DUMMYFUNCTION("""COMPUTED_VALUE"""),"PE1515")</f>
        <v>PE1515</v>
      </c>
      <c r="B1516" s="7" t="str">
        <f>IFERROR(__xludf.DUMMYFUNCTION("""COMPUTED_VALUE"""),"S215")</f>
        <v>S215</v>
      </c>
      <c r="C1516" s="7" t="str">
        <f>IFERROR(__xludf.DUMMYFUNCTION("""COMPUTED_VALUE"""),"Secrets Management (HashiCorp Vault, AWS Secrets Manager)")</f>
        <v>Secrets Management (HashiCorp Vault, AWS Secrets Manager)</v>
      </c>
      <c r="D1516" s="7" t="str">
        <f>IFERROR(__xludf.DUMMYFUNCTION("""COMPUTED_VALUE"""),"S213")</f>
        <v>S213</v>
      </c>
      <c r="E1516" s="7" t="str">
        <f>IFERROR(__xludf.DUMMYFUNCTION("""COMPUTED_VALUE"""),"Container &amp; Kubernetes Security (Trivy, Falco, RBAC)")</f>
        <v>Container &amp; Kubernetes Security (Trivy, Falco, RBAC)</v>
      </c>
      <c r="F1516" s="7" t="str">
        <f>IFERROR(__xludf.DUMMYFUNCTION("""COMPUTED_VALUE"""),"S215 unlocks S213")</f>
        <v>S215 unlocks S213</v>
      </c>
    </row>
    <row r="1517">
      <c r="A1517" s="7" t="str">
        <f>IFERROR(__xludf.DUMMYFUNCTION("""COMPUTED_VALUE"""),"PE1516")</f>
        <v>PE1516</v>
      </c>
      <c r="B1517" s="7" t="str">
        <f>IFERROR(__xludf.DUMMYFUNCTION("""COMPUTED_VALUE"""),"S215")</f>
        <v>S215</v>
      </c>
      <c r="C1517" s="7" t="str">
        <f>IFERROR(__xludf.DUMMYFUNCTION("""COMPUTED_VALUE"""),"Secrets Management (HashiCorp Vault, AWS Secrets Manager)")</f>
        <v>Secrets Management (HashiCorp Vault, AWS Secrets Manager)</v>
      </c>
      <c r="D1517" s="7" t="str">
        <f>IFERROR(__xludf.DUMMYFUNCTION("""COMPUTED_VALUE"""),"S216")</f>
        <v>S216</v>
      </c>
      <c r="E1517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517" s="7" t="str">
        <f>IFERROR(__xludf.DUMMYFUNCTION("""COMPUTED_VALUE"""),"S215 unlocks S216")</f>
        <v>S215 unlocks S216</v>
      </c>
    </row>
    <row r="1518">
      <c r="A1518" s="7" t="str">
        <f>IFERROR(__xludf.DUMMYFUNCTION("""COMPUTED_VALUE"""),"PE1517")</f>
        <v>PE1517</v>
      </c>
      <c r="B1518" s="7" t="str">
        <f>IFERROR(__xludf.DUMMYFUNCTION("""COMPUTED_VALUE"""),"S215")</f>
        <v>S215</v>
      </c>
      <c r="C1518" s="7" t="str">
        <f>IFERROR(__xludf.DUMMYFUNCTION("""COMPUTED_VALUE"""),"Secrets Management (HashiCorp Vault, AWS Secrets Manager)")</f>
        <v>Secrets Management (HashiCorp Vault, AWS Secrets Manager)</v>
      </c>
      <c r="D1518" s="7" t="str">
        <f>IFERROR(__xludf.DUMMYFUNCTION("""COMPUTED_VALUE"""),"S220")</f>
        <v>S220</v>
      </c>
      <c r="E1518" s="7" t="str">
        <f>IFERROR(__xludf.DUMMYFUNCTION("""COMPUTED_VALUE"""),"Wireless, IoT &amp; Hardware Security Testing")</f>
        <v>Wireless, IoT &amp; Hardware Security Testing</v>
      </c>
      <c r="F1518" s="7" t="str">
        <f>IFERROR(__xludf.DUMMYFUNCTION("""COMPUTED_VALUE"""),"S215 unlocks S220")</f>
        <v>S215 unlocks S220</v>
      </c>
    </row>
    <row r="1519">
      <c r="A1519" s="7" t="str">
        <f>IFERROR(__xludf.DUMMYFUNCTION("""COMPUTED_VALUE"""),"PE1518")</f>
        <v>PE1518</v>
      </c>
      <c r="B1519" s="7" t="str">
        <f>IFERROR(__xludf.DUMMYFUNCTION("""COMPUTED_VALUE"""),"S217")</f>
        <v>S217</v>
      </c>
      <c r="C1519" s="7" t="str">
        <f>IFERROR(__xludf.DUMMYFUNCTION("""COMPUTED_VALUE"""),"Governance, Risk &amp; Compliance (ISO 27001, SOC 2, NIST, GDPR)")</f>
        <v>Governance, Risk &amp; Compliance (ISO 27001, SOC 2, NIST, GDPR)</v>
      </c>
      <c r="D1519" s="7" t="str">
        <f>IFERROR(__xludf.DUMMYFUNCTION("""COMPUTED_VALUE"""),"S202")</f>
        <v>S202</v>
      </c>
      <c r="E1519" s="7" t="str">
        <f>IFERROR(__xludf.DUMMYFUNCTION("""COMPUTED_VALUE"""),"Network &amp; System Exploitation (Metasploit, Kali Linux)")</f>
        <v>Network &amp; System Exploitation (Metasploit, Kali Linux)</v>
      </c>
      <c r="F1519" s="7" t="str">
        <f>IFERROR(__xludf.DUMMYFUNCTION("""COMPUTED_VALUE"""),"S217 unlocks S202")</f>
        <v>S217 unlocks S202</v>
      </c>
    </row>
    <row r="1520">
      <c r="A1520" s="7" t="str">
        <f>IFERROR(__xludf.DUMMYFUNCTION("""COMPUTED_VALUE"""),"PE1519")</f>
        <v>PE1519</v>
      </c>
      <c r="B1520" s="7" t="str">
        <f>IFERROR(__xludf.DUMMYFUNCTION("""COMPUTED_VALUE"""),"S217")</f>
        <v>S217</v>
      </c>
      <c r="C1520" s="7" t="str">
        <f>IFERROR(__xludf.DUMMYFUNCTION("""COMPUTED_VALUE"""),"Governance, Risk &amp; Compliance (ISO 27001, SOC 2, NIST, GDPR)")</f>
        <v>Governance, Risk &amp; Compliance (ISO 27001, SOC 2, NIST, GDPR)</v>
      </c>
      <c r="D1520" s="7" t="str">
        <f>IFERROR(__xludf.DUMMYFUNCTION("""COMPUTED_VALUE"""),"S207")</f>
        <v>S207</v>
      </c>
      <c r="E1520" s="7" t="str">
        <f>IFERROR(__xludf.DUMMYFUNCTION("""COMPUTED_VALUE"""),"Incident Response &amp; Digital Forensics (DFIR)")</f>
        <v>Incident Response &amp; Digital Forensics (DFIR)</v>
      </c>
      <c r="F1520" s="7" t="str">
        <f>IFERROR(__xludf.DUMMYFUNCTION("""COMPUTED_VALUE"""),"S217 unlocks S207")</f>
        <v>S217 unlocks S207</v>
      </c>
    </row>
    <row r="1521">
      <c r="A1521" s="7" t="str">
        <f>IFERROR(__xludf.DUMMYFUNCTION("""COMPUTED_VALUE"""),"PE1520")</f>
        <v>PE1520</v>
      </c>
      <c r="B1521" s="7" t="str">
        <f>IFERROR(__xludf.DUMMYFUNCTION("""COMPUTED_VALUE"""),"S217")</f>
        <v>S217</v>
      </c>
      <c r="C1521" s="7" t="str">
        <f>IFERROR(__xludf.DUMMYFUNCTION("""COMPUTED_VALUE"""),"Governance, Risk &amp; Compliance (ISO 27001, SOC 2, NIST, GDPR)")</f>
        <v>Governance, Risk &amp; Compliance (ISO 27001, SOC 2, NIST, GDPR)</v>
      </c>
      <c r="D1521" s="7" t="str">
        <f>IFERROR(__xludf.DUMMYFUNCTION("""COMPUTED_VALUE"""),"S208")</f>
        <v>S208</v>
      </c>
      <c r="E1521" s="7" t="str">
        <f>IFERROR(__xludf.DUMMYFUNCTION("""COMPUTED_VALUE"""),"Malware Analysis &amp; Reverse Engineering (Ghidra, IDA Pro)")</f>
        <v>Malware Analysis &amp; Reverse Engineering (Ghidra, IDA Pro)</v>
      </c>
      <c r="F1521" s="7" t="str">
        <f>IFERROR(__xludf.DUMMYFUNCTION("""COMPUTED_VALUE"""),"S217 unlocks S208")</f>
        <v>S217 unlocks S208</v>
      </c>
    </row>
    <row r="1522">
      <c r="A1522" s="7" t="str">
        <f>IFERROR(__xludf.DUMMYFUNCTION("""COMPUTED_VALUE"""),"PE1521")</f>
        <v>PE1521</v>
      </c>
      <c r="B1522" s="7" t="str">
        <f>IFERROR(__xludf.DUMMYFUNCTION("""COMPUTED_VALUE"""),"S217")</f>
        <v>S217</v>
      </c>
      <c r="C1522" s="7" t="str">
        <f>IFERROR(__xludf.DUMMYFUNCTION("""COMPUTED_VALUE"""),"Governance, Risk &amp; Compliance (ISO 27001, SOC 2, NIST, GDPR)")</f>
        <v>Governance, Risk &amp; Compliance (ISO 27001, SOC 2, NIST, GDPR)</v>
      </c>
      <c r="D1522" s="7" t="str">
        <f>IFERROR(__xludf.DUMMYFUNCTION("""COMPUTED_VALUE"""),"S211")</f>
        <v>S211</v>
      </c>
      <c r="E1522" s="7" t="str">
        <f>IFERROR(__xludf.DUMMYFUNCTION("""COMPUTED_VALUE"""),"Zero Trust Network Architecture")</f>
        <v>Zero Trust Network Architecture</v>
      </c>
      <c r="F1522" s="7" t="str">
        <f>IFERROR(__xludf.DUMMYFUNCTION("""COMPUTED_VALUE"""),"S217 unlocks S211")</f>
        <v>S217 unlocks S211</v>
      </c>
    </row>
    <row r="1523">
      <c r="A1523" s="7" t="str">
        <f>IFERROR(__xludf.DUMMYFUNCTION("""COMPUTED_VALUE"""),"PE1522")</f>
        <v>PE1522</v>
      </c>
      <c r="B1523" s="7" t="str">
        <f>IFERROR(__xludf.DUMMYFUNCTION("""COMPUTED_VALUE"""),"S217")</f>
        <v>S217</v>
      </c>
      <c r="C1523" s="7" t="str">
        <f>IFERROR(__xludf.DUMMYFUNCTION("""COMPUTED_VALUE"""),"Governance, Risk &amp; Compliance (ISO 27001, SOC 2, NIST, GDPR)")</f>
        <v>Governance, Risk &amp; Compliance (ISO 27001, SOC 2, NIST, GDPR)</v>
      </c>
      <c r="D1523" s="7" t="str">
        <f>IFERROR(__xludf.DUMMYFUNCTION("""COMPUTED_VALUE"""),"S212")</f>
        <v>S212</v>
      </c>
      <c r="E1523" s="7" t="str">
        <f>IFERROR(__xludf.DUMMYFUNCTION("""COMPUTED_VALUE"""),"Cloud Security Posture Management (AWS/Azure Security, CSPM)")</f>
        <v>Cloud Security Posture Management (AWS/Azure Security, CSPM)</v>
      </c>
      <c r="F1523" s="7" t="str">
        <f>IFERROR(__xludf.DUMMYFUNCTION("""COMPUTED_VALUE"""),"S217 unlocks S212")</f>
        <v>S217 unlocks S212</v>
      </c>
    </row>
    <row r="1524">
      <c r="A1524" s="7" t="str">
        <f>IFERROR(__xludf.DUMMYFUNCTION("""COMPUTED_VALUE"""),"PE1523")</f>
        <v>PE1523</v>
      </c>
      <c r="B1524" s="7" t="str">
        <f>IFERROR(__xludf.DUMMYFUNCTION("""COMPUTED_VALUE"""),"S217")</f>
        <v>S217</v>
      </c>
      <c r="C1524" s="7" t="str">
        <f>IFERROR(__xludf.DUMMYFUNCTION("""COMPUTED_VALUE"""),"Governance, Risk &amp; Compliance (ISO 27001, SOC 2, NIST, GDPR)")</f>
        <v>Governance, Risk &amp; Compliance (ISO 27001, SOC 2, NIST, GDPR)</v>
      </c>
      <c r="D1524" s="7" t="str">
        <f>IFERROR(__xludf.DUMMYFUNCTION("""COMPUTED_VALUE"""),"S213")</f>
        <v>S213</v>
      </c>
      <c r="E1524" s="7" t="str">
        <f>IFERROR(__xludf.DUMMYFUNCTION("""COMPUTED_VALUE"""),"Container &amp; Kubernetes Security (Trivy, Falco, RBAC)")</f>
        <v>Container &amp; Kubernetes Security (Trivy, Falco, RBAC)</v>
      </c>
      <c r="F1524" s="7" t="str">
        <f>IFERROR(__xludf.DUMMYFUNCTION("""COMPUTED_VALUE"""),"S217 unlocks S213")</f>
        <v>S217 unlocks S213</v>
      </c>
    </row>
    <row r="1525">
      <c r="A1525" s="7" t="str">
        <f>IFERROR(__xludf.DUMMYFUNCTION("""COMPUTED_VALUE"""),"PE1524")</f>
        <v>PE1524</v>
      </c>
      <c r="B1525" s="7" t="str">
        <f>IFERROR(__xludf.DUMMYFUNCTION("""COMPUTED_VALUE"""),"S217")</f>
        <v>S217</v>
      </c>
      <c r="C1525" s="7" t="str">
        <f>IFERROR(__xludf.DUMMYFUNCTION("""COMPUTED_VALUE"""),"Governance, Risk &amp; Compliance (ISO 27001, SOC 2, NIST, GDPR)")</f>
        <v>Governance, Risk &amp; Compliance (ISO 27001, SOC 2, NIST, GDPR)</v>
      </c>
      <c r="D1525" s="7" t="str">
        <f>IFERROR(__xludf.DUMMYFUNCTION("""COMPUTED_VALUE"""),"S216")</f>
        <v>S216</v>
      </c>
      <c r="E1525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525" s="7" t="str">
        <f>IFERROR(__xludf.DUMMYFUNCTION("""COMPUTED_VALUE"""),"S217 unlocks S216")</f>
        <v>S217 unlocks S216</v>
      </c>
    </row>
    <row r="1526">
      <c r="A1526" s="7" t="str">
        <f>IFERROR(__xludf.DUMMYFUNCTION("""COMPUTED_VALUE"""),"PE1525")</f>
        <v>PE1525</v>
      </c>
      <c r="B1526" s="7" t="str">
        <f>IFERROR(__xludf.DUMMYFUNCTION("""COMPUTED_VALUE"""),"S217")</f>
        <v>S217</v>
      </c>
      <c r="C1526" s="7" t="str">
        <f>IFERROR(__xludf.DUMMYFUNCTION("""COMPUTED_VALUE"""),"Governance, Risk &amp; Compliance (ISO 27001, SOC 2, NIST, GDPR)")</f>
        <v>Governance, Risk &amp; Compliance (ISO 27001, SOC 2, NIST, GDPR)</v>
      </c>
      <c r="D1526" s="7" t="str">
        <f>IFERROR(__xludf.DUMMYFUNCTION("""COMPUTED_VALUE"""),"S220")</f>
        <v>S220</v>
      </c>
      <c r="E1526" s="7" t="str">
        <f>IFERROR(__xludf.DUMMYFUNCTION("""COMPUTED_VALUE"""),"Wireless, IoT &amp; Hardware Security Testing")</f>
        <v>Wireless, IoT &amp; Hardware Security Testing</v>
      </c>
      <c r="F1526" s="7" t="str">
        <f>IFERROR(__xludf.DUMMYFUNCTION("""COMPUTED_VALUE"""),"S217 unlocks S220")</f>
        <v>S217 unlocks S220</v>
      </c>
    </row>
    <row r="1527">
      <c r="A1527" s="7" t="str">
        <f>IFERROR(__xludf.DUMMYFUNCTION("""COMPUTED_VALUE"""),"PE1526")</f>
        <v>PE1526</v>
      </c>
      <c r="B1527" s="7" t="str">
        <f>IFERROR(__xludf.DUMMYFUNCTION("""COMPUTED_VALUE"""),"S218")</f>
        <v>S218</v>
      </c>
      <c r="C1527" s="7" t="str">
        <f>IFERROR(__xludf.DUMMYFUNCTION("""COMPUTED_VALUE"""),"Security Auditing &amp; IT Risk Assessment")</f>
        <v>Security Auditing &amp; IT Risk Assessment</v>
      </c>
      <c r="D1527" s="7" t="str">
        <f>IFERROR(__xludf.DUMMYFUNCTION("""COMPUTED_VALUE"""),"S202")</f>
        <v>S202</v>
      </c>
      <c r="E1527" s="7" t="str">
        <f>IFERROR(__xludf.DUMMYFUNCTION("""COMPUTED_VALUE"""),"Network &amp; System Exploitation (Metasploit, Kali Linux)")</f>
        <v>Network &amp; System Exploitation (Metasploit, Kali Linux)</v>
      </c>
      <c r="F1527" s="7" t="str">
        <f>IFERROR(__xludf.DUMMYFUNCTION("""COMPUTED_VALUE"""),"S218 unlocks S202")</f>
        <v>S218 unlocks S202</v>
      </c>
    </row>
    <row r="1528">
      <c r="A1528" s="7" t="str">
        <f>IFERROR(__xludf.DUMMYFUNCTION("""COMPUTED_VALUE"""),"PE1527")</f>
        <v>PE1527</v>
      </c>
      <c r="B1528" s="7" t="str">
        <f>IFERROR(__xludf.DUMMYFUNCTION("""COMPUTED_VALUE"""),"S218")</f>
        <v>S218</v>
      </c>
      <c r="C1528" s="7" t="str">
        <f>IFERROR(__xludf.DUMMYFUNCTION("""COMPUTED_VALUE"""),"Security Auditing &amp; IT Risk Assessment")</f>
        <v>Security Auditing &amp; IT Risk Assessment</v>
      </c>
      <c r="D1528" s="7" t="str">
        <f>IFERROR(__xludf.DUMMYFUNCTION("""COMPUTED_VALUE"""),"S207")</f>
        <v>S207</v>
      </c>
      <c r="E1528" s="7" t="str">
        <f>IFERROR(__xludf.DUMMYFUNCTION("""COMPUTED_VALUE"""),"Incident Response &amp; Digital Forensics (DFIR)")</f>
        <v>Incident Response &amp; Digital Forensics (DFIR)</v>
      </c>
      <c r="F1528" s="7" t="str">
        <f>IFERROR(__xludf.DUMMYFUNCTION("""COMPUTED_VALUE"""),"S218 unlocks S207")</f>
        <v>S218 unlocks S207</v>
      </c>
    </row>
    <row r="1529">
      <c r="A1529" s="7" t="str">
        <f>IFERROR(__xludf.DUMMYFUNCTION("""COMPUTED_VALUE"""),"PE1528")</f>
        <v>PE1528</v>
      </c>
      <c r="B1529" s="7" t="str">
        <f>IFERROR(__xludf.DUMMYFUNCTION("""COMPUTED_VALUE"""),"S218")</f>
        <v>S218</v>
      </c>
      <c r="C1529" s="7" t="str">
        <f>IFERROR(__xludf.DUMMYFUNCTION("""COMPUTED_VALUE"""),"Security Auditing &amp; IT Risk Assessment")</f>
        <v>Security Auditing &amp; IT Risk Assessment</v>
      </c>
      <c r="D1529" s="7" t="str">
        <f>IFERROR(__xludf.DUMMYFUNCTION("""COMPUTED_VALUE"""),"S208")</f>
        <v>S208</v>
      </c>
      <c r="E1529" s="7" t="str">
        <f>IFERROR(__xludf.DUMMYFUNCTION("""COMPUTED_VALUE"""),"Malware Analysis &amp; Reverse Engineering (Ghidra, IDA Pro)")</f>
        <v>Malware Analysis &amp; Reverse Engineering (Ghidra, IDA Pro)</v>
      </c>
      <c r="F1529" s="7" t="str">
        <f>IFERROR(__xludf.DUMMYFUNCTION("""COMPUTED_VALUE"""),"S218 unlocks S208")</f>
        <v>S218 unlocks S208</v>
      </c>
    </row>
    <row r="1530">
      <c r="A1530" s="7" t="str">
        <f>IFERROR(__xludf.DUMMYFUNCTION("""COMPUTED_VALUE"""),"PE1529")</f>
        <v>PE1529</v>
      </c>
      <c r="B1530" s="7" t="str">
        <f>IFERROR(__xludf.DUMMYFUNCTION("""COMPUTED_VALUE"""),"S218")</f>
        <v>S218</v>
      </c>
      <c r="C1530" s="7" t="str">
        <f>IFERROR(__xludf.DUMMYFUNCTION("""COMPUTED_VALUE"""),"Security Auditing &amp; IT Risk Assessment")</f>
        <v>Security Auditing &amp; IT Risk Assessment</v>
      </c>
      <c r="D1530" s="7" t="str">
        <f>IFERROR(__xludf.DUMMYFUNCTION("""COMPUTED_VALUE"""),"S211")</f>
        <v>S211</v>
      </c>
      <c r="E1530" s="7" t="str">
        <f>IFERROR(__xludf.DUMMYFUNCTION("""COMPUTED_VALUE"""),"Zero Trust Network Architecture")</f>
        <v>Zero Trust Network Architecture</v>
      </c>
      <c r="F1530" s="7" t="str">
        <f>IFERROR(__xludf.DUMMYFUNCTION("""COMPUTED_VALUE"""),"S218 unlocks S211")</f>
        <v>S218 unlocks S211</v>
      </c>
    </row>
    <row r="1531">
      <c r="A1531" s="7" t="str">
        <f>IFERROR(__xludf.DUMMYFUNCTION("""COMPUTED_VALUE"""),"PE1530")</f>
        <v>PE1530</v>
      </c>
      <c r="B1531" s="7" t="str">
        <f>IFERROR(__xludf.DUMMYFUNCTION("""COMPUTED_VALUE"""),"S218")</f>
        <v>S218</v>
      </c>
      <c r="C1531" s="7" t="str">
        <f>IFERROR(__xludf.DUMMYFUNCTION("""COMPUTED_VALUE"""),"Security Auditing &amp; IT Risk Assessment")</f>
        <v>Security Auditing &amp; IT Risk Assessment</v>
      </c>
      <c r="D1531" s="7" t="str">
        <f>IFERROR(__xludf.DUMMYFUNCTION("""COMPUTED_VALUE"""),"S212")</f>
        <v>S212</v>
      </c>
      <c r="E1531" s="7" t="str">
        <f>IFERROR(__xludf.DUMMYFUNCTION("""COMPUTED_VALUE"""),"Cloud Security Posture Management (AWS/Azure Security, CSPM)")</f>
        <v>Cloud Security Posture Management (AWS/Azure Security, CSPM)</v>
      </c>
      <c r="F1531" s="7" t="str">
        <f>IFERROR(__xludf.DUMMYFUNCTION("""COMPUTED_VALUE"""),"S218 unlocks S212")</f>
        <v>S218 unlocks S212</v>
      </c>
    </row>
    <row r="1532">
      <c r="A1532" s="7" t="str">
        <f>IFERROR(__xludf.DUMMYFUNCTION("""COMPUTED_VALUE"""),"PE1531")</f>
        <v>PE1531</v>
      </c>
      <c r="B1532" s="7" t="str">
        <f>IFERROR(__xludf.DUMMYFUNCTION("""COMPUTED_VALUE"""),"S218")</f>
        <v>S218</v>
      </c>
      <c r="C1532" s="7" t="str">
        <f>IFERROR(__xludf.DUMMYFUNCTION("""COMPUTED_VALUE"""),"Security Auditing &amp; IT Risk Assessment")</f>
        <v>Security Auditing &amp; IT Risk Assessment</v>
      </c>
      <c r="D1532" s="7" t="str">
        <f>IFERROR(__xludf.DUMMYFUNCTION("""COMPUTED_VALUE"""),"S213")</f>
        <v>S213</v>
      </c>
      <c r="E1532" s="7" t="str">
        <f>IFERROR(__xludf.DUMMYFUNCTION("""COMPUTED_VALUE"""),"Container &amp; Kubernetes Security (Trivy, Falco, RBAC)")</f>
        <v>Container &amp; Kubernetes Security (Trivy, Falco, RBAC)</v>
      </c>
      <c r="F1532" s="7" t="str">
        <f>IFERROR(__xludf.DUMMYFUNCTION("""COMPUTED_VALUE"""),"S218 unlocks S213")</f>
        <v>S218 unlocks S213</v>
      </c>
    </row>
    <row r="1533">
      <c r="A1533" s="7" t="str">
        <f>IFERROR(__xludf.DUMMYFUNCTION("""COMPUTED_VALUE"""),"PE1532")</f>
        <v>PE1532</v>
      </c>
      <c r="B1533" s="7" t="str">
        <f>IFERROR(__xludf.DUMMYFUNCTION("""COMPUTED_VALUE"""),"S218")</f>
        <v>S218</v>
      </c>
      <c r="C1533" s="7" t="str">
        <f>IFERROR(__xludf.DUMMYFUNCTION("""COMPUTED_VALUE"""),"Security Auditing &amp; IT Risk Assessment")</f>
        <v>Security Auditing &amp; IT Risk Assessment</v>
      </c>
      <c r="D1533" s="7" t="str">
        <f>IFERROR(__xludf.DUMMYFUNCTION("""COMPUTED_VALUE"""),"S216")</f>
        <v>S216</v>
      </c>
      <c r="E1533" s="7" t="str">
        <f>IFERROR(__xludf.DUMMYFUNCTION("""COMPUTED_VALUE"""),"Threat Modeling &amp; Security Architecture Review (STRIDE, MITRE ATT&amp;CK)")</f>
        <v>Threat Modeling &amp; Security Architecture Review (STRIDE, MITRE ATT&amp;CK)</v>
      </c>
      <c r="F1533" s="7" t="str">
        <f>IFERROR(__xludf.DUMMYFUNCTION("""COMPUTED_VALUE"""),"S218 unlocks S216")</f>
        <v>S218 unlocks S216</v>
      </c>
    </row>
    <row r="1534">
      <c r="A1534" s="7" t="str">
        <f>IFERROR(__xludf.DUMMYFUNCTION("""COMPUTED_VALUE"""),"PE1533")</f>
        <v>PE1533</v>
      </c>
      <c r="B1534" s="7" t="str">
        <f>IFERROR(__xludf.DUMMYFUNCTION("""COMPUTED_VALUE"""),"S218")</f>
        <v>S218</v>
      </c>
      <c r="C1534" s="7" t="str">
        <f>IFERROR(__xludf.DUMMYFUNCTION("""COMPUTED_VALUE"""),"Security Auditing &amp; IT Risk Assessment")</f>
        <v>Security Auditing &amp; IT Risk Assessment</v>
      </c>
      <c r="D1534" s="7" t="str">
        <f>IFERROR(__xludf.DUMMYFUNCTION("""COMPUTED_VALUE"""),"S220")</f>
        <v>S220</v>
      </c>
      <c r="E1534" s="7" t="str">
        <f>IFERROR(__xludf.DUMMYFUNCTION("""COMPUTED_VALUE"""),"Wireless, IoT &amp; Hardware Security Testing")</f>
        <v>Wireless, IoT &amp; Hardware Security Testing</v>
      </c>
      <c r="F1534" s="7" t="str">
        <f>IFERROR(__xludf.DUMMYFUNCTION("""COMPUTED_VALUE"""),"S218 unlocks S220")</f>
        <v>S218 unlocks S220</v>
      </c>
    </row>
    <row r="1535">
      <c r="A1535" s="7" t="str">
        <f>IFERROR(__xludf.DUMMYFUNCTION("""COMPUTED_VALUE"""),"PE1534")</f>
        <v>PE1534</v>
      </c>
      <c r="B1535" s="7" t="str">
        <f>IFERROR(__xludf.DUMMYFUNCTION("""COMPUTED_VALUE"""),"S221")</f>
        <v>S221</v>
      </c>
      <c r="C1535" s="7" t="str">
        <f>IFERROR(__xludf.DUMMYFUNCTION("""COMPUTED_VALUE"""),"iOS Application Development (Swift &amp; UIKit)")</f>
        <v>iOS Application Development (Swift &amp; UIKit)</v>
      </c>
      <c r="D1535" s="7" t="str">
        <f>IFERROR(__xludf.DUMMYFUNCTION("""COMPUTED_VALUE"""),"S229")</f>
        <v>S229</v>
      </c>
      <c r="E1535" s="7" t="str">
        <f>IFERROR(__xludf.DUMMYFUNCTION("""COMPUTED_VALUE"""),"Game Development with Unreal Engine &amp; C++")</f>
        <v>Game Development with Unreal Engine &amp; C++</v>
      </c>
      <c r="F1535" s="7" t="str">
        <f>IFERROR(__xludf.DUMMYFUNCTION("""COMPUTED_VALUE"""),"S221 unlocks S229")</f>
        <v>S221 unlocks S229</v>
      </c>
    </row>
    <row r="1536">
      <c r="A1536" s="7" t="str">
        <f>IFERROR(__xludf.DUMMYFUNCTION("""COMPUTED_VALUE"""),"PE1535")</f>
        <v>PE1535</v>
      </c>
      <c r="B1536" s="7" t="str">
        <f>IFERROR(__xludf.DUMMYFUNCTION("""COMPUTED_VALUE"""),"S221")</f>
        <v>S221</v>
      </c>
      <c r="C1536" s="7" t="str">
        <f>IFERROR(__xludf.DUMMYFUNCTION("""COMPUTED_VALUE"""),"iOS Application Development (Swift &amp; UIKit)")</f>
        <v>iOS Application Development (Swift &amp; UIKit)</v>
      </c>
      <c r="D1536" s="7" t="str">
        <f>IFERROR(__xludf.DUMMYFUNCTION("""COMPUTED_VALUE"""),"S230")</f>
        <v>S230</v>
      </c>
      <c r="E1536" s="7" t="str">
        <f>IFERROR(__xludf.DUMMYFUNCTION("""COMPUTED_VALUE"""),"3D Mathematics, Physics Engines &amp; Shader Programming (HLSL/GLSL)")</f>
        <v>3D Mathematics, Physics Engines &amp; Shader Programming (HLSL/GLSL)</v>
      </c>
      <c r="F1536" s="7" t="str">
        <f>IFERROR(__xludf.DUMMYFUNCTION("""COMPUTED_VALUE"""),"S221 unlocks S230")</f>
        <v>S221 unlocks S230</v>
      </c>
    </row>
    <row r="1537">
      <c r="A1537" s="7" t="str">
        <f>IFERROR(__xludf.DUMMYFUNCTION("""COMPUTED_VALUE"""),"PE1536")</f>
        <v>PE1536</v>
      </c>
      <c r="B1537" s="7" t="str">
        <f>IFERROR(__xludf.DUMMYFUNCTION("""COMPUTED_VALUE"""),"S221")</f>
        <v>S221</v>
      </c>
      <c r="C1537" s="7" t="str">
        <f>IFERROR(__xludf.DUMMYFUNCTION("""COMPUTED_VALUE"""),"iOS Application Development (Swift &amp; UIKit)")</f>
        <v>iOS Application Development (Swift &amp; UIKit)</v>
      </c>
      <c r="D1537" s="7" t="str">
        <f>IFERROR(__xludf.DUMMYFUNCTION("""COMPUTED_VALUE"""),"S231")</f>
        <v>S231</v>
      </c>
      <c r="E1537" s="7" t="str">
        <f>IFERROR(__xludf.DUMMYFUNCTION("""COMPUTED_VALUE"""),"Extended Reality Development (AR/VR, OpenXR, ARKit, ARCore)")</f>
        <v>Extended Reality Development (AR/VR, OpenXR, ARKit, ARCore)</v>
      </c>
      <c r="F1537" s="7" t="str">
        <f>IFERROR(__xludf.DUMMYFUNCTION("""COMPUTED_VALUE"""),"S221 unlocks S231")</f>
        <v>S221 unlocks S231</v>
      </c>
    </row>
    <row r="1538">
      <c r="A1538" s="7" t="str">
        <f>IFERROR(__xludf.DUMMYFUNCTION("""COMPUTED_VALUE"""),"PE1537")</f>
        <v>PE1537</v>
      </c>
      <c r="B1538" s="7" t="str">
        <f>IFERROR(__xludf.DUMMYFUNCTION("""COMPUTED_VALUE"""),"S222")</f>
        <v>S222</v>
      </c>
      <c r="C1538" s="7" t="str">
        <f>IFERROR(__xludf.DUMMYFUNCTION("""COMPUTED_VALUE"""),"Declarative iOS UI with SwiftUI")</f>
        <v>Declarative iOS UI with SwiftUI</v>
      </c>
      <c r="D1538" s="7" t="str">
        <f>IFERROR(__xludf.DUMMYFUNCTION("""COMPUTED_VALUE"""),"S229")</f>
        <v>S229</v>
      </c>
      <c r="E1538" s="7" t="str">
        <f>IFERROR(__xludf.DUMMYFUNCTION("""COMPUTED_VALUE"""),"Game Development with Unreal Engine &amp; C++")</f>
        <v>Game Development with Unreal Engine &amp; C++</v>
      </c>
      <c r="F1538" s="7" t="str">
        <f>IFERROR(__xludf.DUMMYFUNCTION("""COMPUTED_VALUE"""),"S222 unlocks S229")</f>
        <v>S222 unlocks S229</v>
      </c>
    </row>
    <row r="1539">
      <c r="A1539" s="7" t="str">
        <f>IFERROR(__xludf.DUMMYFUNCTION("""COMPUTED_VALUE"""),"PE1538")</f>
        <v>PE1538</v>
      </c>
      <c r="B1539" s="7" t="str">
        <f>IFERROR(__xludf.DUMMYFUNCTION("""COMPUTED_VALUE"""),"S222")</f>
        <v>S222</v>
      </c>
      <c r="C1539" s="7" t="str">
        <f>IFERROR(__xludf.DUMMYFUNCTION("""COMPUTED_VALUE"""),"Declarative iOS UI with SwiftUI")</f>
        <v>Declarative iOS UI with SwiftUI</v>
      </c>
      <c r="D1539" s="7" t="str">
        <f>IFERROR(__xludf.DUMMYFUNCTION("""COMPUTED_VALUE"""),"S230")</f>
        <v>S230</v>
      </c>
      <c r="E1539" s="7" t="str">
        <f>IFERROR(__xludf.DUMMYFUNCTION("""COMPUTED_VALUE"""),"3D Mathematics, Physics Engines &amp; Shader Programming (HLSL/GLSL)")</f>
        <v>3D Mathematics, Physics Engines &amp; Shader Programming (HLSL/GLSL)</v>
      </c>
      <c r="F1539" s="7" t="str">
        <f>IFERROR(__xludf.DUMMYFUNCTION("""COMPUTED_VALUE"""),"S222 unlocks S230")</f>
        <v>S222 unlocks S230</v>
      </c>
    </row>
    <row r="1540">
      <c r="A1540" s="7" t="str">
        <f>IFERROR(__xludf.DUMMYFUNCTION("""COMPUTED_VALUE"""),"PE1539")</f>
        <v>PE1539</v>
      </c>
      <c r="B1540" s="7" t="str">
        <f>IFERROR(__xludf.DUMMYFUNCTION("""COMPUTED_VALUE"""),"S222")</f>
        <v>S222</v>
      </c>
      <c r="C1540" s="7" t="str">
        <f>IFERROR(__xludf.DUMMYFUNCTION("""COMPUTED_VALUE"""),"Declarative iOS UI with SwiftUI")</f>
        <v>Declarative iOS UI with SwiftUI</v>
      </c>
      <c r="D1540" s="7" t="str">
        <f>IFERROR(__xludf.DUMMYFUNCTION("""COMPUTED_VALUE"""),"S231")</f>
        <v>S231</v>
      </c>
      <c r="E1540" s="7" t="str">
        <f>IFERROR(__xludf.DUMMYFUNCTION("""COMPUTED_VALUE"""),"Extended Reality Development (AR/VR, OpenXR, ARKit, ARCore)")</f>
        <v>Extended Reality Development (AR/VR, OpenXR, ARKit, ARCore)</v>
      </c>
      <c r="F1540" s="7" t="str">
        <f>IFERROR(__xludf.DUMMYFUNCTION("""COMPUTED_VALUE"""),"S222 unlocks S231")</f>
        <v>S222 unlocks S231</v>
      </c>
    </row>
    <row r="1541">
      <c r="A1541" s="7" t="str">
        <f>IFERROR(__xludf.DUMMYFUNCTION("""COMPUTED_VALUE"""),"PE1540")</f>
        <v>PE1540</v>
      </c>
      <c r="B1541" s="7" t="str">
        <f>IFERROR(__xludf.DUMMYFUNCTION("""COMPUTED_VALUE"""),"S223")</f>
        <v>S223</v>
      </c>
      <c r="C1541" s="7" t="str">
        <f>IFERROR(__xludf.DUMMYFUNCTION("""COMPUTED_VALUE"""),"Android Application Development (Kotlin &amp; Android SDK)")</f>
        <v>Android Application Development (Kotlin &amp; Android SDK)</v>
      </c>
      <c r="D1541" s="7" t="str">
        <f>IFERROR(__xludf.DUMMYFUNCTION("""COMPUTED_VALUE"""),"S229")</f>
        <v>S229</v>
      </c>
      <c r="E1541" s="7" t="str">
        <f>IFERROR(__xludf.DUMMYFUNCTION("""COMPUTED_VALUE"""),"Game Development with Unreal Engine &amp; C++")</f>
        <v>Game Development with Unreal Engine &amp; C++</v>
      </c>
      <c r="F1541" s="7" t="str">
        <f>IFERROR(__xludf.DUMMYFUNCTION("""COMPUTED_VALUE"""),"S223 unlocks S229")</f>
        <v>S223 unlocks S229</v>
      </c>
    </row>
    <row r="1542">
      <c r="A1542" s="7" t="str">
        <f>IFERROR(__xludf.DUMMYFUNCTION("""COMPUTED_VALUE"""),"PE1541")</f>
        <v>PE1541</v>
      </c>
      <c r="B1542" s="7" t="str">
        <f>IFERROR(__xludf.DUMMYFUNCTION("""COMPUTED_VALUE"""),"S223")</f>
        <v>S223</v>
      </c>
      <c r="C1542" s="7" t="str">
        <f>IFERROR(__xludf.DUMMYFUNCTION("""COMPUTED_VALUE"""),"Android Application Development (Kotlin &amp; Android SDK)")</f>
        <v>Android Application Development (Kotlin &amp; Android SDK)</v>
      </c>
      <c r="D1542" s="7" t="str">
        <f>IFERROR(__xludf.DUMMYFUNCTION("""COMPUTED_VALUE"""),"S230")</f>
        <v>S230</v>
      </c>
      <c r="E1542" s="7" t="str">
        <f>IFERROR(__xludf.DUMMYFUNCTION("""COMPUTED_VALUE"""),"3D Mathematics, Physics Engines &amp; Shader Programming (HLSL/GLSL)")</f>
        <v>3D Mathematics, Physics Engines &amp; Shader Programming (HLSL/GLSL)</v>
      </c>
      <c r="F1542" s="7" t="str">
        <f>IFERROR(__xludf.DUMMYFUNCTION("""COMPUTED_VALUE"""),"S223 unlocks S230")</f>
        <v>S223 unlocks S230</v>
      </c>
    </row>
    <row r="1543">
      <c r="A1543" s="7" t="str">
        <f>IFERROR(__xludf.DUMMYFUNCTION("""COMPUTED_VALUE"""),"PE1542")</f>
        <v>PE1542</v>
      </c>
      <c r="B1543" s="7" t="str">
        <f>IFERROR(__xludf.DUMMYFUNCTION("""COMPUTED_VALUE"""),"S223")</f>
        <v>S223</v>
      </c>
      <c r="C1543" s="7" t="str">
        <f>IFERROR(__xludf.DUMMYFUNCTION("""COMPUTED_VALUE"""),"Android Application Development (Kotlin &amp; Android SDK)")</f>
        <v>Android Application Development (Kotlin &amp; Android SDK)</v>
      </c>
      <c r="D1543" s="7" t="str">
        <f>IFERROR(__xludf.DUMMYFUNCTION("""COMPUTED_VALUE"""),"S231")</f>
        <v>S231</v>
      </c>
      <c r="E1543" s="7" t="str">
        <f>IFERROR(__xludf.DUMMYFUNCTION("""COMPUTED_VALUE"""),"Extended Reality Development (AR/VR, OpenXR, ARKit, ARCore)")</f>
        <v>Extended Reality Development (AR/VR, OpenXR, ARKit, ARCore)</v>
      </c>
      <c r="F1543" s="7" t="str">
        <f>IFERROR(__xludf.DUMMYFUNCTION("""COMPUTED_VALUE"""),"S223 unlocks S231")</f>
        <v>S223 unlocks S231</v>
      </c>
    </row>
    <row r="1544">
      <c r="A1544" s="7" t="str">
        <f>IFERROR(__xludf.DUMMYFUNCTION("""COMPUTED_VALUE"""),"PE1543")</f>
        <v>PE1543</v>
      </c>
      <c r="B1544" s="7" t="str">
        <f>IFERROR(__xludf.DUMMYFUNCTION("""COMPUTED_VALUE"""),"S224")</f>
        <v>S224</v>
      </c>
      <c r="C1544" s="7" t="str">
        <f>IFERROR(__xludf.DUMMYFUNCTION("""COMPUTED_VALUE"""),"Modern Android UI with Jetpack Compose")</f>
        <v>Modern Android UI with Jetpack Compose</v>
      </c>
      <c r="D1544" s="7" t="str">
        <f>IFERROR(__xludf.DUMMYFUNCTION("""COMPUTED_VALUE"""),"S229")</f>
        <v>S229</v>
      </c>
      <c r="E1544" s="7" t="str">
        <f>IFERROR(__xludf.DUMMYFUNCTION("""COMPUTED_VALUE"""),"Game Development with Unreal Engine &amp; C++")</f>
        <v>Game Development with Unreal Engine &amp; C++</v>
      </c>
      <c r="F1544" s="7" t="str">
        <f>IFERROR(__xludf.DUMMYFUNCTION("""COMPUTED_VALUE"""),"S224 unlocks S229")</f>
        <v>S224 unlocks S229</v>
      </c>
    </row>
    <row r="1545">
      <c r="A1545" s="7" t="str">
        <f>IFERROR(__xludf.DUMMYFUNCTION("""COMPUTED_VALUE"""),"PE1544")</f>
        <v>PE1544</v>
      </c>
      <c r="B1545" s="7" t="str">
        <f>IFERROR(__xludf.DUMMYFUNCTION("""COMPUTED_VALUE"""),"S224")</f>
        <v>S224</v>
      </c>
      <c r="C1545" s="7" t="str">
        <f>IFERROR(__xludf.DUMMYFUNCTION("""COMPUTED_VALUE"""),"Modern Android UI with Jetpack Compose")</f>
        <v>Modern Android UI with Jetpack Compose</v>
      </c>
      <c r="D1545" s="7" t="str">
        <f>IFERROR(__xludf.DUMMYFUNCTION("""COMPUTED_VALUE"""),"S230")</f>
        <v>S230</v>
      </c>
      <c r="E1545" s="7" t="str">
        <f>IFERROR(__xludf.DUMMYFUNCTION("""COMPUTED_VALUE"""),"3D Mathematics, Physics Engines &amp; Shader Programming (HLSL/GLSL)")</f>
        <v>3D Mathematics, Physics Engines &amp; Shader Programming (HLSL/GLSL)</v>
      </c>
      <c r="F1545" s="7" t="str">
        <f>IFERROR(__xludf.DUMMYFUNCTION("""COMPUTED_VALUE"""),"S224 unlocks S230")</f>
        <v>S224 unlocks S230</v>
      </c>
    </row>
    <row r="1546">
      <c r="A1546" s="7" t="str">
        <f>IFERROR(__xludf.DUMMYFUNCTION("""COMPUTED_VALUE"""),"PE1545")</f>
        <v>PE1545</v>
      </c>
      <c r="B1546" s="7" t="str">
        <f>IFERROR(__xludf.DUMMYFUNCTION("""COMPUTED_VALUE"""),"S224")</f>
        <v>S224</v>
      </c>
      <c r="C1546" s="7" t="str">
        <f>IFERROR(__xludf.DUMMYFUNCTION("""COMPUTED_VALUE"""),"Modern Android UI with Jetpack Compose")</f>
        <v>Modern Android UI with Jetpack Compose</v>
      </c>
      <c r="D1546" s="7" t="str">
        <f>IFERROR(__xludf.DUMMYFUNCTION("""COMPUTED_VALUE"""),"S231")</f>
        <v>S231</v>
      </c>
      <c r="E1546" s="7" t="str">
        <f>IFERROR(__xludf.DUMMYFUNCTION("""COMPUTED_VALUE"""),"Extended Reality Development (AR/VR, OpenXR, ARKit, ARCore)")</f>
        <v>Extended Reality Development (AR/VR, OpenXR, ARKit, ARCore)</v>
      </c>
      <c r="F1546" s="7" t="str">
        <f>IFERROR(__xludf.DUMMYFUNCTION("""COMPUTED_VALUE"""),"S224 unlocks S231")</f>
        <v>S224 unlocks S231</v>
      </c>
    </row>
    <row r="1547">
      <c r="A1547" s="7" t="str">
        <f>IFERROR(__xludf.DUMMYFUNCTION("""COMPUTED_VALUE"""),"PE1546")</f>
        <v>PE1546</v>
      </c>
      <c r="B1547" s="7" t="str">
        <f>IFERROR(__xludf.DUMMYFUNCTION("""COMPUTED_VALUE"""),"S225")</f>
        <v>S225</v>
      </c>
      <c r="C1547" s="7" t="str">
        <f>IFERROR(__xludf.DUMMYFUNCTION("""COMPUTED_VALUE"""),"Cross-Platform Mobile Development (Flutter &amp; Dart)")</f>
        <v>Cross-Platform Mobile Development (Flutter &amp; Dart)</v>
      </c>
      <c r="D1547" s="7" t="str">
        <f>IFERROR(__xludf.DUMMYFUNCTION("""COMPUTED_VALUE"""),"S229")</f>
        <v>S229</v>
      </c>
      <c r="E1547" s="7" t="str">
        <f>IFERROR(__xludf.DUMMYFUNCTION("""COMPUTED_VALUE"""),"Game Development with Unreal Engine &amp; C++")</f>
        <v>Game Development with Unreal Engine &amp; C++</v>
      </c>
      <c r="F1547" s="7" t="str">
        <f>IFERROR(__xludf.DUMMYFUNCTION("""COMPUTED_VALUE"""),"S225 unlocks S229")</f>
        <v>S225 unlocks S229</v>
      </c>
    </row>
    <row r="1548">
      <c r="A1548" s="7" t="str">
        <f>IFERROR(__xludf.DUMMYFUNCTION("""COMPUTED_VALUE"""),"PE1547")</f>
        <v>PE1547</v>
      </c>
      <c r="B1548" s="7" t="str">
        <f>IFERROR(__xludf.DUMMYFUNCTION("""COMPUTED_VALUE"""),"S225")</f>
        <v>S225</v>
      </c>
      <c r="C1548" s="7" t="str">
        <f>IFERROR(__xludf.DUMMYFUNCTION("""COMPUTED_VALUE"""),"Cross-Platform Mobile Development (Flutter &amp; Dart)")</f>
        <v>Cross-Platform Mobile Development (Flutter &amp; Dart)</v>
      </c>
      <c r="D1548" s="7" t="str">
        <f>IFERROR(__xludf.DUMMYFUNCTION("""COMPUTED_VALUE"""),"S230")</f>
        <v>S230</v>
      </c>
      <c r="E1548" s="7" t="str">
        <f>IFERROR(__xludf.DUMMYFUNCTION("""COMPUTED_VALUE"""),"3D Mathematics, Physics Engines &amp; Shader Programming (HLSL/GLSL)")</f>
        <v>3D Mathematics, Physics Engines &amp; Shader Programming (HLSL/GLSL)</v>
      </c>
      <c r="F1548" s="7" t="str">
        <f>IFERROR(__xludf.DUMMYFUNCTION("""COMPUTED_VALUE"""),"S225 unlocks S230")</f>
        <v>S225 unlocks S230</v>
      </c>
    </row>
    <row r="1549">
      <c r="A1549" s="7" t="str">
        <f>IFERROR(__xludf.DUMMYFUNCTION("""COMPUTED_VALUE"""),"PE1548")</f>
        <v>PE1548</v>
      </c>
      <c r="B1549" s="7" t="str">
        <f>IFERROR(__xludf.DUMMYFUNCTION("""COMPUTED_VALUE"""),"S225")</f>
        <v>S225</v>
      </c>
      <c r="C1549" s="7" t="str">
        <f>IFERROR(__xludf.DUMMYFUNCTION("""COMPUTED_VALUE"""),"Cross-Platform Mobile Development (Flutter &amp; Dart)")</f>
        <v>Cross-Platform Mobile Development (Flutter &amp; Dart)</v>
      </c>
      <c r="D1549" s="7" t="str">
        <f>IFERROR(__xludf.DUMMYFUNCTION("""COMPUTED_VALUE"""),"S231")</f>
        <v>S231</v>
      </c>
      <c r="E1549" s="7" t="str">
        <f>IFERROR(__xludf.DUMMYFUNCTION("""COMPUTED_VALUE"""),"Extended Reality Development (AR/VR, OpenXR, ARKit, ARCore)")</f>
        <v>Extended Reality Development (AR/VR, OpenXR, ARKit, ARCore)</v>
      </c>
      <c r="F1549" s="7" t="str">
        <f>IFERROR(__xludf.DUMMYFUNCTION("""COMPUTED_VALUE"""),"S225 unlocks S231")</f>
        <v>S225 unlocks S231</v>
      </c>
    </row>
    <row r="1550">
      <c r="A1550" s="7" t="str">
        <f>IFERROR(__xludf.DUMMYFUNCTION("""COMPUTED_VALUE"""),"PE1549")</f>
        <v>PE1549</v>
      </c>
      <c r="B1550" s="7" t="str">
        <f>IFERROR(__xludf.DUMMYFUNCTION("""COMPUTED_VALUE"""),"S226")</f>
        <v>S226</v>
      </c>
      <c r="C1550" s="7" t="str">
        <f>IFERROR(__xludf.DUMMYFUNCTION("""COMPUTED_VALUE"""),"Cross-Platform Mobile Development (React Native)")</f>
        <v>Cross-Platform Mobile Development (React Native)</v>
      </c>
      <c r="D1550" s="7" t="str">
        <f>IFERROR(__xludf.DUMMYFUNCTION("""COMPUTED_VALUE"""),"S229")</f>
        <v>S229</v>
      </c>
      <c r="E1550" s="7" t="str">
        <f>IFERROR(__xludf.DUMMYFUNCTION("""COMPUTED_VALUE"""),"Game Development with Unreal Engine &amp; C++")</f>
        <v>Game Development with Unreal Engine &amp; C++</v>
      </c>
      <c r="F1550" s="7" t="str">
        <f>IFERROR(__xludf.DUMMYFUNCTION("""COMPUTED_VALUE"""),"S226 unlocks S229")</f>
        <v>S226 unlocks S229</v>
      </c>
    </row>
    <row r="1551">
      <c r="A1551" s="7" t="str">
        <f>IFERROR(__xludf.DUMMYFUNCTION("""COMPUTED_VALUE"""),"PE1550")</f>
        <v>PE1550</v>
      </c>
      <c r="B1551" s="7" t="str">
        <f>IFERROR(__xludf.DUMMYFUNCTION("""COMPUTED_VALUE"""),"S226")</f>
        <v>S226</v>
      </c>
      <c r="C1551" s="7" t="str">
        <f>IFERROR(__xludf.DUMMYFUNCTION("""COMPUTED_VALUE"""),"Cross-Platform Mobile Development (React Native)")</f>
        <v>Cross-Platform Mobile Development (React Native)</v>
      </c>
      <c r="D1551" s="7" t="str">
        <f>IFERROR(__xludf.DUMMYFUNCTION("""COMPUTED_VALUE"""),"S230")</f>
        <v>S230</v>
      </c>
      <c r="E1551" s="7" t="str">
        <f>IFERROR(__xludf.DUMMYFUNCTION("""COMPUTED_VALUE"""),"3D Mathematics, Physics Engines &amp; Shader Programming (HLSL/GLSL)")</f>
        <v>3D Mathematics, Physics Engines &amp; Shader Programming (HLSL/GLSL)</v>
      </c>
      <c r="F1551" s="7" t="str">
        <f>IFERROR(__xludf.DUMMYFUNCTION("""COMPUTED_VALUE"""),"S226 unlocks S230")</f>
        <v>S226 unlocks S230</v>
      </c>
    </row>
    <row r="1552">
      <c r="A1552" s="7" t="str">
        <f>IFERROR(__xludf.DUMMYFUNCTION("""COMPUTED_VALUE"""),"PE1551")</f>
        <v>PE1551</v>
      </c>
      <c r="B1552" s="7" t="str">
        <f>IFERROR(__xludf.DUMMYFUNCTION("""COMPUTED_VALUE"""),"S226")</f>
        <v>S226</v>
      </c>
      <c r="C1552" s="7" t="str">
        <f>IFERROR(__xludf.DUMMYFUNCTION("""COMPUTED_VALUE"""),"Cross-Platform Mobile Development (React Native)")</f>
        <v>Cross-Platform Mobile Development (React Native)</v>
      </c>
      <c r="D1552" s="7" t="str">
        <f>IFERROR(__xludf.DUMMYFUNCTION("""COMPUTED_VALUE"""),"S231")</f>
        <v>S231</v>
      </c>
      <c r="E1552" s="7" t="str">
        <f>IFERROR(__xludf.DUMMYFUNCTION("""COMPUTED_VALUE"""),"Extended Reality Development (AR/VR, OpenXR, ARKit, ARCore)")</f>
        <v>Extended Reality Development (AR/VR, OpenXR, ARKit, ARCore)</v>
      </c>
      <c r="F1552" s="7" t="str">
        <f>IFERROR(__xludf.DUMMYFUNCTION("""COMPUTED_VALUE"""),"S226 unlocks S231")</f>
        <v>S226 unlocks S231</v>
      </c>
    </row>
    <row r="1553">
      <c r="A1553" s="7" t="str">
        <f>IFERROR(__xludf.DUMMYFUNCTION("""COMPUTED_VALUE"""),"PE1552")</f>
        <v>PE1552</v>
      </c>
      <c r="B1553" s="7" t="str">
        <f>IFERROR(__xludf.DUMMYFUNCTION("""COMPUTED_VALUE"""),"S228")</f>
        <v>S228</v>
      </c>
      <c r="C1553" s="7" t="str">
        <f>IFERROR(__xludf.DUMMYFUNCTION("""COMPUTED_VALUE"""),"Game Development with Unity Engine &amp; C#")</f>
        <v>Game Development with Unity Engine &amp; C#</v>
      </c>
      <c r="D1553" s="7" t="str">
        <f>IFERROR(__xludf.DUMMYFUNCTION("""COMPUTED_VALUE"""),"S229")</f>
        <v>S229</v>
      </c>
      <c r="E1553" s="7" t="str">
        <f>IFERROR(__xludf.DUMMYFUNCTION("""COMPUTED_VALUE"""),"Game Development with Unreal Engine &amp; C++")</f>
        <v>Game Development with Unreal Engine &amp; C++</v>
      </c>
      <c r="F1553" s="7" t="str">
        <f>IFERROR(__xludf.DUMMYFUNCTION("""COMPUTED_VALUE"""),"S228 unlocks S229")</f>
        <v>S228 unlocks S229</v>
      </c>
    </row>
    <row r="1554">
      <c r="A1554" s="7" t="str">
        <f>IFERROR(__xludf.DUMMYFUNCTION("""COMPUTED_VALUE"""),"PE1553")</f>
        <v>PE1553</v>
      </c>
      <c r="B1554" s="7" t="str">
        <f>IFERROR(__xludf.DUMMYFUNCTION("""COMPUTED_VALUE"""),"S228")</f>
        <v>S228</v>
      </c>
      <c r="C1554" s="7" t="str">
        <f>IFERROR(__xludf.DUMMYFUNCTION("""COMPUTED_VALUE"""),"Game Development with Unity Engine &amp; C#")</f>
        <v>Game Development with Unity Engine &amp; C#</v>
      </c>
      <c r="D1554" s="7" t="str">
        <f>IFERROR(__xludf.DUMMYFUNCTION("""COMPUTED_VALUE"""),"S230")</f>
        <v>S230</v>
      </c>
      <c r="E1554" s="7" t="str">
        <f>IFERROR(__xludf.DUMMYFUNCTION("""COMPUTED_VALUE"""),"3D Mathematics, Physics Engines &amp; Shader Programming (HLSL/GLSL)")</f>
        <v>3D Mathematics, Physics Engines &amp; Shader Programming (HLSL/GLSL)</v>
      </c>
      <c r="F1554" s="7" t="str">
        <f>IFERROR(__xludf.DUMMYFUNCTION("""COMPUTED_VALUE"""),"S228 unlocks S230")</f>
        <v>S228 unlocks S230</v>
      </c>
    </row>
    <row r="1555">
      <c r="A1555" s="7" t="str">
        <f>IFERROR(__xludf.DUMMYFUNCTION("""COMPUTED_VALUE"""),"PE1554")</f>
        <v>PE1554</v>
      </c>
      <c r="B1555" s="7" t="str">
        <f>IFERROR(__xludf.DUMMYFUNCTION("""COMPUTED_VALUE"""),"S228")</f>
        <v>S228</v>
      </c>
      <c r="C1555" s="7" t="str">
        <f>IFERROR(__xludf.DUMMYFUNCTION("""COMPUTED_VALUE"""),"Game Development with Unity Engine &amp; C#")</f>
        <v>Game Development with Unity Engine &amp; C#</v>
      </c>
      <c r="D1555" s="7" t="str">
        <f>IFERROR(__xludf.DUMMYFUNCTION("""COMPUTED_VALUE"""),"S231")</f>
        <v>S231</v>
      </c>
      <c r="E1555" s="7" t="str">
        <f>IFERROR(__xludf.DUMMYFUNCTION("""COMPUTED_VALUE"""),"Extended Reality Development (AR/VR, OpenXR, ARKit, ARCore)")</f>
        <v>Extended Reality Development (AR/VR, OpenXR, ARKit, ARCore)</v>
      </c>
      <c r="F1555" s="7" t="str">
        <f>IFERROR(__xludf.DUMMYFUNCTION("""COMPUTED_VALUE"""),"S228 unlocks S231")</f>
        <v>S228 unlocks S231</v>
      </c>
    </row>
    <row r="1556">
      <c r="A1556" s="7" t="str">
        <f>IFERROR(__xludf.DUMMYFUNCTION("""COMPUTED_VALUE"""),"PE1555")</f>
        <v>PE1555</v>
      </c>
      <c r="B1556" s="7" t="str">
        <f>IFERROR(__xludf.DUMMYFUNCTION("""COMPUTED_VALUE"""),"S232")</f>
        <v>S232</v>
      </c>
      <c r="C1556" s="7" t="str">
        <f>IFERROR(__xludf.DUMMYFUNCTION("""COMPUTED_VALUE"""),"Embedded Systems Programming (Embedded C/C++ &amp; Bare-Metal)")</f>
        <v>Embedded Systems Programming (Embedded C/C++ &amp; Bare-Metal)</v>
      </c>
      <c r="D1556" s="7" t="str">
        <f>IFERROR(__xludf.DUMMYFUNCTION("""COMPUTED_VALUE"""),"S234")</f>
        <v>S234</v>
      </c>
      <c r="E1556" s="7" t="str">
        <f>IFERROR(__xludf.DUMMYFUNCTION("""COMPUTED_VALUE"""),"Real-Time Operating Systems (FreeRTOS, Zephyr)")</f>
        <v>Real-Time Operating Systems (FreeRTOS, Zephyr)</v>
      </c>
      <c r="F1556" s="7" t="str">
        <f>IFERROR(__xludf.DUMMYFUNCTION("""COMPUTED_VALUE"""),"S232 unlocks S234")</f>
        <v>S232 unlocks S234</v>
      </c>
    </row>
    <row r="1557">
      <c r="A1557" s="7" t="str">
        <f>IFERROR(__xludf.DUMMYFUNCTION("""COMPUTED_VALUE"""),"PE1556")</f>
        <v>PE1556</v>
      </c>
      <c r="B1557" s="7" t="str">
        <f>IFERROR(__xludf.DUMMYFUNCTION("""COMPUTED_VALUE"""),"S235")</f>
        <v>S235</v>
      </c>
      <c r="C1557" s="7" t="str">
        <f>IFERROR(__xludf.DUMMYFUNCTION("""COMPUTED_VALUE"""),"Hardware Communication Protocols (I2C, SPI, UART, CAN Bus)")</f>
        <v>Hardware Communication Protocols (I2C, SPI, UART, CAN Bus)</v>
      </c>
      <c r="D1557" s="7" t="str">
        <f>IFERROR(__xludf.DUMMYFUNCTION("""COMPUTED_VALUE"""),"S234")</f>
        <v>S234</v>
      </c>
      <c r="E1557" s="7" t="str">
        <f>IFERROR(__xludf.DUMMYFUNCTION("""COMPUTED_VALUE"""),"Real-Time Operating Systems (FreeRTOS, Zephyr)")</f>
        <v>Real-Time Operating Systems (FreeRTOS, Zephyr)</v>
      </c>
      <c r="F1557" s="7" t="str">
        <f>IFERROR(__xludf.DUMMYFUNCTION("""COMPUTED_VALUE"""),"S235 unlocks S234")</f>
        <v>S235 unlocks S234</v>
      </c>
    </row>
    <row r="1558">
      <c r="A1558" s="7" t="str">
        <f>IFERROR(__xludf.DUMMYFUNCTION("""COMPUTED_VALUE"""),"PE1557")</f>
        <v>PE1557</v>
      </c>
      <c r="B1558" s="7" t="str">
        <f>IFERROR(__xludf.DUMMYFUNCTION("""COMPUTED_VALUE"""),"S236")</f>
        <v>S236</v>
      </c>
      <c r="C1558" s="7" t="str">
        <f>IFERROR(__xludf.DUMMYFUNCTION("""COMPUTED_VALUE"""),"IoT Messaging &amp; Edge Connectivity (MQTT, CoAP, LoRaWAN, BLE)")</f>
        <v>IoT Messaging &amp; Edge Connectivity (MQTT, CoAP, LoRaWAN, BLE)</v>
      </c>
      <c r="D1558" s="7" t="str">
        <f>IFERROR(__xludf.DUMMYFUNCTION("""COMPUTED_VALUE"""),"S234")</f>
        <v>S234</v>
      </c>
      <c r="E1558" s="7" t="str">
        <f>IFERROR(__xludf.DUMMYFUNCTION("""COMPUTED_VALUE"""),"Real-Time Operating Systems (FreeRTOS, Zephyr)")</f>
        <v>Real-Time Operating Systems (FreeRTOS, Zephyr)</v>
      </c>
      <c r="F1558" s="7" t="str">
        <f>IFERROR(__xludf.DUMMYFUNCTION("""COMPUTED_VALUE"""),"S236 unlocks S234")</f>
        <v>S236 unlocks S234</v>
      </c>
    </row>
    <row r="1559">
      <c r="A1559" s="7" t="str">
        <f>IFERROR(__xludf.DUMMYFUNCTION("""COMPUTED_VALUE"""),"PE1558")</f>
        <v>PE1558</v>
      </c>
      <c r="B1559" s="7" t="str">
        <f>IFERROR(__xludf.DUMMYFUNCTION("""COMPUTED_VALUE"""),"S239")</f>
        <v>S239</v>
      </c>
      <c r="C1559" s="7" t="str">
        <f>IFERROR(__xludf.DUMMYFUNCTION("""COMPUTED_VALUE"""),"Decentralized Application Integration (Web3 Libraries &amp; Wallet Connect)")</f>
        <v>Decentralized Application Integration (Web3 Libraries &amp; Wallet Connect)</v>
      </c>
      <c r="D1559" s="7" t="str">
        <f>IFERROR(__xludf.DUMMYFUNCTION("""COMPUTED_VALUE"""),"S238")</f>
        <v>S238</v>
      </c>
      <c r="E1559" s="7" t="str">
        <f>IFERROR(__xludf.DUMMYFUNCTION("""COMPUTED_VALUE"""),"Smart Contract Development &amp; Auditing (Solidity, Hardhat, Foundry)")</f>
        <v>Smart Contract Development &amp; Auditing (Solidity, Hardhat, Foundry)</v>
      </c>
      <c r="F1559" s="7" t="str">
        <f>IFERROR(__xludf.DUMMYFUNCTION("""COMPUTED_VALUE"""),"S239 unlocks S238")</f>
        <v>S239 unlocks S238</v>
      </c>
    </row>
    <row r="1560">
      <c r="A1560" s="7" t="str">
        <f>IFERROR(__xludf.DUMMYFUNCTION("""COMPUTED_VALUE"""),"PE1559")</f>
        <v>PE1559</v>
      </c>
      <c r="B1560" s="7" t="str">
        <f>IFERROR(__xludf.DUMMYFUNCTION("""COMPUTED_VALUE"""),"S240")</f>
        <v>S240</v>
      </c>
      <c r="C1560" s="7" t="str">
        <f>IFERROR(__xludf.DUMMYFUNCTION("""COMPUTED_VALUE"""),"Enterprise Resource Planning Systems (SAP ERP, S/4HANA, ABAP)")</f>
        <v>Enterprise Resource Planning Systems (SAP ERP, S/4HANA, ABAP)</v>
      </c>
      <c r="D1560" s="7" t="str">
        <f>IFERROR(__xludf.DUMMYFUNCTION("""COMPUTED_VALUE"""),"S238")</f>
        <v>S238</v>
      </c>
      <c r="E1560" s="7" t="str">
        <f>IFERROR(__xludf.DUMMYFUNCTION("""COMPUTED_VALUE"""),"Smart Contract Development &amp; Auditing (Solidity, Hardhat, Foundry)")</f>
        <v>Smart Contract Development &amp; Auditing (Solidity, Hardhat, Foundry)</v>
      </c>
      <c r="F1560" s="7" t="str">
        <f>IFERROR(__xludf.DUMMYFUNCTION("""COMPUTED_VALUE"""),"S240 unlocks S238")</f>
        <v>S240 unlocks S238</v>
      </c>
    </row>
    <row r="1561">
      <c r="A1561" s="7" t="str">
        <f>IFERROR(__xludf.DUMMYFUNCTION("""COMPUTED_VALUE"""),"PE1560")</f>
        <v>PE1560</v>
      </c>
      <c r="B1561" s="7" t="str">
        <f>IFERROR(__xludf.DUMMYFUNCTION("""COMPUTED_VALUE"""),"S241")</f>
        <v>S241</v>
      </c>
      <c r="C1561" s="7" t="str">
        <f>IFERROR(__xludf.DUMMYFUNCTION("""COMPUTED_VALUE"""),"Customer Relationship Management Platforms (Salesforce CRM, Apex, LWC)")</f>
        <v>Customer Relationship Management Platforms (Salesforce CRM, Apex, LWC)</v>
      </c>
      <c r="D1561" s="7" t="str">
        <f>IFERROR(__xludf.DUMMYFUNCTION("""COMPUTED_VALUE"""),"S238")</f>
        <v>S238</v>
      </c>
      <c r="E1561" s="7" t="str">
        <f>IFERROR(__xludf.DUMMYFUNCTION("""COMPUTED_VALUE"""),"Smart Contract Development &amp; Auditing (Solidity, Hardhat, Foundry)")</f>
        <v>Smart Contract Development &amp; Auditing (Solidity, Hardhat, Foundry)</v>
      </c>
      <c r="F1561" s="7" t="str">
        <f>IFERROR(__xludf.DUMMYFUNCTION("""COMPUTED_VALUE"""),"S241 unlocks S238")</f>
        <v>S241 unlocks S238</v>
      </c>
    </row>
    <row r="1562">
      <c r="A1562" s="7" t="str">
        <f>IFERROR(__xludf.DUMMYFUNCTION("""COMPUTED_VALUE"""),"PE1561")</f>
        <v>PE1561</v>
      </c>
      <c r="B1562" s="7" t="str">
        <f>IFERROR(__xludf.DUMMYFUNCTION("""COMPUTED_VALUE"""),"S248")</f>
        <v>S248</v>
      </c>
      <c r="C1562" s="7" t="str">
        <f>IFERROR(__xludf.DUMMYFUNCTION("""COMPUTED_VALUE"""),"Product Management, Roadmapping &amp; User Story Mapping")</f>
        <v>Product Management, Roadmapping &amp; User Story Mapping</v>
      </c>
      <c r="D1562" s="7" t="str">
        <f>IFERROR(__xludf.DUMMYFUNCTION("""COMPUTED_VALUE"""),"S243")</f>
        <v>S243</v>
      </c>
      <c r="E1562" s="7" t="str">
        <f>IFERROR(__xludf.DUMMYFUNCTION("""COMPUTED_VALUE"""),"Large-Scale System Design &amp; High-Scalability Architecture")</f>
        <v>Large-Scale System Design &amp; High-Scalability Architecture</v>
      </c>
      <c r="F1562" s="7" t="str">
        <f>IFERROR(__xludf.DUMMYFUNCTION("""COMPUTED_VALUE"""),"S248 unlocks S243")</f>
        <v>S248 unlocks S243</v>
      </c>
    </row>
    <row r="1563">
      <c r="A1563" s="7" t="str">
        <f>IFERROR(__xludf.DUMMYFUNCTION("""COMPUTED_VALUE"""),"PE1562")</f>
        <v>PE1562</v>
      </c>
      <c r="B1563" s="7" t="str">
        <f>IFERROR(__xludf.DUMMYFUNCTION("""COMPUTED_VALUE"""),"S248")</f>
        <v>S248</v>
      </c>
      <c r="C1563" s="7" t="str">
        <f>IFERROR(__xludf.DUMMYFUNCTION("""COMPUTED_VALUE"""),"Product Management, Roadmapping &amp; User Story Mapping")</f>
        <v>Product Management, Roadmapping &amp; User Story Mapping</v>
      </c>
      <c r="D1563" s="7" t="str">
        <f>IFERROR(__xludf.DUMMYFUNCTION("""COMPUTED_VALUE"""),"S244")</f>
        <v>S244</v>
      </c>
      <c r="E1563" s="7" t="str">
        <f>IFERROR(__xludf.DUMMYFUNCTION("""COMPUTED_VALUE"""),"Distributed Systems Theory (CAP Theorem, Consensus, Raft/Paxos)")</f>
        <v>Distributed Systems Theory (CAP Theorem, Consensus, Raft/Paxos)</v>
      </c>
      <c r="F1563" s="7" t="str">
        <f>IFERROR(__xludf.DUMMYFUNCTION("""COMPUTED_VALUE"""),"S248 unlocks S244")</f>
        <v>S248 unlocks S244</v>
      </c>
    </row>
    <row r="1564">
      <c r="A1564" s="7" t="str">
        <f>IFERROR(__xludf.DUMMYFUNCTION("""COMPUTED_VALUE"""),"PE1563")</f>
        <v>PE1563</v>
      </c>
      <c r="B1564" s="7" t="str">
        <f>IFERROR(__xludf.DUMMYFUNCTION("""COMPUTED_VALUE"""),"S248")</f>
        <v>S248</v>
      </c>
      <c r="C1564" s="7" t="str">
        <f>IFERROR(__xludf.DUMMYFUNCTION("""COMPUTED_VALUE"""),"Product Management, Roadmapping &amp; User Story Mapping")</f>
        <v>Product Management, Roadmapping &amp; User Story Mapping</v>
      </c>
      <c r="D1564" s="7" t="str">
        <f>IFERROR(__xludf.DUMMYFUNCTION("""COMPUTED_VALUE"""),"S245")</f>
        <v>S245</v>
      </c>
      <c r="E1564" s="7" t="str">
        <f>IFERROR(__xludf.DUMMYFUNCTION("""COMPUTED_VALUE"""),"Enterprise Architecture Frameworks (TOGAF, Domain-Driven Design)")</f>
        <v>Enterprise Architecture Frameworks (TOGAF, Domain-Driven Design)</v>
      </c>
      <c r="F1564" s="7" t="str">
        <f>IFERROR(__xludf.DUMMYFUNCTION("""COMPUTED_VALUE"""),"S248 unlocks S245")</f>
        <v>S248 unlocks S245</v>
      </c>
    </row>
    <row r="1565">
      <c r="A1565" s="7" t="str">
        <f>IFERROR(__xludf.DUMMYFUNCTION("""COMPUTED_VALUE"""),"PE1564")</f>
        <v>PE1564</v>
      </c>
      <c r="B1565" s="7" t="str">
        <f>IFERROR(__xludf.DUMMYFUNCTION("""COMPUTED_VALUE"""),"S248")</f>
        <v>S248</v>
      </c>
      <c r="C1565" s="7" t="str">
        <f>IFERROR(__xludf.DUMMYFUNCTION("""COMPUTED_VALUE"""),"Product Management, Roadmapping &amp; User Story Mapping")</f>
        <v>Product Management, Roadmapping &amp; User Story Mapping</v>
      </c>
      <c r="D1565" s="7" t="str">
        <f>IFERROR(__xludf.DUMMYFUNCTION("""COMPUTED_VALUE"""),"S250")</f>
        <v>S250</v>
      </c>
      <c r="E1565" s="7" t="str">
        <f>IFERROR(__xludf.DUMMYFUNCTION("""COMPUTED_VALUE"""),"Engineering Leadership, Code Review, Mentoring &amp; Technical Strategy")</f>
        <v>Engineering Leadership, Code Review, Mentoring &amp; Technical Strategy</v>
      </c>
      <c r="F1565" s="7" t="str">
        <f>IFERROR(__xludf.DUMMYFUNCTION("""COMPUTED_VALUE"""),"S248 unlocks S250")</f>
        <v>S248 unlocks S250</v>
      </c>
    </row>
    <row r="1566">
      <c r="A1566" s="7" t="str">
        <f>IFERROR(__xludf.DUMMYFUNCTION("""COMPUTED_VALUE"""),"PE1565")</f>
        <v>PE1565</v>
      </c>
      <c r="B1566" s="7" t="str">
        <f>IFERROR(__xludf.DUMMYFUNCTION("""COMPUTED_VALUE"""),"S249")</f>
        <v>S249</v>
      </c>
      <c r="C1566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D1566" s="7" t="str">
        <f>IFERROR(__xludf.DUMMYFUNCTION("""COMPUTED_VALUE"""),"S243")</f>
        <v>S243</v>
      </c>
      <c r="E1566" s="7" t="str">
        <f>IFERROR(__xludf.DUMMYFUNCTION("""COMPUTED_VALUE"""),"Large-Scale System Design &amp; High-Scalability Architecture")</f>
        <v>Large-Scale System Design &amp; High-Scalability Architecture</v>
      </c>
      <c r="F1566" s="7" t="str">
        <f>IFERROR(__xludf.DUMMYFUNCTION("""COMPUTED_VALUE"""),"S249 unlocks S243")</f>
        <v>S249 unlocks S243</v>
      </c>
    </row>
    <row r="1567">
      <c r="A1567" s="7" t="str">
        <f>IFERROR(__xludf.DUMMYFUNCTION("""COMPUTED_VALUE"""),"PE1566")</f>
        <v>PE1566</v>
      </c>
      <c r="B1567" s="7" t="str">
        <f>IFERROR(__xludf.DUMMYFUNCTION("""COMPUTED_VALUE"""),"S249")</f>
        <v>S249</v>
      </c>
      <c r="C1567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D1567" s="7" t="str">
        <f>IFERROR(__xludf.DUMMYFUNCTION("""COMPUTED_VALUE"""),"S244")</f>
        <v>S244</v>
      </c>
      <c r="E1567" s="7" t="str">
        <f>IFERROR(__xludf.DUMMYFUNCTION("""COMPUTED_VALUE"""),"Distributed Systems Theory (CAP Theorem, Consensus, Raft/Paxos)")</f>
        <v>Distributed Systems Theory (CAP Theorem, Consensus, Raft/Paxos)</v>
      </c>
      <c r="F1567" s="7" t="str">
        <f>IFERROR(__xludf.DUMMYFUNCTION("""COMPUTED_VALUE"""),"S249 unlocks S244")</f>
        <v>S249 unlocks S244</v>
      </c>
    </row>
    <row r="1568">
      <c r="A1568" s="7" t="str">
        <f>IFERROR(__xludf.DUMMYFUNCTION("""COMPUTED_VALUE"""),"PE1567")</f>
        <v>PE1567</v>
      </c>
      <c r="B1568" s="7" t="str">
        <f>IFERROR(__xludf.DUMMYFUNCTION("""COMPUTED_VALUE"""),"S249")</f>
        <v>S249</v>
      </c>
      <c r="C1568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D1568" s="7" t="str">
        <f>IFERROR(__xludf.DUMMYFUNCTION("""COMPUTED_VALUE"""),"S245")</f>
        <v>S245</v>
      </c>
      <c r="E1568" s="7" t="str">
        <f>IFERROR(__xludf.DUMMYFUNCTION("""COMPUTED_VALUE"""),"Enterprise Architecture Frameworks (TOGAF, Domain-Driven Design)")</f>
        <v>Enterprise Architecture Frameworks (TOGAF, Domain-Driven Design)</v>
      </c>
      <c r="F1568" s="7" t="str">
        <f>IFERROR(__xludf.DUMMYFUNCTION("""COMPUTED_VALUE"""),"S249 unlocks S245")</f>
        <v>S249 unlocks S245</v>
      </c>
    </row>
    <row r="1569">
      <c r="A1569" s="7" t="str">
        <f>IFERROR(__xludf.DUMMYFUNCTION("""COMPUTED_VALUE"""),"PE1568")</f>
        <v>PE1568</v>
      </c>
      <c r="B1569" s="7" t="str">
        <f>IFERROR(__xludf.DUMMYFUNCTION("""COMPUTED_VALUE"""),"S249")</f>
        <v>S249</v>
      </c>
      <c r="C1569" s="7" t="str">
        <f>IFERROR(__xludf.DUMMYFUNCTION("""COMPUTED_VALUE"""),"Business Process Modeling, Requirements Gathering &amp; Stakeholder Management")</f>
        <v>Business Process Modeling, Requirements Gathering &amp; Stakeholder Management</v>
      </c>
      <c r="D1569" s="7" t="str">
        <f>IFERROR(__xludf.DUMMYFUNCTION("""COMPUTED_VALUE"""),"S250")</f>
        <v>S250</v>
      </c>
      <c r="E1569" s="7" t="str">
        <f>IFERROR(__xludf.DUMMYFUNCTION("""COMPUTED_VALUE"""),"Engineering Leadership, Code Review, Mentoring &amp; Technical Strategy")</f>
        <v>Engineering Leadership, Code Review, Mentoring &amp; Technical Strategy</v>
      </c>
      <c r="F1569" s="7" t="str">
        <f>IFERROR(__xludf.DUMMYFUNCTION("""COMPUTED_VALUE"""),"S249 unlocks S250")</f>
        <v>S249 unlocks S250</v>
      </c>
    </row>
  </sheetData>
  <drawing r:id="rId1"/>
</worksheet>
</file>